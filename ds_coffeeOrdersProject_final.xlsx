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talSales" sheetId="2" state="visible" r:id="rId2"/>
    <sheet xmlns:r="http://schemas.openxmlformats.org/officeDocument/2006/relationships" name="CountryBarChart" sheetId="3" state="visible" r:id="rId3"/>
    <sheet xmlns:r="http://schemas.openxmlformats.org/officeDocument/2006/relationships" name="Top5Customer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customers" sheetId="6" state="visible" r:id="rId6"/>
    <sheet xmlns:r="http://schemas.openxmlformats.org/officeDocument/2006/relationships" name="products" sheetId="7" state="visible" r:id="rId7"/>
  </sheets>
  <definedNames>
    <definedName name="NativeTimeline_Order_Date">#N/A</definedName>
    <definedName name="Slicer_Loyalty_Card">#N/A</definedName>
    <definedName name="Slicer_Roast_Type_Name">#N/A</definedName>
    <definedName name="Slicer_Size">#N/A</definedName>
  </definedNames>
  <calcPr calcId="191028" fullCalcOnLoad="1"/>
  <pivotCaches>
    <pivotCache xmlns:r="http://schemas.openxmlformats.org/officeDocument/2006/relationships" cacheId="5" r:id="rId8"/>
  </pivotCaches>
</workbook>
</file>

<file path=xl/styles.xml><?xml version="1.0" encoding="utf-8"?>
<styleSheet xmlns="http://schemas.openxmlformats.org/spreadsheetml/2006/main">
  <numFmts count="5">
    <numFmt numFmtId="164" formatCode="0.0"/>
    <numFmt numFmtId="165" formatCode="dd\-mmm\-yyyy"/>
    <numFmt numFmtId="166" formatCode="0.0\ &quot;kg&quot;"/>
    <numFmt numFmtId="167" formatCode="_-[$$-409]* #,##0.00_ ;_-[$$-409]* \-#,##0.00\ ;_-[$$-409]* &quot;-&quot;??_ ;_-@_ "/>
    <numFmt numFmtId="168" formatCode="[$$-409]#,##0"/>
  </numFmts>
  <fonts count="2">
    <font>
      <name val="Calibri"/>
      <family val="2"/>
      <color theme="1"/>
      <sz val="11"/>
      <scheme val="minor"/>
    </font>
    <font>
      <name val="Calibri"/>
      <family val="2"/>
      <color indexed="8"/>
      <sz val="11"/>
    </font>
  </fonts>
  <fills count="11">
    <fill>
      <patternFill/>
    </fill>
    <fill>
      <patternFill patternType="gray125"/>
    </fill>
    <fill>
      <patternFill patternType="solid">
        <fgColor rgb="00FFC7CE"/>
        <bgColor rgb="00FFEB9C"/>
      </patternFill>
    </fill>
    <fill>
      <patternFill patternType="solid">
        <fgColor rgb="00C6EFCE"/>
        <bgColor rgb="00FFEB9C"/>
      </patternFill>
    </fill>
    <fill>
      <patternFill patternType="solid">
        <fgColor rgb="00FFC7CE"/>
        <bgColor rgb="00C6EFCE"/>
      </patternFill>
    </fill>
    <fill>
      <patternFill patternType="solid">
        <fgColor rgb="00FFEB9C"/>
        <bgColor rgb="00FFC7CE"/>
      </patternFill>
    </fill>
    <fill>
      <patternFill patternType="solid">
        <fgColor rgb="00C6EF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6" fontId="0" fillId="0" borderId="0" pivotButton="0" quotePrefix="0" xfId="0"/>
    <xf numFmtId="167" fontId="0" fillId="0" borderId="0" pivotButton="0" quotePrefix="0" xfId="0"/>
    <xf numFmtId="0" fontId="0" fillId="0" borderId="0" pivotButton="1" quotePrefix="0" xfId="0"/>
    <xf numFmtId="3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/>
  </cellStyles>
  <dxfs count="16">
    <dxf>
      <numFmt numFmtId="0" formatCode="General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6" formatCode="0.0\ &quot;kg&quot;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</font>
      <numFmt numFmtId="165" formatCode="dd\-mmm\-yyyy"/>
      <alignment horizontal="general" vertical="center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</font>
      <alignment horizontal="general" vertical="center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</font>
      <alignment horizontal="general" vertical="center"/>
    </dxf>
    <dxf>
      <font>
        <name val="Calibri"/>
        <family val="2"/>
        <b val="1"/>
        <color theme="0"/>
        <sz val="11"/>
        <scheme val="minor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Calibri"/>
        <family val="2"/>
        <color theme="0"/>
        <sz val="11"/>
        <scheme val="minor"/>
      </font>
      <fill>
        <patternFill patternType="solid">
          <fgColor theme="0"/>
          <bgColor rgb="FF3C1464"/>
        </patternFill>
      </fill>
      <border>
        <left style="thin">
          <color rgb="FF3C1464"/>
        </left>
        <right style="thin">
          <color rgb="FF3C1464"/>
        </right>
        <top style="thin">
          <color rgb="FF3C1464"/>
        </top>
        <bottom style="thin">
          <color rgb="FF3C1464"/>
        </bottom>
      </border>
    </dxf>
    <dxf>
      <font>
        <name val="Calibri"/>
        <family val="2"/>
        <b val="1"/>
        <color theme="0"/>
        <scheme val="minor"/>
      </font>
    </dxf>
    <dxf>
      <font>
        <name val="Calibri"/>
        <family val="2"/>
        <color theme="0"/>
        <scheme val="minor"/>
      </font>
      <fill>
        <patternFill>
          <bgColor rgb="FF3C1464"/>
        </patternFill>
      </fill>
    </dxf>
  </dxfs>
  <tableStyles count="2" defaultTableStyle="TableStyleMedium2" defaultPivotStyle="PivotStyleMedium9">
    <tableStyle name="Purple Slicer" pivot="0" table="0" count="6">
      <tableStyleElement type="wholeTable" dxfId="15"/>
      <tableStyleElement type="headerRow" dxfId="14"/>
    </tableStyle>
    <tableStyle name="Purple Timeline Style" pivot="0" table="0" count="8">
      <tableStyleElement type="wholeTable" dxfId="13"/>
      <tableStyleElement type="headerRow" dxfId="12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pivotCacheDefinition" Target="/xl/pivotCache/pivotCacheDefinition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pivotSource>
    <name>[ds_coffeeOrdersProject.xlsx]TotalSales!TotalSales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Over Time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rgbClr val="3C1464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rgbClr val="00B0F0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rgbClr val="97450D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rgbClr val="FFFF00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rgbClr val="FF0000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rgbClr val="00B0F0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rgbClr val="97450D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rgbClr val="FFFF00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7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rgbClr val="FF0000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8"/>
        <spPr>
          <a:ln xmlns:a="http://schemas.openxmlformats.org/drawingml/2006/main" w="28575" cap="rnd">
            <a:solidFill>
              <a:srgbClr val="00B0F0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9"/>
        <spPr>
          <a:ln xmlns:a="http://schemas.openxmlformats.org/drawingml/2006/main" w="28575" cap="rnd">
            <a:solidFill>
              <a:srgbClr val="97450D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0"/>
        <spPr>
          <a:ln xmlns:a="http://schemas.openxmlformats.org/drawingml/2006/main" w="28575" cap="rnd">
            <a:solidFill>
              <a:srgbClr val="FFFF00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1"/>
        <spPr>
          <a:ln xmlns:a="http://schemas.openxmlformats.org/drawingml/2006/main" w="28575" cap="rnd">
            <a:solidFill>
              <a:srgbClr val="FF0000"/>
            </a:solidFill>
            <a:prstDash val="solid"/>
            <a:round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lineChart>
        <grouping val="standard"/>
        <varyColors val="0"/>
        <ser>
          <idx val="0"/>
          <order val="0"/>
          <tx>
            <strRef>
              <f>TotalSales!$C$3:$C$4</f>
              <strCache>
                <ptCount val="1"/>
                <pt idx="0">
                  <v>Arabica</v>
                </pt>
              </strCache>
            </strRef>
          </tx>
          <spPr>
            <a:ln xmlns:a="http://schemas.openxmlformats.org/drawingml/2006/main" w="28575" cap="rnd">
              <a:solidFill>
                <a:srgbClr val="00B0F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multiLvlStrCache>
                <lvl>
                  <pt idx="0">
                    <v>Jan</v>
                  </pt>
                  <pt idx="1">
                    <v>Feb</v>
                  </pt>
                  <pt idx="2">
                    <v>Mar</v>
                  </pt>
                  <pt idx="3">
                    <v>Apr</v>
                  </pt>
                  <pt idx="4">
                    <v>May</v>
                  </pt>
                  <pt idx="5">
                    <v>Jun</v>
                  </pt>
                  <pt idx="6">
                    <v>Jul</v>
                  </pt>
                  <pt idx="7">
                    <v>Aug</v>
                  </pt>
                  <pt idx="8">
                    <v>Sep</v>
                  </pt>
                  <pt idx="9">
                    <v>Oct</v>
                  </pt>
                  <pt idx="10">
                    <v>Nov</v>
                  </pt>
                  <pt idx="11">
                    <v>Dec</v>
                  </pt>
                  <pt idx="12">
                    <v>Jan</v>
                  </pt>
                  <pt idx="13">
                    <v>Feb</v>
                  </pt>
                  <pt idx="14">
                    <v>Mar</v>
                  </pt>
                  <pt idx="15">
                    <v>Apr</v>
                  </pt>
                  <pt idx="16">
                    <v>May</v>
                  </pt>
                  <pt idx="17">
                    <v>Jun</v>
                  </pt>
                  <pt idx="18">
                    <v>Jul</v>
                  </pt>
                  <pt idx="19">
                    <v>Aug</v>
                  </pt>
                  <pt idx="20">
                    <v>Sep</v>
                  </pt>
                  <pt idx="21">
                    <v>Oct</v>
                  </pt>
                  <pt idx="22">
                    <v>Nov</v>
                  </pt>
                  <pt idx="23">
                    <v>Dec</v>
                  </pt>
                  <pt idx="24">
                    <v>Jan</v>
                  </pt>
                  <pt idx="25">
                    <v>Feb</v>
                  </pt>
                  <pt idx="26">
                    <v>Mar</v>
                  </pt>
                  <pt idx="27">
                    <v>Apr</v>
                  </pt>
                  <pt idx="28">
                    <v>May</v>
                  </pt>
                  <pt idx="29">
                    <v>Jun</v>
                  </pt>
                  <pt idx="30">
                    <v>Jul</v>
                  </pt>
                  <pt idx="31">
                    <v>Aug</v>
                  </pt>
                  <pt idx="32">
                    <v>Sep</v>
                  </pt>
                  <pt idx="33">
                    <v>Oct</v>
                  </pt>
                  <pt idx="34">
                    <v>Nov</v>
                  </pt>
                  <pt idx="35">
                    <v>Dec</v>
                  </pt>
                  <pt idx="36">
                    <v>Jan</v>
                  </pt>
                  <pt idx="37">
                    <v>Feb</v>
                  </pt>
                  <pt idx="38">
                    <v>Mar</v>
                  </pt>
                  <pt idx="39">
                    <v>Apr</v>
                  </pt>
                  <pt idx="40">
                    <v>May</v>
                  </pt>
                  <pt idx="41">
                    <v>Jun</v>
                  </pt>
                  <pt idx="42">
                    <v>Jul</v>
                  </pt>
                  <pt idx="43">
                    <v>Aug</v>
                  </pt>
                </lvl>
                <lvl>
                  <pt idx="0">
                    <v>2019</v>
                  </pt>
                  <pt idx="12">
                    <v>2020</v>
                  </pt>
                  <pt idx="24">
                    <v>2021</v>
                  </pt>
                  <pt idx="36">
                    <v>2022</v>
                  </pt>
                </lvl>
              </multiLvlStrCache>
              <f>TotalSales!$A$5:$B$48</f>
            </multiLvlStrRef>
          </cat>
          <val>
            <numRef>
              <f>TotalSales!$C$5:$C$48</f>
              <numCache>
                <formatCode>#,##0</formatCode>
                <ptCount val="44"/>
                <pt idx="0">
                  <v>186.855</v>
                </pt>
                <pt idx="1">
                  <v>251.965</v>
                </pt>
                <pt idx="2">
                  <v>224.945</v>
                </pt>
                <pt idx="3">
                  <v>307.12</v>
                </pt>
                <pt idx="4">
                  <v>53.66499999999999</v>
                </pt>
                <pt idx="5">
                  <v>163.02</v>
                </pt>
                <pt idx="6">
                  <v>345.02</v>
                </pt>
                <pt idx="7">
                  <v>334.89</v>
                </pt>
                <pt idx="8">
                  <v>178.71</v>
                </pt>
                <pt idx="9">
                  <v>301.985</v>
                </pt>
                <pt idx="10">
                  <v>312.835</v>
                </pt>
                <pt idx="11">
                  <v>265.62</v>
                </pt>
                <pt idx="12">
                  <v>47.25</v>
                </pt>
                <pt idx="13">
                  <v>745.4499999999999</v>
                </pt>
                <pt idx="14">
                  <v>130.47</v>
                </pt>
                <pt idx="15">
                  <v>27</v>
                </pt>
                <pt idx="16">
                  <v>255.115</v>
                </pt>
                <pt idx="17">
                  <v>584.7899999999998</v>
                </pt>
                <pt idx="18">
                  <v>430.62</v>
                </pt>
                <pt idx="19">
                  <v>22.5</v>
                </pt>
                <pt idx="20">
                  <v>126.15</v>
                </pt>
                <pt idx="21">
                  <v>376.03</v>
                </pt>
                <pt idx="22">
                  <v>515.1799999999999</v>
                </pt>
                <pt idx="23">
                  <v>95.85999999999999</v>
                </pt>
                <pt idx="24">
                  <v>258.345</v>
                </pt>
                <pt idx="25">
                  <v>342.2</v>
                </pt>
                <pt idx="26">
                  <v>418.3049999999999</v>
                </pt>
                <pt idx="27">
                  <v>102.33</v>
                </pt>
                <pt idx="28">
                  <v>234.72</v>
                </pt>
                <pt idx="29">
                  <v>430.39</v>
                </pt>
                <pt idx="30">
                  <v>109.005</v>
                </pt>
                <pt idx="31">
                  <v>287.525</v>
                </pt>
                <pt idx="32">
                  <v>840.9299999999998</v>
                </pt>
                <pt idx="33">
                  <v>299.07</v>
                </pt>
                <pt idx="34">
                  <v>323.325</v>
                </pt>
                <pt idx="35">
                  <v>399.485</v>
                </pt>
                <pt idx="36">
                  <v>112.695</v>
                </pt>
                <pt idx="37">
                  <v>114.88</v>
                </pt>
                <pt idx="38">
                  <v>277.76</v>
                </pt>
                <pt idx="39">
                  <v>197.895</v>
                </pt>
                <pt idx="40">
                  <v>193.115</v>
                </pt>
                <pt idx="41">
                  <v>179.79</v>
                </pt>
                <pt idx="42">
                  <v>247.29</v>
                </pt>
                <pt idx="43">
                  <v>116.395</v>
                </pt>
              </numCache>
            </numRef>
          </val>
          <smooth val="0"/>
        </ser>
        <ser>
          <idx val="1"/>
          <order val="1"/>
          <tx>
            <strRef>
              <f>TotalSales!$D$3:$D$4</f>
              <strCache>
                <ptCount val="1"/>
                <pt idx="0">
                  <v>Excelsa</v>
                </pt>
              </strCache>
            </strRef>
          </tx>
          <spPr>
            <a:ln xmlns:a="http://schemas.openxmlformats.org/drawingml/2006/main" w="28575" cap="rnd">
              <a:solidFill>
                <a:srgbClr val="97450D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multiLvlStrCache>
                <lvl>
                  <pt idx="0">
                    <v>Jan</v>
                  </pt>
                  <pt idx="1">
                    <v>Feb</v>
                  </pt>
                  <pt idx="2">
                    <v>Mar</v>
                  </pt>
                  <pt idx="3">
                    <v>Apr</v>
                  </pt>
                  <pt idx="4">
                    <v>May</v>
                  </pt>
                  <pt idx="5">
                    <v>Jun</v>
                  </pt>
                  <pt idx="6">
                    <v>Jul</v>
                  </pt>
                  <pt idx="7">
                    <v>Aug</v>
                  </pt>
                  <pt idx="8">
                    <v>Sep</v>
                  </pt>
                  <pt idx="9">
                    <v>Oct</v>
                  </pt>
                  <pt idx="10">
                    <v>Nov</v>
                  </pt>
                  <pt idx="11">
                    <v>Dec</v>
                  </pt>
                  <pt idx="12">
                    <v>Jan</v>
                  </pt>
                  <pt idx="13">
                    <v>Feb</v>
                  </pt>
                  <pt idx="14">
                    <v>Mar</v>
                  </pt>
                  <pt idx="15">
                    <v>Apr</v>
                  </pt>
                  <pt idx="16">
                    <v>May</v>
                  </pt>
                  <pt idx="17">
                    <v>Jun</v>
                  </pt>
                  <pt idx="18">
                    <v>Jul</v>
                  </pt>
                  <pt idx="19">
                    <v>Aug</v>
                  </pt>
                  <pt idx="20">
                    <v>Sep</v>
                  </pt>
                  <pt idx="21">
                    <v>Oct</v>
                  </pt>
                  <pt idx="22">
                    <v>Nov</v>
                  </pt>
                  <pt idx="23">
                    <v>Dec</v>
                  </pt>
                  <pt idx="24">
                    <v>Jan</v>
                  </pt>
                  <pt idx="25">
                    <v>Feb</v>
                  </pt>
                  <pt idx="26">
                    <v>Mar</v>
                  </pt>
                  <pt idx="27">
                    <v>Apr</v>
                  </pt>
                  <pt idx="28">
                    <v>May</v>
                  </pt>
                  <pt idx="29">
                    <v>Jun</v>
                  </pt>
                  <pt idx="30">
                    <v>Jul</v>
                  </pt>
                  <pt idx="31">
                    <v>Aug</v>
                  </pt>
                  <pt idx="32">
                    <v>Sep</v>
                  </pt>
                  <pt idx="33">
                    <v>Oct</v>
                  </pt>
                  <pt idx="34">
                    <v>Nov</v>
                  </pt>
                  <pt idx="35">
                    <v>Dec</v>
                  </pt>
                  <pt idx="36">
                    <v>Jan</v>
                  </pt>
                  <pt idx="37">
                    <v>Feb</v>
                  </pt>
                  <pt idx="38">
                    <v>Mar</v>
                  </pt>
                  <pt idx="39">
                    <v>Apr</v>
                  </pt>
                  <pt idx="40">
                    <v>May</v>
                  </pt>
                  <pt idx="41">
                    <v>Jun</v>
                  </pt>
                  <pt idx="42">
                    <v>Jul</v>
                  </pt>
                  <pt idx="43">
                    <v>Aug</v>
                  </pt>
                </lvl>
                <lvl>
                  <pt idx="0">
                    <v>2019</v>
                  </pt>
                  <pt idx="12">
                    <v>2020</v>
                  </pt>
                  <pt idx="24">
                    <v>2021</v>
                  </pt>
                  <pt idx="36">
                    <v>2022</v>
                  </pt>
                </lvl>
              </multiLvlStrCache>
              <f>TotalSales!$A$5:$B$48</f>
            </multiLvlStrRef>
          </cat>
          <val>
            <numRef>
              <f>TotalSales!$D$5:$D$48</f>
              <numCache>
                <formatCode>#,##0</formatCode>
                <ptCount val="44"/>
                <pt idx="0">
                  <v>305.97</v>
                </pt>
                <pt idx="1">
                  <v>129.46</v>
                </pt>
                <pt idx="2">
                  <v>349.12</v>
                </pt>
                <pt idx="3">
                  <v>681.0749999999999</v>
                </pt>
                <pt idx="4">
                  <v>83.02500000000001</v>
                </pt>
                <pt idx="5">
                  <v>678.3599999999999</v>
                </pt>
                <pt idx="6">
                  <v>273.8699999999999</v>
                </pt>
                <pt idx="7">
                  <v>70.95</v>
                </pt>
                <pt idx="8">
                  <v>166.1</v>
                </pt>
                <pt idx="9">
                  <v>153.765</v>
                </pt>
                <pt idx="10">
                  <v>63.24999999999999</v>
                </pt>
                <pt idx="11">
                  <v>526.5149999999999</v>
                </pt>
                <pt idx="12">
                  <v>65.80500000000001</v>
                </pt>
                <pt idx="13">
                  <v>428.885</v>
                </pt>
                <pt idx="14">
                  <v>271.485</v>
                </pt>
                <pt idx="15">
                  <v>347.26</v>
                </pt>
                <pt idx="16">
                  <v>541.73</v>
                </pt>
                <pt idx="17">
                  <v>357.4299999999999</v>
                </pt>
                <pt idx="18">
                  <v>227.425</v>
                </pt>
                <pt idx="19">
                  <v>77.72</v>
                </pt>
                <pt idx="20">
                  <v>195.11</v>
                </pt>
                <pt idx="21">
                  <v>523.24</v>
                </pt>
                <pt idx="22">
                  <v>142.56</v>
                </pt>
                <pt idx="23">
                  <v>484.76</v>
                </pt>
                <pt idx="24">
                  <v>139.625</v>
                </pt>
                <pt idx="25">
                  <v>284.2499999999999</v>
                </pt>
                <pt idx="26">
                  <v>468.125</v>
                </pt>
                <pt idx="27">
                  <v>242.14</v>
                </pt>
                <pt idx="28">
                  <v>133.08</v>
                </pt>
                <pt idx="29">
                  <v>136.205</v>
                </pt>
                <pt idx="30">
                  <v>393.575</v>
                </pt>
                <pt idx="31">
                  <v>288.67</v>
                </pt>
                <pt idx="32">
                  <v>409.875</v>
                </pt>
                <pt idx="33">
                  <v>260.325</v>
                </pt>
                <pt idx="34">
                  <v>565.5700000000001</v>
                </pt>
                <pt idx="35">
                  <v>148.2</v>
                </pt>
                <pt idx="36">
                  <v>166.32</v>
                </pt>
                <pt idx="37">
                  <v>133.815</v>
                </pt>
                <pt idx="38">
                  <v>175.41</v>
                </pt>
                <pt idx="39">
                  <v>289.755</v>
                </pt>
                <pt idx="40">
                  <v>212.495</v>
                </pt>
                <pt idx="41">
                  <v>426.2</v>
                </pt>
                <pt idx="42">
                  <v>246.685</v>
                </pt>
                <pt idx="43">
                  <v>41.25</v>
                </pt>
              </numCache>
            </numRef>
          </val>
          <smooth val="0"/>
        </ser>
        <ser>
          <idx val="2"/>
          <order val="2"/>
          <tx>
            <strRef>
              <f>TotalSales!$E$3:$E$4</f>
              <strCache>
                <ptCount val="1"/>
                <pt idx="0">
                  <v>Liberica</v>
                </pt>
              </strCache>
            </strRef>
          </tx>
          <spPr>
            <a:ln xmlns:a="http://schemas.openxmlformats.org/drawingml/2006/main" w="28575" cap="rnd">
              <a:solidFill>
                <a:srgbClr val="FFFF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multiLvlStrCache>
                <lvl>
                  <pt idx="0">
                    <v>Jan</v>
                  </pt>
                  <pt idx="1">
                    <v>Feb</v>
                  </pt>
                  <pt idx="2">
                    <v>Mar</v>
                  </pt>
                  <pt idx="3">
                    <v>Apr</v>
                  </pt>
                  <pt idx="4">
                    <v>May</v>
                  </pt>
                  <pt idx="5">
                    <v>Jun</v>
                  </pt>
                  <pt idx="6">
                    <v>Jul</v>
                  </pt>
                  <pt idx="7">
                    <v>Aug</v>
                  </pt>
                  <pt idx="8">
                    <v>Sep</v>
                  </pt>
                  <pt idx="9">
                    <v>Oct</v>
                  </pt>
                  <pt idx="10">
                    <v>Nov</v>
                  </pt>
                  <pt idx="11">
                    <v>Dec</v>
                  </pt>
                  <pt idx="12">
                    <v>Jan</v>
                  </pt>
                  <pt idx="13">
                    <v>Feb</v>
                  </pt>
                  <pt idx="14">
                    <v>Mar</v>
                  </pt>
                  <pt idx="15">
                    <v>Apr</v>
                  </pt>
                  <pt idx="16">
                    <v>May</v>
                  </pt>
                  <pt idx="17">
                    <v>Jun</v>
                  </pt>
                  <pt idx="18">
                    <v>Jul</v>
                  </pt>
                  <pt idx="19">
                    <v>Aug</v>
                  </pt>
                  <pt idx="20">
                    <v>Sep</v>
                  </pt>
                  <pt idx="21">
                    <v>Oct</v>
                  </pt>
                  <pt idx="22">
                    <v>Nov</v>
                  </pt>
                  <pt idx="23">
                    <v>Dec</v>
                  </pt>
                  <pt idx="24">
                    <v>Jan</v>
                  </pt>
                  <pt idx="25">
                    <v>Feb</v>
                  </pt>
                  <pt idx="26">
                    <v>Mar</v>
                  </pt>
                  <pt idx="27">
                    <v>Apr</v>
                  </pt>
                  <pt idx="28">
                    <v>May</v>
                  </pt>
                  <pt idx="29">
                    <v>Jun</v>
                  </pt>
                  <pt idx="30">
                    <v>Jul</v>
                  </pt>
                  <pt idx="31">
                    <v>Aug</v>
                  </pt>
                  <pt idx="32">
                    <v>Sep</v>
                  </pt>
                  <pt idx="33">
                    <v>Oct</v>
                  </pt>
                  <pt idx="34">
                    <v>Nov</v>
                  </pt>
                  <pt idx="35">
                    <v>Dec</v>
                  </pt>
                  <pt idx="36">
                    <v>Jan</v>
                  </pt>
                  <pt idx="37">
                    <v>Feb</v>
                  </pt>
                  <pt idx="38">
                    <v>Mar</v>
                  </pt>
                  <pt idx="39">
                    <v>Apr</v>
                  </pt>
                  <pt idx="40">
                    <v>May</v>
                  </pt>
                  <pt idx="41">
                    <v>Jun</v>
                  </pt>
                  <pt idx="42">
                    <v>Jul</v>
                  </pt>
                  <pt idx="43">
                    <v>Aug</v>
                  </pt>
                </lvl>
                <lvl>
                  <pt idx="0">
                    <v>2019</v>
                  </pt>
                  <pt idx="12">
                    <v>2020</v>
                  </pt>
                  <pt idx="24">
                    <v>2021</v>
                  </pt>
                  <pt idx="36">
                    <v>2022</v>
                  </pt>
                </lvl>
              </multiLvlStrCache>
              <f>TotalSales!$A$5:$B$48</f>
            </multiLvlStrRef>
          </cat>
          <val>
            <numRef>
              <f>TotalSales!$E$5:$E$48</f>
              <numCache>
                <formatCode>#,##0</formatCode>
                <ptCount val="44"/>
                <pt idx="0">
                  <v>213.16</v>
                </pt>
                <pt idx="1">
                  <v>434.04</v>
                </pt>
                <pt idx="2">
                  <v>321.04</v>
                </pt>
                <pt idx="3">
                  <v>533.7049999999999</v>
                </pt>
                <pt idx="4">
                  <v>193.835</v>
                </pt>
                <pt idx="5">
                  <v>171.045</v>
                </pt>
                <pt idx="6">
                  <v>184.13</v>
                </pt>
                <pt idx="7">
                  <v>134.23</v>
                </pt>
                <pt idx="8">
                  <v>439.3099999999999</v>
                </pt>
                <pt idx="9">
                  <v>215.555</v>
                </pt>
                <pt idx="10">
                  <v>350.895</v>
                </pt>
                <pt idx="11">
                  <v>187.06</v>
                </pt>
                <pt idx="12">
                  <v>274.675</v>
                </pt>
                <pt idx="13">
                  <v>194.175</v>
                </pt>
                <pt idx="14">
                  <v>281.205</v>
                </pt>
                <pt idx="15">
                  <v>147.51</v>
                </pt>
                <pt idx="16">
                  <v>83.43000000000001</v>
                </pt>
                <pt idx="17">
                  <v>355.34</v>
                </pt>
                <pt idx="18">
                  <v>236.315</v>
                </pt>
                <pt idx="19">
                  <v>60.5</v>
                </pt>
                <pt idx="20">
                  <v>89.13</v>
                </pt>
                <pt idx="21">
                  <v>440.965</v>
                </pt>
                <pt idx="22">
                  <v>347.04</v>
                </pt>
                <pt idx="23">
                  <v>94.17</v>
                </pt>
                <pt idx="24">
                  <v>279.52</v>
                </pt>
                <pt idx="25">
                  <v>251.83</v>
                </pt>
                <pt idx="26">
                  <v>405.0550000000001</v>
                </pt>
                <pt idx="27">
                  <v>554.875</v>
                </pt>
                <pt idx="28">
                  <v>267.2</v>
                </pt>
                <pt idx="29">
                  <v>209.6</v>
                </pt>
                <pt idx="30">
                  <v>61.035</v>
                </pt>
                <pt idx="31">
                  <v>125.58</v>
                </pt>
                <pt idx="32">
                  <v>171.33</v>
                </pt>
                <pt idx="33">
                  <v>584.64</v>
                </pt>
                <pt idx="34">
                  <v>537.8099999999999</v>
                </pt>
                <pt idx="35">
                  <v>388.22</v>
                </pt>
                <pt idx="36">
                  <v>843.7149999999999</v>
                </pt>
                <pt idx="37">
                  <v>91.17500000000001</v>
                </pt>
                <pt idx="38">
                  <v>462.5099999999999</v>
                </pt>
                <pt idx="39">
                  <v>88.545</v>
                </pt>
                <pt idx="40">
                  <v>292.29</v>
                </pt>
                <pt idx="41">
                  <v>170.09</v>
                </pt>
                <pt idx="42">
                  <v>271.0549999999999</v>
                </pt>
                <pt idx="43">
                  <v>15.54</v>
                </pt>
              </numCache>
            </numRef>
          </val>
          <smooth val="0"/>
        </ser>
        <ser>
          <idx val="3"/>
          <order val="3"/>
          <tx>
            <strRef>
              <f>TotalSales!$F$3:$F$4</f>
              <strCache>
                <ptCount val="1"/>
                <pt idx="0">
                  <v>Robusta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multiLvlStrRef>
              <multiLvlStrCache>
                <lvl>
                  <pt idx="0">
                    <v>Jan</v>
                  </pt>
                  <pt idx="1">
                    <v>Feb</v>
                  </pt>
                  <pt idx="2">
                    <v>Mar</v>
                  </pt>
                  <pt idx="3">
                    <v>Apr</v>
                  </pt>
                  <pt idx="4">
                    <v>May</v>
                  </pt>
                  <pt idx="5">
                    <v>Jun</v>
                  </pt>
                  <pt idx="6">
                    <v>Jul</v>
                  </pt>
                  <pt idx="7">
                    <v>Aug</v>
                  </pt>
                  <pt idx="8">
                    <v>Sep</v>
                  </pt>
                  <pt idx="9">
                    <v>Oct</v>
                  </pt>
                  <pt idx="10">
                    <v>Nov</v>
                  </pt>
                  <pt idx="11">
                    <v>Dec</v>
                  </pt>
                  <pt idx="12">
                    <v>Jan</v>
                  </pt>
                  <pt idx="13">
                    <v>Feb</v>
                  </pt>
                  <pt idx="14">
                    <v>Mar</v>
                  </pt>
                  <pt idx="15">
                    <v>Apr</v>
                  </pt>
                  <pt idx="16">
                    <v>May</v>
                  </pt>
                  <pt idx="17">
                    <v>Jun</v>
                  </pt>
                  <pt idx="18">
                    <v>Jul</v>
                  </pt>
                  <pt idx="19">
                    <v>Aug</v>
                  </pt>
                  <pt idx="20">
                    <v>Sep</v>
                  </pt>
                  <pt idx="21">
                    <v>Oct</v>
                  </pt>
                  <pt idx="22">
                    <v>Nov</v>
                  </pt>
                  <pt idx="23">
                    <v>Dec</v>
                  </pt>
                  <pt idx="24">
                    <v>Jan</v>
                  </pt>
                  <pt idx="25">
                    <v>Feb</v>
                  </pt>
                  <pt idx="26">
                    <v>Mar</v>
                  </pt>
                  <pt idx="27">
                    <v>Apr</v>
                  </pt>
                  <pt idx="28">
                    <v>May</v>
                  </pt>
                  <pt idx="29">
                    <v>Jun</v>
                  </pt>
                  <pt idx="30">
                    <v>Jul</v>
                  </pt>
                  <pt idx="31">
                    <v>Aug</v>
                  </pt>
                  <pt idx="32">
                    <v>Sep</v>
                  </pt>
                  <pt idx="33">
                    <v>Oct</v>
                  </pt>
                  <pt idx="34">
                    <v>Nov</v>
                  </pt>
                  <pt idx="35">
                    <v>Dec</v>
                  </pt>
                  <pt idx="36">
                    <v>Jan</v>
                  </pt>
                  <pt idx="37">
                    <v>Feb</v>
                  </pt>
                  <pt idx="38">
                    <v>Mar</v>
                  </pt>
                  <pt idx="39">
                    <v>Apr</v>
                  </pt>
                  <pt idx="40">
                    <v>May</v>
                  </pt>
                  <pt idx="41">
                    <v>Jun</v>
                  </pt>
                  <pt idx="42">
                    <v>Jul</v>
                  </pt>
                  <pt idx="43">
                    <v>Aug</v>
                  </pt>
                </lvl>
                <lvl>
                  <pt idx="0">
                    <v>2019</v>
                  </pt>
                  <pt idx="12">
                    <v>2020</v>
                  </pt>
                  <pt idx="24">
                    <v>2021</v>
                  </pt>
                  <pt idx="36">
                    <v>2022</v>
                  </pt>
                </lvl>
              </multiLvlStrCache>
              <f>TotalSales!$A$5:$B$48</f>
            </multiLvlStrRef>
          </cat>
          <val>
            <numRef>
              <f>TotalSales!$F$5:$F$48</f>
              <numCache>
                <formatCode>#,##0</formatCode>
                <ptCount val="44"/>
                <pt idx="0">
                  <v>123</v>
                </pt>
                <pt idx="1">
                  <v>171.94</v>
                </pt>
                <pt idx="2">
                  <v>126.035</v>
                </pt>
                <pt idx="3">
                  <v>158.85</v>
                </pt>
                <pt idx="4">
                  <v>68.03999999999999</v>
                </pt>
                <pt idx="5">
                  <v>372.255</v>
                </pt>
                <pt idx="6">
                  <v>201.115</v>
                </pt>
                <pt idx="7">
                  <v>166.275</v>
                </pt>
                <pt idx="8">
                  <v>492.9</v>
                </pt>
                <pt idx="9">
                  <v>213.665</v>
                </pt>
                <pt idx="10">
                  <v>96.405</v>
                </pt>
                <pt idx="11">
                  <v>210.59</v>
                </pt>
                <pt idx="12">
                  <v>179.22</v>
                </pt>
                <pt idx="13">
                  <v>429.8299999999999</v>
                </pt>
                <pt idx="14">
                  <v>231.63</v>
                </pt>
                <pt idx="15">
                  <v>240.04</v>
                </pt>
                <pt idx="16">
                  <v>59.07999999999999</v>
                </pt>
                <pt idx="17">
                  <v>140.88</v>
                </pt>
                <pt idx="18">
                  <v>414.5849999999999</v>
                </pt>
                <pt idx="19">
                  <v>139.68</v>
                </pt>
                <pt idx="20">
                  <v>302.66</v>
                </pt>
                <pt idx="21">
                  <v>174.47</v>
                </pt>
                <pt idx="22">
                  <v>104.085</v>
                </pt>
                <pt idx="23">
                  <v>77.10499999999999</v>
                </pt>
                <pt idx="24">
                  <v>160.195</v>
                </pt>
                <pt idx="25">
                  <v>80.55000000000001</v>
                </pt>
                <pt idx="26">
                  <v>253.155</v>
                </pt>
                <pt idx="27">
                  <v>106.24</v>
                </pt>
                <pt idx="28">
                  <v>272.6899999999999</v>
                </pt>
                <pt idx="29">
                  <v>88.33499999999999</v>
                </pt>
                <pt idx="30">
                  <v>199.49</v>
                </pt>
                <pt idx="31">
                  <v>374.135</v>
                </pt>
                <pt idx="32">
                  <v>221.44</v>
                </pt>
                <pt idx="33">
                  <v>256.365</v>
                </pt>
                <pt idx="34">
                  <v>189.475</v>
                </pt>
                <pt idx="35">
                  <v>212.075</v>
                </pt>
                <pt idx="36">
                  <v>146.685</v>
                </pt>
                <pt idx="37">
                  <v>53.75999999999999</v>
                </pt>
                <pt idx="38">
                  <v>399.525</v>
                </pt>
                <pt idx="39">
                  <v>200.255</v>
                </pt>
                <pt idx="40">
                  <v>304.47</v>
                </pt>
                <pt idx="41">
                  <v>379.31</v>
                </pt>
                <pt idx="42">
                  <v>141.7</v>
                </pt>
                <pt idx="43">
                  <v>71.06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63883439"/>
        <axId val="2063883919"/>
      </lineChart>
      <catAx>
        <axId val="206388343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63883919"/>
        <crosses val="autoZero"/>
        <auto val="1"/>
        <lblAlgn val="ctr"/>
        <lblOffset val="100"/>
        <noMultiLvlLbl val="0"/>
      </catAx>
      <valAx>
        <axId val="206388391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rgbClr val="3C1464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USD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6388343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3C1464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pivotSource>
    <name>[ds_coffeeOrdersProject.xlsx]CountryBarChart!TotalSales</name>
    <fmtId val="7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Country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rgbClr val="3C1464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rgbClr val="00B050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rgbClr val="005024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</pivotFmt>
      <pivotFmt>
        <idx val="2"/>
        <spPr>
          <a:solidFill xmlns:a="http://schemas.openxmlformats.org/drawingml/2006/main">
            <a:srgbClr val="00EE6C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</pivotFmt>
      <pivotFmt>
        <idx val="3"/>
        <spPr>
          <a:solidFill xmlns:a="http://schemas.openxmlformats.org/drawingml/2006/main">
            <a:srgbClr val="AFFFD3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</pivotFmt>
      <pivotFmt>
        <idx val="4"/>
        <spPr>
          <a:solidFill xmlns:a="http://schemas.openxmlformats.org/drawingml/2006/main">
            <a:srgbClr val="00B050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rgbClr val="AFFFD3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</pivotFmt>
      <pivotFmt>
        <idx val="6"/>
        <spPr>
          <a:solidFill xmlns:a="http://schemas.openxmlformats.org/drawingml/2006/main">
            <a:srgbClr val="00EE6C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</pivotFmt>
      <pivotFmt>
        <idx val="7"/>
        <spPr>
          <a:solidFill xmlns:a="http://schemas.openxmlformats.org/drawingml/2006/main">
            <a:srgbClr val="005024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</pivotFmt>
      <pivotFmt>
        <idx val="8"/>
        <spPr>
          <a:solidFill xmlns:a="http://schemas.openxmlformats.org/drawingml/2006/main">
            <a:srgbClr val="00B050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9"/>
        <spPr>
          <a:solidFill xmlns:a="http://schemas.openxmlformats.org/drawingml/2006/main">
            <a:srgbClr val="AFFFD3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</pivotFmt>
      <pivotFmt>
        <idx val="10"/>
        <spPr>
          <a:solidFill xmlns:a="http://schemas.openxmlformats.org/drawingml/2006/main">
            <a:srgbClr val="00EE6C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</pivotFmt>
      <pivotFmt>
        <idx val="11"/>
        <spPr>
          <a:solidFill xmlns:a="http://schemas.openxmlformats.org/drawingml/2006/main">
            <a:srgbClr val="005024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</pivotFmt>
    </pivotFmts>
    <plotArea>
      <layout/>
      <barChart>
        <barDir val="bar"/>
        <grouping val="clustered"/>
        <varyColors val="0"/>
        <ser>
          <idx val="0"/>
          <order val="0"/>
          <tx>
            <strRef>
              <f>CountryBarChart!$B$3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rgbClr val="00B050"/>
            </a:solidFill>
            <a:ln xmlns:a="http://schemas.openxmlformats.org/drawingml/2006/main" w="25400">
              <a:solidFill>
                <a:schemeClr val="bg1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rgbClr val="AFFFD3"/>
              </a:solidFill>
              <a:ln xmlns:a="http://schemas.openxmlformats.org/drawingml/2006/main" w="25400">
                <a:solidFill>
                  <a:schemeClr val="bg1"/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rgbClr val="00EE6C"/>
              </a:solidFill>
              <a:ln xmlns:a="http://schemas.openxmlformats.org/drawingml/2006/main" w="25400">
                <a:solidFill>
                  <a:schemeClr val="bg1"/>
                </a:solidFill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rgbClr val="005024"/>
              </a:solidFill>
              <a:ln xmlns:a="http://schemas.openxmlformats.org/drawingml/2006/main" w="25400">
                <a:solidFill>
                  <a:schemeClr val="bg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rgbClr val="3C1464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CountryBarChart!$A$4:$A$6</f>
              <strCache>
                <ptCount val="3"/>
                <pt idx="0">
                  <v>United Kingdom</v>
                </pt>
                <pt idx="1">
                  <v>Ireland</v>
                </pt>
                <pt idx="2">
                  <v>United States</v>
                </pt>
              </strCache>
            </strRef>
          </cat>
          <val>
            <numRef>
              <f>CountryBarChart!$B$4:$B$6</f>
              <numCache>
                <formatCode>[$$-409]#,##0</formatCode>
                <ptCount val="3"/>
                <pt idx="0">
                  <v>2798.505</v>
                </pt>
                <pt idx="1">
                  <v>6696.864999999999</v>
                </pt>
                <pt idx="2">
                  <v>35638.88499999998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82"/>
        <axId val="2125449743"/>
        <axId val="1703859007"/>
      </barChart>
      <catAx>
        <axId val="2125449743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03859007"/>
        <crosses val="autoZero"/>
        <auto val="1"/>
        <lblAlgn val="ctr"/>
        <lblOffset val="100"/>
        <noMultiLvlLbl val="0"/>
      </catAx>
      <valAx>
        <axId val="170385900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[$$-409]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125449743"/>
        <crosses val="autoZero"/>
        <crossBetween val="between"/>
      </valAx>
    </plotArea>
    <plotVisOnly val="1"/>
    <dispBlanksAs val="gap"/>
  </chart>
</chartSpace>
</file>

<file path=xl/charts/chart3.xml><?xml version="1.0" encoding="utf-8"?>
<chartSpace xmlns="http://schemas.openxmlformats.org/drawingml/2006/chart">
  <pivotSource>
    <name>[ds_coffeeOrdersProject.xlsx]Top5Customers!TotalSales</name>
    <fmtId val="8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Customers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rgbClr val="3C1464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rgbClr val="00B050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rgbClr val="005024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</pivotFmt>
      <pivotFmt>
        <idx val="2"/>
        <spPr>
          <a:solidFill xmlns:a="http://schemas.openxmlformats.org/drawingml/2006/main">
            <a:srgbClr val="00EE6C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</pivotFmt>
      <pivotFmt>
        <idx val="3"/>
        <spPr>
          <a:solidFill xmlns:a="http://schemas.openxmlformats.org/drawingml/2006/main">
            <a:srgbClr val="AFFFD3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</pivotFmt>
      <pivotFmt>
        <idx val="4"/>
        <spPr>
          <a:solidFill xmlns:a="http://schemas.openxmlformats.org/drawingml/2006/main">
            <a:srgbClr val="00B050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rgbClr val="AFFFD3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</pivotFmt>
      <pivotFmt>
        <idx val="6"/>
        <spPr>
          <a:solidFill xmlns:a="http://schemas.openxmlformats.org/drawingml/2006/main">
            <a:srgbClr val="00EE6C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</pivotFmt>
      <pivotFmt>
        <idx val="7"/>
        <spPr>
          <a:solidFill xmlns:a="http://schemas.openxmlformats.org/drawingml/2006/main">
            <a:srgbClr val="005024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</pivotFmt>
      <pivotFmt>
        <idx val="8"/>
        <spPr>
          <a:solidFill xmlns:a="http://schemas.openxmlformats.org/drawingml/2006/main">
            <a:srgbClr val="00B050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  <pivotFmt>
        <idx val="9"/>
        <spPr>
          <a:solidFill xmlns:a="http://schemas.openxmlformats.org/drawingml/2006/main">
            <a:srgbClr val="00B050"/>
          </a:solidFill>
          <a:ln xmlns:a="http://schemas.openxmlformats.org/drawingml/2006/main" w="25400">
            <a:solidFill>
              <a:schemeClr val="bg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rgbClr val="3C1464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clustered"/>
        <varyColors val="0"/>
        <ser>
          <idx val="0"/>
          <order val="0"/>
          <tx>
            <strRef>
              <f>Top5Customers!$B$3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rgbClr val="00B050"/>
            </a:solidFill>
            <a:ln xmlns:a="http://schemas.openxmlformats.org/drawingml/2006/main" w="25400">
              <a:solidFill>
                <a:schemeClr val="bg1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rgbClr val="3C1464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Top5Customers!$A$4:$A$8</f>
              <strCache>
                <ptCount val="5"/>
                <pt idx="0">
                  <v>Don Flintiff</v>
                </pt>
                <pt idx="1">
                  <v>Nealson Cuttler</v>
                </pt>
                <pt idx="2">
                  <v>Terri Farra</v>
                </pt>
                <pt idx="3">
                  <v>Brenn Dundredge</v>
                </pt>
                <pt idx="4">
                  <v>Allis Wilmore</v>
                </pt>
              </strCache>
            </strRef>
          </cat>
          <val>
            <numRef>
              <f>Top5Customers!$B$4:$B$8</f>
              <numCache>
                <formatCode>[$$-409]#,##0</formatCode>
                <ptCount val="5"/>
                <pt idx="0">
                  <v>278.01</v>
                </pt>
                <pt idx="1">
                  <v>281.675</v>
                </pt>
                <pt idx="2">
                  <v>289.11</v>
                </pt>
                <pt idx="3">
                  <v>307.045</v>
                </pt>
                <pt idx="4">
                  <v>317.0699999999999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82"/>
        <axId val="2125449743"/>
        <axId val="1703859007"/>
      </barChart>
      <catAx>
        <axId val="2125449743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03859007"/>
        <crosses val="autoZero"/>
        <auto val="1"/>
        <lblAlgn val="ctr"/>
        <lblOffset val="100"/>
        <noMultiLvlLbl val="0"/>
      </catAx>
      <valAx>
        <axId val="1703859007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bg1">
                  <a:lumMod val="95000"/>
                </a:schemeClr>
              </a:solidFill>
              <a:prstDash val="solid"/>
              <a:round/>
            </a:ln>
          </spPr>
        </majorGridlines>
        <numFmt formatCode="[$$-409]#,##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3C1464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125449743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1</col>
      <colOff>0</colOff>
      <row>17</row>
      <rowOff>0</rowOff>
    </from>
    <to>
      <col>15</col>
      <colOff>0</colOff>
      <row>40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16</col>
      <colOff>0</colOff>
      <row>17</row>
      <rowOff>0</rowOff>
    </from>
    <to>
      <col>26</col>
      <colOff>0</colOff>
      <row>27</row>
      <rowOff>19050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15</col>
      <colOff>114298</colOff>
      <row>27</row>
      <rowOff>95250</rowOff>
    </from>
    <to>
      <col>25</col>
      <colOff>609599</colOff>
      <row>40</row>
      <rowOff>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o Chen" refreshedDate="45109.44071828703" createdVersion="8" refreshedVersion="8" minRefreshableVersion="3" recordCount="1000" r:id="rId1">
  <cacheSource type="worksheet">
    <worksheetSource name="Orders"/>
  </cacheSource>
  <cacheFields count="18">
    <cacheField name="Order ID" uniqueList="1" numFmtId="0" sqlType="0" hierarchy="0" level="0" databaseField="1">
      <sharedItems count="0"/>
    </cacheField>
    <cacheField name="Order Date" uniqueList="1" numFmtId="165" sqlType="0" hierarchy="0" level="0" databaseField="1">
      <sharedItems count="689" containsDate="1" containsNonDate="0" containsSemiMixedTypes="0" containsString="0" minDate="2019-01-02T00:00:00" maxDate="2022-08-20T00:00:00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7"/>
    </cacheField>
    <cacheField name="Customer ID" uniqueList="1" numFmtId="0" sqlType="0" hierarchy="0" level="0" databaseField="1">
      <sharedItems count="0"/>
    </cacheField>
    <cacheField name="Product ID" uniqueList="1" numFmtId="0" sqlType="0" hierarchy="0" level="0" databaseField="1">
      <sharedItems count="0"/>
    </cacheField>
    <cacheField name="Quantity" uniqueList="1" numFmtId="0" sqlType="0" hierarchy="0" level="0" databaseField="1">
      <sharedItems count="0" containsInteger="1" containsNumber="1" containsSemiMixedTypes="0" containsString="0" minValue="1" maxValue="6"/>
    </cacheField>
    <cacheField name="Customer Name" uniqueList="1" numFmtId="0" sqlType="0" hierarchy="0" level="0" databaseField="1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uniqueList="1" numFmtId="0" sqlType="0" hierarchy="0" level="0" databaseField="1">
      <sharedItems count="0"/>
    </cacheField>
    <cacheField name="Country" uniqueList="1" numFmtId="0" sqlType="0" hierarchy="0" level="0" databaseField="1">
      <sharedItems count="3">
        <s v="United States"/>
        <s v="Ireland"/>
        <s v="United Kingdom"/>
      </sharedItems>
    </cacheField>
    <cacheField name="Coffee Type" uniqueList="1" numFmtId="0" sqlType="0" hierarchy="0" level="0" databaseField="1">
      <sharedItems count="0"/>
    </cacheField>
    <cacheField name="Roast Type" uniqueList="1" numFmtId="0" sqlType="0" hierarchy="0" level="0" databaseField="1">
      <sharedItems count="0"/>
    </cacheField>
    <cacheField name="Size" uniqueList="1" numFmtId="166" sqlType="0" hierarchy="0" level="0" databaseField="1">
      <sharedItems count="4" containsNumber="1" containsSemiMixedTypes="0" containsString="0" minValue="0.2" maxValue="2.5">
        <n v="1"/>
        <n v="0.5"/>
        <n v="2.5"/>
        <n v="0.2"/>
      </sharedItems>
    </cacheField>
    <cacheField name="Unit Price" uniqueList="1" numFmtId="167" sqlType="0" hierarchy="0" level="0" databaseField="1">
      <sharedItems count="0" containsNumber="1" containsSemiMixedTypes="0" containsString="0" minValue="2.685" maxValue="36.455"/>
    </cacheField>
    <cacheField name="Sales" uniqueList="1" numFmtId="167" sqlType="0" hierarchy="0" level="0" databaseField="1">
      <sharedItems count="0" containsNumber="1" containsSemiMixedTypes="0" containsString="0" minValue="2.685" maxValue="218.73"/>
    </cacheField>
    <cacheField name="Coffee Type Name" uniqueList="1" numFmtId="0" sqlType="0" hierarchy="0" level="0" databaseField="1">
      <sharedItems count="4">
        <s v="Robusta"/>
        <s v="Excelsa"/>
        <s v="Arabica"/>
        <s v="Liberica"/>
      </sharedItems>
    </cacheField>
    <cacheField name="Roast Type Name" uniqueList="1" numFmtId="0" sqlType="0" hierarchy="0" level="0" databaseField="1">
      <sharedItems count="3">
        <s v="Medium"/>
        <s v="Light"/>
        <s v="Dark"/>
      </sharedItems>
    </cacheField>
    <cacheField name="Loyalty Card" uniqueList="1" numFmtId="0" sqlType="0" hierarchy="0" level="0" databaseField="1">
      <sharedItems count="2">
        <s v="Yes"/>
        <s v="No"/>
      </sharedItems>
    </cacheField>
    <cacheField name="Months (Order Date)" uniqueList="1" numFmtId="0" sqlType="0" hierarchy="0" level="0" databaseField="0">
      <fieldGroup base="1">
        <rangePr autoStart="1" autoEnd="1" groupBy="months" startDate="2019-01-02T00:00:00" endDate="2022-08-20T00:00:00" groupInterval="1"/>
        <groupItems count="14">
          <s v="&lt;02/0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/08/2022"/>
        </groupItems>
      </fieldGroup>
    </cacheField>
    <cacheField name="Years (Order Date)" uniqueList="1" numFmtId="0" sqlType="0" hierarchy="0" level="0" databaseField="0">
      <fieldGroup base="1">
        <rangePr autoStart="1" autoEnd="1" groupBy="years" startDate="2019-01-02T00:00:00" endDate="2022-08-20T00:00:00" groupInterval="1"/>
        <groupItems count="6">
          <s v="&lt;02/01/2019"/>
          <s v="2019"/>
          <s v="2020"/>
          <s v="2021"/>
          <s v="2022"/>
          <s v="&gt;20/08/2022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count="1000">
  <r>
    <s v="QEV-37451-860"/>
    <x v="0"/>
    <s v="17670-51384-MA"/>
    <s v="R-M-1"/>
    <n v="2"/>
    <x v="0"/>
    <s v="aallner0@lulu.com"/>
    <x v="0"/>
    <s v="Rob"/>
    <s v="M"/>
    <x v="0"/>
    <n v="9.949999999999999"/>
    <n v="19.9"/>
    <x v="0"/>
    <x v="0"/>
    <x v="0"/>
  </r>
  <r>
    <s v="QEV-37451-860"/>
    <x v="0"/>
    <s v="17670-51384-MA"/>
    <s v="E-M-0.5"/>
    <n v="5"/>
    <x v="0"/>
    <s v="aallner0@lulu.com"/>
    <x v="0"/>
    <s v="Exc"/>
    <s v="M"/>
    <x v="1"/>
    <n v="8.25"/>
    <n v="41.25"/>
    <x v="1"/>
    <x v="0"/>
    <x v="0"/>
  </r>
  <r>
    <s v="FAA-43335-268"/>
    <x v="1"/>
    <s v="21125-22134-PX"/>
    <s v="A-L-1"/>
    <n v="1"/>
    <x v="1"/>
    <s v="jredholes2@tmall.com"/>
    <x v="0"/>
    <s v="Ara"/>
    <s v="L"/>
    <x v="0"/>
    <n v="12.95"/>
    <n v="12.95"/>
    <x v="2"/>
    <x v="1"/>
    <x v="0"/>
  </r>
  <r>
    <s v="KAC-83089-793"/>
    <x v="2"/>
    <s v="23806-46781-OU"/>
    <s v="E-M-1"/>
    <n v="2"/>
    <x v="2"/>
    <s v=""/>
    <x v="1"/>
    <s v="Exc"/>
    <s v="M"/>
    <x v="0"/>
    <n v="13.75"/>
    <n v="27.5"/>
    <x v="1"/>
    <x v="0"/>
    <x v="1"/>
  </r>
  <r>
    <s v="KAC-83089-793"/>
    <x v="2"/>
    <s v="23806-46781-OU"/>
    <s v="R-L-2.5"/>
    <n v="2"/>
    <x v="2"/>
    <s v=""/>
    <x v="1"/>
    <s v="Rob"/>
    <s v="L"/>
    <x v="2"/>
    <n v="27.485"/>
    <n v="54.96999999999999"/>
    <x v="0"/>
    <x v="1"/>
    <x v="1"/>
  </r>
  <r>
    <s v="CVP-18956-553"/>
    <x v="3"/>
    <s v="86561-91660-RB"/>
    <s v="L-D-1"/>
    <n v="3"/>
    <x v="3"/>
    <s v=""/>
    <x v="0"/>
    <s v="Lib"/>
    <s v="D"/>
    <x v="0"/>
    <n v="12.95"/>
    <n v="38.84999999999999"/>
    <x v="3"/>
    <x v="2"/>
    <x v="1"/>
  </r>
  <r>
    <s v="IPP-31994-879"/>
    <x v="4"/>
    <s v="65223-29612-CB"/>
    <s v="E-D-0.5"/>
    <n v="3"/>
    <x v="4"/>
    <s v="slobe6@nifty.com"/>
    <x v="0"/>
    <s v="Exc"/>
    <s v="D"/>
    <x v="1"/>
    <n v="7.29"/>
    <n v="21.87"/>
    <x v="1"/>
    <x v="2"/>
    <x v="0"/>
  </r>
  <r>
    <s v="SNZ-65340-705"/>
    <x v="5"/>
    <s v="21134-81676-FR"/>
    <s v="L-L-0.2"/>
    <n v="1"/>
    <x v="5"/>
    <s v=""/>
    <x v="1"/>
    <s v="Lib"/>
    <s v="L"/>
    <x v="3"/>
    <n v="4.755"/>
    <n v="4.755"/>
    <x v="3"/>
    <x v="1"/>
    <x v="0"/>
  </r>
  <r>
    <s v="EZT-46571-659"/>
    <x v="6"/>
    <s v="03396-68805-ZC"/>
    <s v="R-M-0.5"/>
    <n v="3"/>
    <x v="6"/>
    <s v="gpetracci8@livejournal.com"/>
    <x v="0"/>
    <s v="Rob"/>
    <s v="M"/>
    <x v="1"/>
    <n v="5.97"/>
    <n v="17.91"/>
    <x v="0"/>
    <x v="0"/>
    <x v="1"/>
  </r>
  <r>
    <s v="NWQ-70061-912"/>
    <x v="0"/>
    <s v="61021-27840-ZN"/>
    <s v="R-M-0.5"/>
    <n v="1"/>
    <x v="7"/>
    <s v="rraven9@ed.gov"/>
    <x v="0"/>
    <s v="Rob"/>
    <s v="M"/>
    <x v="1"/>
    <n v="5.97"/>
    <n v="5.97"/>
    <x v="0"/>
    <x v="0"/>
    <x v="1"/>
  </r>
  <r>
    <s v="BKK-47233-845"/>
    <x v="7"/>
    <s v="76239-90137-UQ"/>
    <s v="A-D-1"/>
    <n v="4"/>
    <x v="8"/>
    <s v="fferbera@businesswire.com"/>
    <x v="0"/>
    <s v="Ara"/>
    <s v="D"/>
    <x v="0"/>
    <n v="9.949999999999999"/>
    <n v="39.8"/>
    <x v="2"/>
    <x v="2"/>
    <x v="1"/>
  </r>
  <r>
    <s v="VQR-01002-970"/>
    <x v="8"/>
    <s v="49315-21985-BB"/>
    <s v="E-L-2.5"/>
    <n v="5"/>
    <x v="9"/>
    <s v="dphizackerlyb@utexas.edu"/>
    <x v="0"/>
    <s v="Exc"/>
    <s v="L"/>
    <x v="2"/>
    <n v="34.15499999999999"/>
    <n v="170.775"/>
    <x v="1"/>
    <x v="1"/>
    <x v="0"/>
  </r>
  <r>
    <s v="SZW-48378-399"/>
    <x v="9"/>
    <s v="34136-36674-OM"/>
    <s v="R-M-1"/>
    <n v="5"/>
    <x v="10"/>
    <s v="rscholarc@nyu.edu"/>
    <x v="0"/>
    <s v="Rob"/>
    <s v="M"/>
    <x v="0"/>
    <n v="9.949999999999999"/>
    <n v="49.75"/>
    <x v="0"/>
    <x v="0"/>
    <x v="1"/>
  </r>
  <r>
    <s v="ITA-87418-783"/>
    <x v="10"/>
    <s v="39396-12890-PE"/>
    <s v="R-D-2.5"/>
    <n v="2"/>
    <x v="11"/>
    <s v="tvanyutind@wix.com"/>
    <x v="0"/>
    <s v="Rob"/>
    <s v="D"/>
    <x v="2"/>
    <n v="20.585"/>
    <n v="41.16999999999999"/>
    <x v="0"/>
    <x v="2"/>
    <x v="1"/>
  </r>
  <r>
    <s v="GNZ-46006-527"/>
    <x v="11"/>
    <s v="95875-73336-RG"/>
    <s v="L-D-0.2"/>
    <n v="3"/>
    <x v="12"/>
    <s v="ptrobee@wunderground.com"/>
    <x v="0"/>
    <s v="Lib"/>
    <s v="D"/>
    <x v="3"/>
    <n v="3.885"/>
    <n v="11.655"/>
    <x v="3"/>
    <x v="2"/>
    <x v="0"/>
  </r>
  <r>
    <s v="FYQ-78248-319"/>
    <x v="12"/>
    <s v="25473-43727-BY"/>
    <s v="R-M-2.5"/>
    <n v="5"/>
    <x v="13"/>
    <s v="loscroftf@ebay.co.uk"/>
    <x v="0"/>
    <s v="Rob"/>
    <s v="M"/>
    <x v="2"/>
    <n v="22.885"/>
    <n v="114.425"/>
    <x v="0"/>
    <x v="0"/>
    <x v="1"/>
  </r>
  <r>
    <s v="VAU-44387-624"/>
    <x v="13"/>
    <s v="99643-51048-IQ"/>
    <s v="A-M-0.2"/>
    <n v="6"/>
    <x v="14"/>
    <s v="malabasterg@hexun.com"/>
    <x v="0"/>
    <s v="Ara"/>
    <s v="M"/>
    <x v="3"/>
    <n v="3.375"/>
    <n v="20.25"/>
    <x v="2"/>
    <x v="0"/>
    <x v="1"/>
  </r>
  <r>
    <s v="RDW-33155-159"/>
    <x v="14"/>
    <s v="62173-15287-CU"/>
    <s v="A-L-1"/>
    <n v="6"/>
    <x v="15"/>
    <s v="rbroxuph@jimdo.com"/>
    <x v="0"/>
    <s v="Ara"/>
    <s v="L"/>
    <x v="0"/>
    <n v="12.95"/>
    <n v="77.69999999999999"/>
    <x v="2"/>
    <x v="1"/>
    <x v="1"/>
  </r>
  <r>
    <s v="TDZ-59011-211"/>
    <x v="15"/>
    <s v="57611-05522-ST"/>
    <s v="R-D-2.5"/>
    <n v="4"/>
    <x v="16"/>
    <s v="predfordi@ow.ly"/>
    <x v="1"/>
    <s v="Rob"/>
    <s v="D"/>
    <x v="2"/>
    <n v="20.585"/>
    <n v="82.33999999999999"/>
    <x v="0"/>
    <x v="2"/>
    <x v="0"/>
  </r>
  <r>
    <s v="IDU-25793-399"/>
    <x v="16"/>
    <s v="76664-37050-DT"/>
    <s v="A-M-0.2"/>
    <n v="5"/>
    <x v="17"/>
    <s v="acorradinoj@harvard.edu"/>
    <x v="0"/>
    <s v="Ara"/>
    <s v="M"/>
    <x v="3"/>
    <n v="3.375"/>
    <n v="16.875"/>
    <x v="2"/>
    <x v="0"/>
    <x v="0"/>
  </r>
  <r>
    <s v="IDU-25793-399"/>
    <x v="16"/>
    <s v="76664-37050-DT"/>
    <s v="E-D-0.2"/>
    <n v="4"/>
    <x v="17"/>
    <s v="acorradinoj@harvard.edu"/>
    <x v="0"/>
    <s v="Exc"/>
    <s v="D"/>
    <x v="3"/>
    <n v="3.645"/>
    <n v="14.58"/>
    <x v="1"/>
    <x v="2"/>
    <x v="0"/>
  </r>
  <r>
    <s v="NUO-20013-488"/>
    <x v="16"/>
    <s v="03090-88267-BQ"/>
    <s v="A-D-0.2"/>
    <n v="6"/>
    <x v="18"/>
    <s v="adavidowskyl@netvibes.com"/>
    <x v="0"/>
    <s v="Ara"/>
    <s v="D"/>
    <x v="3"/>
    <n v="2.985"/>
    <n v="17.91"/>
    <x v="2"/>
    <x v="2"/>
    <x v="1"/>
  </r>
  <r>
    <s v="UQU-65630-479"/>
    <x v="17"/>
    <s v="37651-47492-NC"/>
    <s v="R-M-2.5"/>
    <n v="4"/>
    <x v="19"/>
    <s v="aantukm@kickstarter.com"/>
    <x v="0"/>
    <s v="Rob"/>
    <s v="M"/>
    <x v="2"/>
    <n v="22.885"/>
    <n v="91.53999999999999"/>
    <x v="0"/>
    <x v="0"/>
    <x v="0"/>
  </r>
  <r>
    <s v="FEO-11834-332"/>
    <x v="18"/>
    <s v="95399-57205-HI"/>
    <s v="A-D-0.2"/>
    <n v="4"/>
    <x v="20"/>
    <s v="ikleinertn@timesonline.co.uk"/>
    <x v="0"/>
    <s v="Ara"/>
    <s v="D"/>
    <x v="3"/>
    <n v="2.985"/>
    <n v="11.94"/>
    <x v="2"/>
    <x v="2"/>
    <x v="0"/>
  </r>
  <r>
    <s v="TKY-71558-096"/>
    <x v="19"/>
    <s v="24010-66714-HW"/>
    <s v="A-M-1"/>
    <n v="1"/>
    <x v="21"/>
    <s v="cblofeldo@amazon.co.uk"/>
    <x v="0"/>
    <s v="Ara"/>
    <s v="M"/>
    <x v="0"/>
    <n v="11.25"/>
    <n v="11.25"/>
    <x v="2"/>
    <x v="0"/>
    <x v="1"/>
  </r>
  <r>
    <s v="OXY-65322-253"/>
    <x v="20"/>
    <s v="07591-92789-UA"/>
    <s v="E-M-0.2"/>
    <n v="3"/>
    <x v="22"/>
    <s v=""/>
    <x v="0"/>
    <s v="Exc"/>
    <s v="M"/>
    <x v="3"/>
    <n v="4.125"/>
    <n v="12.375"/>
    <x v="1"/>
    <x v="0"/>
    <x v="0"/>
  </r>
  <r>
    <s v="EVP-43500-491"/>
    <x v="21"/>
    <s v="49231-44455-IC"/>
    <s v="A-M-0.5"/>
    <n v="4"/>
    <x v="23"/>
    <s v="sshalesq@umich.edu"/>
    <x v="0"/>
    <s v="Ara"/>
    <s v="M"/>
    <x v="1"/>
    <n v="6.75"/>
    <n v="27"/>
    <x v="2"/>
    <x v="0"/>
    <x v="0"/>
  </r>
  <r>
    <s v="WAG-26945-689"/>
    <x v="22"/>
    <s v="50124-88608-EO"/>
    <s v="A-M-0.2"/>
    <n v="5"/>
    <x v="24"/>
    <s v="vdanneilr@mtv.com"/>
    <x v="1"/>
    <s v="Ara"/>
    <s v="M"/>
    <x v="3"/>
    <n v="3.375"/>
    <n v="16.875"/>
    <x v="2"/>
    <x v="0"/>
    <x v="1"/>
  </r>
  <r>
    <s v="CHE-78995-767"/>
    <x v="23"/>
    <s v="00888-74814-UZ"/>
    <s v="A-D-0.5"/>
    <n v="3"/>
    <x v="25"/>
    <s v="tnewburys@usda.gov"/>
    <x v="1"/>
    <s v="Ara"/>
    <s v="D"/>
    <x v="1"/>
    <n v="5.97"/>
    <n v="17.91"/>
    <x v="2"/>
    <x v="2"/>
    <x v="1"/>
  </r>
  <r>
    <s v="RYZ-14633-602"/>
    <x v="21"/>
    <s v="14158-30713-OB"/>
    <s v="A-D-1"/>
    <n v="4"/>
    <x v="26"/>
    <s v="mcalcuttt@baidu.com"/>
    <x v="1"/>
    <s v="Ara"/>
    <s v="D"/>
    <x v="0"/>
    <n v="9.949999999999999"/>
    <n v="39.8"/>
    <x v="2"/>
    <x v="2"/>
    <x v="0"/>
  </r>
  <r>
    <s v="WOQ-36015-429"/>
    <x v="24"/>
    <s v="51427-89175-QJ"/>
    <s v="L-M-0.2"/>
    <n v="5"/>
    <x v="27"/>
    <s v=""/>
    <x v="0"/>
    <s v="Lib"/>
    <s v="M"/>
    <x v="3"/>
    <n v="4.365"/>
    <n v="21.825"/>
    <x v="3"/>
    <x v="0"/>
    <x v="1"/>
  </r>
  <r>
    <s v="WOQ-36015-429"/>
    <x v="24"/>
    <s v="51427-89175-QJ"/>
    <s v="A-D-0.5"/>
    <n v="6"/>
    <x v="27"/>
    <s v=""/>
    <x v="0"/>
    <s v="Ara"/>
    <s v="D"/>
    <x v="1"/>
    <n v="5.97"/>
    <n v="35.82"/>
    <x v="2"/>
    <x v="2"/>
    <x v="1"/>
  </r>
  <r>
    <s v="WOQ-36015-429"/>
    <x v="24"/>
    <s v="51427-89175-QJ"/>
    <s v="L-M-0.5"/>
    <n v="6"/>
    <x v="27"/>
    <s v=""/>
    <x v="0"/>
    <s v="Lib"/>
    <s v="M"/>
    <x v="1"/>
    <n v="8.73"/>
    <n v="52.38"/>
    <x v="3"/>
    <x v="0"/>
    <x v="1"/>
  </r>
  <r>
    <s v="SCT-60553-454"/>
    <x v="25"/>
    <s v="39123-12846-YJ"/>
    <s v="L-L-0.2"/>
    <n v="5"/>
    <x v="28"/>
    <s v="ggatheralx@123-reg.co.uk"/>
    <x v="0"/>
    <s v="Lib"/>
    <s v="L"/>
    <x v="3"/>
    <n v="4.755"/>
    <n v="23.775"/>
    <x v="3"/>
    <x v="1"/>
    <x v="1"/>
  </r>
  <r>
    <s v="GFK-52063-244"/>
    <x v="26"/>
    <s v="44981-99666-XB"/>
    <s v="L-L-0.5"/>
    <n v="6"/>
    <x v="29"/>
    <s v="uwelberryy@ebay.co.uk"/>
    <x v="2"/>
    <s v="Lib"/>
    <s v="L"/>
    <x v="1"/>
    <n v="9.51"/>
    <n v="57.06"/>
    <x v="3"/>
    <x v="1"/>
    <x v="0"/>
  </r>
  <r>
    <s v="AMM-79521-378"/>
    <x v="27"/>
    <s v="24825-51803-CQ"/>
    <s v="A-D-0.5"/>
    <n v="6"/>
    <x v="30"/>
    <s v="feilhartz@who.int"/>
    <x v="0"/>
    <s v="Ara"/>
    <s v="D"/>
    <x v="1"/>
    <n v="5.97"/>
    <n v="35.82"/>
    <x v="2"/>
    <x v="2"/>
    <x v="1"/>
  </r>
  <r>
    <s v="QUQ-90580-772"/>
    <x v="28"/>
    <s v="77634-13918-GJ"/>
    <s v="L-M-0.2"/>
    <n v="2"/>
    <x v="31"/>
    <s v="zponting10@altervista.org"/>
    <x v="0"/>
    <s v="Lib"/>
    <s v="M"/>
    <x v="3"/>
    <n v="4.365"/>
    <n v="8.73"/>
    <x v="3"/>
    <x v="0"/>
    <x v="1"/>
  </r>
  <r>
    <s v="LGD-24408-274"/>
    <x v="29"/>
    <s v="13694-25001-LX"/>
    <s v="L-L-0.5"/>
    <n v="3"/>
    <x v="32"/>
    <s v="sstrase11@booking.com"/>
    <x v="0"/>
    <s v="Lib"/>
    <s v="L"/>
    <x v="1"/>
    <n v="9.51"/>
    <n v="28.53"/>
    <x v="3"/>
    <x v="1"/>
    <x v="1"/>
  </r>
  <r>
    <s v="HCT-95608-959"/>
    <x v="30"/>
    <s v="08523-01791-TI"/>
    <s v="R-M-2.5"/>
    <n v="5"/>
    <x v="33"/>
    <s v="dde12@unesco.org"/>
    <x v="0"/>
    <s v="Rob"/>
    <s v="M"/>
    <x v="2"/>
    <n v="22.885"/>
    <n v="114.425"/>
    <x v="0"/>
    <x v="0"/>
    <x v="1"/>
  </r>
  <r>
    <s v="OFX-99147-470"/>
    <x v="31"/>
    <s v="49860-68865-AB"/>
    <s v="R-M-1"/>
    <n v="6"/>
    <x v="34"/>
    <s v=""/>
    <x v="0"/>
    <s v="Rob"/>
    <s v="M"/>
    <x v="0"/>
    <n v="9.949999999999999"/>
    <n v="59.7"/>
    <x v="0"/>
    <x v="0"/>
    <x v="0"/>
  </r>
  <r>
    <s v="LUO-37559-016"/>
    <x v="32"/>
    <s v="21240-83132-SP"/>
    <s v="L-M-1"/>
    <n v="3"/>
    <x v="35"/>
    <s v=""/>
    <x v="0"/>
    <s v="Lib"/>
    <s v="M"/>
    <x v="0"/>
    <n v="14.55"/>
    <n v="43.65000000000001"/>
    <x v="3"/>
    <x v="0"/>
    <x v="1"/>
  </r>
  <r>
    <s v="XWC-20610-167"/>
    <x v="33"/>
    <s v="08350-81623-TF"/>
    <s v="E-D-0.2"/>
    <n v="2"/>
    <x v="36"/>
    <s v="lyeoland15@pbs.org"/>
    <x v="0"/>
    <s v="Exc"/>
    <s v="D"/>
    <x v="3"/>
    <n v="3.645"/>
    <n v="7.29"/>
    <x v="1"/>
    <x v="2"/>
    <x v="0"/>
  </r>
  <r>
    <s v="GPU-79113-136"/>
    <x v="34"/>
    <s v="73284-01385-SJ"/>
    <s v="R-D-0.2"/>
    <n v="3"/>
    <x v="37"/>
    <s v="atolworthy16@toplist.cz"/>
    <x v="0"/>
    <s v="Rob"/>
    <s v="D"/>
    <x v="3"/>
    <n v="2.685"/>
    <n v="8.055"/>
    <x v="0"/>
    <x v="2"/>
    <x v="0"/>
  </r>
  <r>
    <s v="ULR-52653-960"/>
    <x v="35"/>
    <s v="04152-34436-IE"/>
    <s v="L-L-2.5"/>
    <n v="2"/>
    <x v="38"/>
    <s v=""/>
    <x v="0"/>
    <s v="Lib"/>
    <s v="L"/>
    <x v="2"/>
    <n v="36.455"/>
    <n v="72.91"/>
    <x v="3"/>
    <x v="1"/>
    <x v="1"/>
  </r>
  <r>
    <s v="HPI-42308-142"/>
    <x v="36"/>
    <s v="06631-86965-XP"/>
    <s v="E-M-0.5"/>
    <n v="2"/>
    <x v="39"/>
    <s v="obaudassi18@seesaa.net"/>
    <x v="0"/>
    <s v="Exc"/>
    <s v="M"/>
    <x v="1"/>
    <n v="8.25"/>
    <n v="16.5"/>
    <x v="1"/>
    <x v="0"/>
    <x v="0"/>
  </r>
  <r>
    <s v="XHI-30227-581"/>
    <x v="37"/>
    <s v="54619-08558-ZU"/>
    <s v="L-D-2.5"/>
    <n v="6"/>
    <x v="40"/>
    <s v="pkingsbury19@comcast.net"/>
    <x v="0"/>
    <s v="Lib"/>
    <s v="D"/>
    <x v="2"/>
    <n v="29.785"/>
    <n v="178.71"/>
    <x v="3"/>
    <x v="2"/>
    <x v="1"/>
  </r>
  <r>
    <s v="DJH-05202-380"/>
    <x v="38"/>
    <s v="85589-17020-CX"/>
    <s v="E-M-2.5"/>
    <n v="2"/>
    <x v="41"/>
    <s v=""/>
    <x v="0"/>
    <s v="Exc"/>
    <s v="M"/>
    <x v="2"/>
    <n v="31.625"/>
    <n v="63.24999999999999"/>
    <x v="1"/>
    <x v="0"/>
    <x v="0"/>
  </r>
  <r>
    <s v="VMW-26889-781"/>
    <x v="39"/>
    <s v="36078-91009-WU"/>
    <s v="A-L-0.2"/>
    <n v="2"/>
    <x v="42"/>
    <s v="acurley1b@hao123.com"/>
    <x v="0"/>
    <s v="Ara"/>
    <s v="L"/>
    <x v="3"/>
    <n v="3.885"/>
    <n v="7.77"/>
    <x v="2"/>
    <x v="1"/>
    <x v="0"/>
  </r>
  <r>
    <s v="DBU-81099-586"/>
    <x v="40"/>
    <s v="15770-27099-GX"/>
    <s v="A-D-2.5"/>
    <n v="4"/>
    <x v="43"/>
    <s v="rmcgilvary1c@tamu.edu"/>
    <x v="0"/>
    <s v="Ara"/>
    <s v="D"/>
    <x v="2"/>
    <n v="22.885"/>
    <n v="91.53999999999999"/>
    <x v="2"/>
    <x v="2"/>
    <x v="1"/>
  </r>
  <r>
    <s v="PQA-54820-810"/>
    <x v="41"/>
    <s v="91460-04823-BX"/>
    <s v="A-L-1"/>
    <n v="3"/>
    <x v="44"/>
    <s v="ipikett1d@xinhuanet.com"/>
    <x v="0"/>
    <s v="Ara"/>
    <s v="L"/>
    <x v="0"/>
    <n v="12.95"/>
    <n v="38.84999999999999"/>
    <x v="2"/>
    <x v="1"/>
    <x v="1"/>
  </r>
  <r>
    <s v="XKB-41924-202"/>
    <x v="42"/>
    <s v="45089-52817-WN"/>
    <s v="L-D-0.5"/>
    <n v="2"/>
    <x v="45"/>
    <s v="ibouldon1e@gizmodo.com"/>
    <x v="0"/>
    <s v="Lib"/>
    <s v="D"/>
    <x v="1"/>
    <n v="7.77"/>
    <n v="15.54"/>
    <x v="3"/>
    <x v="2"/>
    <x v="1"/>
  </r>
  <r>
    <s v="DWZ-69106-473"/>
    <x v="43"/>
    <s v="76447-50326-IC"/>
    <s v="L-L-2.5"/>
    <n v="4"/>
    <x v="46"/>
    <s v="kflanders1f@over-blog.com"/>
    <x v="1"/>
    <s v="Lib"/>
    <s v="L"/>
    <x v="2"/>
    <n v="36.455"/>
    <n v="145.82"/>
    <x v="3"/>
    <x v="1"/>
    <x v="0"/>
  </r>
  <r>
    <s v="YHV-68700-050"/>
    <x v="44"/>
    <s v="26333-67911-OL"/>
    <s v="R-M-0.5"/>
    <n v="5"/>
    <x v="47"/>
    <s v="hmattioli1g@webmd.com"/>
    <x v="2"/>
    <s v="Rob"/>
    <s v="M"/>
    <x v="1"/>
    <n v="5.97"/>
    <n v="29.85"/>
    <x v="0"/>
    <x v="0"/>
    <x v="1"/>
  </r>
  <r>
    <s v="YHV-68700-050"/>
    <x v="44"/>
    <s v="26333-67911-OL"/>
    <s v="L-L-2.5"/>
    <n v="2"/>
    <x v="47"/>
    <s v="hmattioli1g@webmd.com"/>
    <x v="2"/>
    <s v="Lib"/>
    <s v="L"/>
    <x v="2"/>
    <n v="36.455"/>
    <n v="72.91"/>
    <x v="3"/>
    <x v="1"/>
    <x v="1"/>
  </r>
  <r>
    <s v="KRB-88066-642"/>
    <x v="45"/>
    <s v="22107-86640-SB"/>
    <s v="L-M-1"/>
    <n v="5"/>
    <x v="48"/>
    <s v="agillard1i@issuu.com"/>
    <x v="0"/>
    <s v="Lib"/>
    <s v="M"/>
    <x v="0"/>
    <n v="14.55"/>
    <n v="72.75"/>
    <x v="3"/>
    <x v="0"/>
    <x v="1"/>
  </r>
  <r>
    <s v="LQU-08404-173"/>
    <x v="46"/>
    <s v="09960-34242-LZ"/>
    <s v="L-L-1"/>
    <n v="3"/>
    <x v="49"/>
    <s v=""/>
    <x v="0"/>
    <s v="Lib"/>
    <s v="L"/>
    <x v="0"/>
    <n v="15.85"/>
    <n v="47.55"/>
    <x v="3"/>
    <x v="1"/>
    <x v="1"/>
  </r>
  <r>
    <s v="CWK-60159-881"/>
    <x v="47"/>
    <s v="04671-85591-RT"/>
    <s v="E-D-0.2"/>
    <n v="3"/>
    <x v="50"/>
    <s v="tgrizard1k@odnoklassniki.ru"/>
    <x v="0"/>
    <s v="Exc"/>
    <s v="D"/>
    <x v="3"/>
    <n v="3.645"/>
    <n v="10.935"/>
    <x v="1"/>
    <x v="2"/>
    <x v="0"/>
  </r>
  <r>
    <s v="EEG-74197-843"/>
    <x v="48"/>
    <s v="25729-68859-UA"/>
    <s v="E-L-1"/>
    <n v="4"/>
    <x v="51"/>
    <s v="rrelton1l@stanford.edu"/>
    <x v="0"/>
    <s v="Exc"/>
    <s v="L"/>
    <x v="0"/>
    <n v="14.85"/>
    <n v="59.4"/>
    <x v="1"/>
    <x v="1"/>
    <x v="1"/>
  </r>
  <r>
    <s v="UCZ-59708-525"/>
    <x v="49"/>
    <s v="05501-86351-NX"/>
    <s v="L-D-2.5"/>
    <n v="3"/>
    <x v="52"/>
    <s v=""/>
    <x v="0"/>
    <s v="Lib"/>
    <s v="D"/>
    <x v="2"/>
    <n v="29.785"/>
    <n v="89.35499999999999"/>
    <x v="3"/>
    <x v="2"/>
    <x v="0"/>
  </r>
  <r>
    <s v="HUB-47311-849"/>
    <x v="50"/>
    <s v="04521-04300-OK"/>
    <s v="L-M-0.5"/>
    <n v="3"/>
    <x v="53"/>
    <s v="sgilroy1n@eepurl.com"/>
    <x v="0"/>
    <s v="Lib"/>
    <s v="M"/>
    <x v="1"/>
    <n v="8.73"/>
    <n v="26.19"/>
    <x v="3"/>
    <x v="0"/>
    <x v="0"/>
  </r>
  <r>
    <s v="WYM-17686-694"/>
    <x v="51"/>
    <s v="58689-55264-VK"/>
    <s v="A-D-2.5"/>
    <n v="5"/>
    <x v="54"/>
    <s v="ccottingham1o@wikipedia.org"/>
    <x v="0"/>
    <s v="Ara"/>
    <s v="D"/>
    <x v="2"/>
    <n v="22.885"/>
    <n v="114.425"/>
    <x v="2"/>
    <x v="2"/>
    <x v="1"/>
  </r>
  <r>
    <s v="ZYQ-15797-695"/>
    <x v="52"/>
    <s v="79436-73011-MM"/>
    <s v="R-D-0.5"/>
    <n v="5"/>
    <x v="55"/>
    <s v=""/>
    <x v="2"/>
    <s v="Rob"/>
    <s v="D"/>
    <x v="1"/>
    <n v="5.369999999999999"/>
    <n v="26.84999999999999"/>
    <x v="0"/>
    <x v="2"/>
    <x v="0"/>
  </r>
  <r>
    <s v="EEJ-16185-108"/>
    <x v="53"/>
    <s v="65552-60476-KY"/>
    <s v="L-L-0.2"/>
    <n v="5"/>
    <x v="56"/>
    <s v=""/>
    <x v="0"/>
    <s v="Lib"/>
    <s v="L"/>
    <x v="3"/>
    <n v="4.755"/>
    <n v="23.775"/>
    <x v="3"/>
    <x v="1"/>
    <x v="0"/>
  </r>
  <r>
    <s v="RWR-77888-800"/>
    <x v="54"/>
    <s v="69904-02729-YS"/>
    <s v="A-M-0.5"/>
    <n v="1"/>
    <x v="57"/>
    <s v="adykes1r@eventbrite.com"/>
    <x v="0"/>
    <s v="Ara"/>
    <s v="M"/>
    <x v="1"/>
    <n v="6.75"/>
    <n v="6.75"/>
    <x v="2"/>
    <x v="0"/>
    <x v="1"/>
  </r>
  <r>
    <s v="LHN-75209-742"/>
    <x v="55"/>
    <s v="01433-04270-AX"/>
    <s v="R-M-0.5"/>
    <n v="6"/>
    <x v="58"/>
    <s v=""/>
    <x v="0"/>
    <s v="Rob"/>
    <s v="M"/>
    <x v="1"/>
    <n v="5.97"/>
    <n v="35.82"/>
    <x v="0"/>
    <x v="0"/>
    <x v="0"/>
  </r>
  <r>
    <s v="TIR-71396-998"/>
    <x v="56"/>
    <s v="14204-14186-LA"/>
    <s v="R-D-2.5"/>
    <n v="4"/>
    <x v="59"/>
    <s v="acockrem1t@engadget.com"/>
    <x v="0"/>
    <s v="Rob"/>
    <s v="D"/>
    <x v="2"/>
    <n v="20.585"/>
    <n v="82.33999999999999"/>
    <x v="0"/>
    <x v="2"/>
    <x v="0"/>
  </r>
  <r>
    <s v="RXF-37618-213"/>
    <x v="57"/>
    <s v="32948-34398-HC"/>
    <s v="R-L-0.5"/>
    <n v="1"/>
    <x v="60"/>
    <s v="bumpleby1u@soundcloud.com"/>
    <x v="0"/>
    <s v="Rob"/>
    <s v="L"/>
    <x v="1"/>
    <n v="7.169999999999999"/>
    <n v="7.169999999999999"/>
    <x v="0"/>
    <x v="1"/>
    <x v="0"/>
  </r>
  <r>
    <s v="ANM-16388-634"/>
    <x v="58"/>
    <s v="77343-52608-FF"/>
    <s v="L-L-0.2"/>
    <n v="2"/>
    <x v="61"/>
    <s v="nsaleway1v@dedecms.com"/>
    <x v="0"/>
    <s v="Lib"/>
    <s v="L"/>
    <x v="3"/>
    <n v="4.755"/>
    <n v="9.51"/>
    <x v="3"/>
    <x v="1"/>
    <x v="1"/>
  </r>
  <r>
    <s v="WYL-29300-070"/>
    <x v="59"/>
    <s v="42770-36274-QA"/>
    <s v="R-M-0.2"/>
    <n v="1"/>
    <x v="62"/>
    <s v="hgoulter1w@abc.net.au"/>
    <x v="0"/>
    <s v="Rob"/>
    <s v="M"/>
    <x v="3"/>
    <n v="2.985"/>
    <n v="2.985"/>
    <x v="0"/>
    <x v="0"/>
    <x v="1"/>
  </r>
  <r>
    <s v="JHW-74554-805"/>
    <x v="60"/>
    <s v="14103-58987-ZU"/>
    <s v="R-M-1"/>
    <n v="6"/>
    <x v="63"/>
    <s v="grizzello1x@symantec.com"/>
    <x v="2"/>
    <s v="Rob"/>
    <s v="M"/>
    <x v="0"/>
    <n v="9.949999999999999"/>
    <n v="59.7"/>
    <x v="0"/>
    <x v="0"/>
    <x v="0"/>
  </r>
  <r>
    <s v="KYS-27063-603"/>
    <x v="61"/>
    <s v="69958-32065-SW"/>
    <s v="E-L-2.5"/>
    <n v="4"/>
    <x v="64"/>
    <s v="slist1y@mapquest.com"/>
    <x v="0"/>
    <s v="Exc"/>
    <s v="L"/>
    <x v="2"/>
    <n v="34.15499999999999"/>
    <n v="136.62"/>
    <x v="1"/>
    <x v="1"/>
    <x v="1"/>
  </r>
  <r>
    <s v="GAZ-58626-277"/>
    <x v="62"/>
    <s v="69533-84907-FA"/>
    <s v="L-L-0.2"/>
    <n v="2"/>
    <x v="65"/>
    <s v="sedmondson1z@theguardian.com"/>
    <x v="1"/>
    <s v="Lib"/>
    <s v="L"/>
    <x v="3"/>
    <n v="4.755"/>
    <n v="9.51"/>
    <x v="3"/>
    <x v="1"/>
    <x v="1"/>
  </r>
  <r>
    <s v="RPJ-37787-335"/>
    <x v="63"/>
    <s v="76005-95461-CI"/>
    <s v="A-M-2.5"/>
    <n v="3"/>
    <x v="66"/>
    <s v=""/>
    <x v="0"/>
    <s v="Ara"/>
    <s v="M"/>
    <x v="2"/>
    <n v="25.875"/>
    <n v="77.62499999999999"/>
    <x v="2"/>
    <x v="0"/>
    <x v="1"/>
  </r>
  <r>
    <s v="LEF-83057-763"/>
    <x v="64"/>
    <s v="15395-90855-VB"/>
    <s v="L-M-0.2"/>
    <n v="5"/>
    <x v="67"/>
    <s v=""/>
    <x v="0"/>
    <s v="Lib"/>
    <s v="M"/>
    <x v="3"/>
    <n v="4.365"/>
    <n v="21.825"/>
    <x v="3"/>
    <x v="0"/>
    <x v="0"/>
  </r>
  <r>
    <s v="RPW-36123-215"/>
    <x v="65"/>
    <s v="80640-45811-LB"/>
    <s v="E-L-0.5"/>
    <n v="2"/>
    <x v="68"/>
    <s v="jrangall22@newsvine.com"/>
    <x v="0"/>
    <s v="Exc"/>
    <s v="L"/>
    <x v="1"/>
    <n v="8.91"/>
    <n v="17.82"/>
    <x v="1"/>
    <x v="1"/>
    <x v="0"/>
  </r>
  <r>
    <s v="WLL-59044-117"/>
    <x v="66"/>
    <s v="28476-04082-GR"/>
    <s v="R-D-1"/>
    <n v="6"/>
    <x v="69"/>
    <s v="kboorn23@ezinearticles.com"/>
    <x v="1"/>
    <s v="Rob"/>
    <s v="D"/>
    <x v="0"/>
    <n v="8.949999999999999"/>
    <n v="53.7"/>
    <x v="0"/>
    <x v="2"/>
    <x v="0"/>
  </r>
  <r>
    <s v="AWT-22827-563"/>
    <x v="67"/>
    <s v="12018-75670-EU"/>
    <s v="R-L-0.2"/>
    <n v="1"/>
    <x v="70"/>
    <s v=""/>
    <x v="1"/>
    <s v="Rob"/>
    <s v="L"/>
    <x v="3"/>
    <n v="3.585"/>
    <n v="3.585"/>
    <x v="0"/>
    <x v="1"/>
    <x v="0"/>
  </r>
  <r>
    <s v="QLM-07145-668"/>
    <x v="68"/>
    <s v="86437-17399-FK"/>
    <s v="E-D-0.2"/>
    <n v="2"/>
    <x v="71"/>
    <s v="celgey25@webs.com"/>
    <x v="0"/>
    <s v="Exc"/>
    <s v="D"/>
    <x v="3"/>
    <n v="3.645"/>
    <n v="7.29"/>
    <x v="1"/>
    <x v="2"/>
    <x v="1"/>
  </r>
  <r>
    <s v="HVQ-64398-930"/>
    <x v="69"/>
    <s v="62979-53167-ML"/>
    <s v="A-M-0.5"/>
    <n v="6"/>
    <x v="72"/>
    <s v="lmizzi26@rakuten.co.jp"/>
    <x v="0"/>
    <s v="Ara"/>
    <s v="M"/>
    <x v="1"/>
    <n v="6.75"/>
    <n v="40.5"/>
    <x v="2"/>
    <x v="0"/>
    <x v="0"/>
  </r>
  <r>
    <s v="WRT-40778-247"/>
    <x v="70"/>
    <s v="54810-81899-HL"/>
    <s v="R-L-1"/>
    <n v="4"/>
    <x v="73"/>
    <s v="cgiacomazzo27@jigsy.com"/>
    <x v="0"/>
    <s v="Rob"/>
    <s v="L"/>
    <x v="0"/>
    <n v="11.95"/>
    <n v="47.8"/>
    <x v="0"/>
    <x v="1"/>
    <x v="1"/>
  </r>
  <r>
    <s v="SUB-13006-125"/>
    <x v="71"/>
    <s v="26103-41504-IB"/>
    <s v="A-L-0.5"/>
    <n v="5"/>
    <x v="74"/>
    <s v="aarnow28@arizona.edu"/>
    <x v="0"/>
    <s v="Ara"/>
    <s v="L"/>
    <x v="1"/>
    <n v="7.77"/>
    <n v="38.84999999999999"/>
    <x v="2"/>
    <x v="1"/>
    <x v="0"/>
  </r>
  <r>
    <s v="CQM-49696-263"/>
    <x v="72"/>
    <s v="76534-45229-SG"/>
    <s v="L-L-2.5"/>
    <n v="3"/>
    <x v="75"/>
    <s v="syann29@senate.gov"/>
    <x v="0"/>
    <s v="Lib"/>
    <s v="L"/>
    <x v="2"/>
    <n v="36.455"/>
    <n v="109.365"/>
    <x v="3"/>
    <x v="1"/>
    <x v="0"/>
  </r>
  <r>
    <s v="KXN-85094-246"/>
    <x v="73"/>
    <s v="81744-27332-RR"/>
    <s v="L-M-2.5"/>
    <n v="3"/>
    <x v="76"/>
    <s v="bnaulls2a@tiny.cc"/>
    <x v="1"/>
    <s v="Lib"/>
    <s v="M"/>
    <x v="2"/>
    <n v="33.465"/>
    <n v="100.395"/>
    <x v="3"/>
    <x v="0"/>
    <x v="0"/>
  </r>
  <r>
    <s v="XOQ-12405-419"/>
    <x v="74"/>
    <s v="91513-75657-PH"/>
    <s v="R-D-2.5"/>
    <n v="4"/>
    <x v="77"/>
    <s v=""/>
    <x v="0"/>
    <s v="Rob"/>
    <s v="D"/>
    <x v="2"/>
    <n v="20.585"/>
    <n v="82.33999999999999"/>
    <x v="0"/>
    <x v="2"/>
    <x v="0"/>
  </r>
  <r>
    <s v="HYF-10254-369"/>
    <x v="75"/>
    <s v="30373-66619-CB"/>
    <s v="L-L-0.5"/>
    <n v="1"/>
    <x v="78"/>
    <s v="zsherewood2c@apache.org"/>
    <x v="0"/>
    <s v="Lib"/>
    <s v="L"/>
    <x v="1"/>
    <n v="9.51"/>
    <n v="9.51"/>
    <x v="3"/>
    <x v="1"/>
    <x v="1"/>
  </r>
  <r>
    <s v="XXJ-47000-307"/>
    <x v="76"/>
    <s v="31582-23562-FM"/>
    <s v="A-L-2.5"/>
    <n v="3"/>
    <x v="79"/>
    <s v="jdufaire2d@fc2.com"/>
    <x v="0"/>
    <s v="Ara"/>
    <s v="L"/>
    <x v="2"/>
    <n v="29.785"/>
    <n v="89.35499999999999"/>
    <x v="2"/>
    <x v="1"/>
    <x v="1"/>
  </r>
  <r>
    <s v="XXJ-47000-307"/>
    <x v="76"/>
    <s v="31582-23562-FM"/>
    <s v="A-D-0.2"/>
    <n v="4"/>
    <x v="79"/>
    <s v="jdufaire2d@fc2.com"/>
    <x v="0"/>
    <s v="Ara"/>
    <s v="D"/>
    <x v="3"/>
    <n v="2.985"/>
    <n v="11.94"/>
    <x v="2"/>
    <x v="2"/>
    <x v="1"/>
  </r>
  <r>
    <s v="ZDK-82166-357"/>
    <x v="77"/>
    <s v="81431-12577-VD"/>
    <s v="A-M-1"/>
    <n v="3"/>
    <x v="80"/>
    <s v="bkeaveney2f@netlog.com"/>
    <x v="0"/>
    <s v="Ara"/>
    <s v="M"/>
    <x v="0"/>
    <n v="11.25"/>
    <n v="33.75"/>
    <x v="2"/>
    <x v="0"/>
    <x v="1"/>
  </r>
  <r>
    <s v="IHN-19982-362"/>
    <x v="78"/>
    <s v="68894-91205-MP"/>
    <s v="R-L-1"/>
    <n v="3"/>
    <x v="81"/>
    <s v="egrise2g@cargocollective.com"/>
    <x v="0"/>
    <s v="Rob"/>
    <s v="L"/>
    <x v="0"/>
    <n v="11.95"/>
    <n v="35.84999999999999"/>
    <x v="0"/>
    <x v="1"/>
    <x v="1"/>
  </r>
  <r>
    <s v="VMT-10030-889"/>
    <x v="79"/>
    <s v="87602-55754-VN"/>
    <s v="A-L-1"/>
    <n v="6"/>
    <x v="82"/>
    <s v="tgottelier2h@vistaprint.com"/>
    <x v="0"/>
    <s v="Ara"/>
    <s v="L"/>
    <x v="0"/>
    <n v="12.95"/>
    <n v="77.69999999999999"/>
    <x v="2"/>
    <x v="1"/>
    <x v="1"/>
  </r>
  <r>
    <s v="NHL-11063-100"/>
    <x v="80"/>
    <s v="39181-35745-WH"/>
    <s v="A-L-1"/>
    <n v="4"/>
    <x v="83"/>
    <s v=""/>
    <x v="1"/>
    <s v="Ara"/>
    <s v="L"/>
    <x v="0"/>
    <n v="12.95"/>
    <n v="51.8"/>
    <x v="2"/>
    <x v="1"/>
    <x v="0"/>
  </r>
  <r>
    <s v="ROV-87448-086"/>
    <x v="81"/>
    <s v="30381-64762-NG"/>
    <s v="A-M-2.5"/>
    <n v="4"/>
    <x v="84"/>
    <s v="agreenhead2j@dailymail.co.uk"/>
    <x v="0"/>
    <s v="Ara"/>
    <s v="M"/>
    <x v="2"/>
    <n v="25.875"/>
    <n v="103.5"/>
    <x v="2"/>
    <x v="0"/>
    <x v="1"/>
  </r>
  <r>
    <s v="DGY-35773-612"/>
    <x v="82"/>
    <s v="17503-27693-ZH"/>
    <s v="E-L-1"/>
    <n v="3"/>
    <x v="85"/>
    <s v=""/>
    <x v="0"/>
    <s v="Exc"/>
    <s v="L"/>
    <x v="0"/>
    <n v="14.85"/>
    <n v="44.55"/>
    <x v="1"/>
    <x v="1"/>
    <x v="0"/>
  </r>
  <r>
    <s v="YWH-50638-556"/>
    <x v="83"/>
    <s v="89442-35633-HJ"/>
    <s v="E-L-0.5"/>
    <n v="4"/>
    <x v="86"/>
    <s v="elangcaster2l@spotify.com"/>
    <x v="2"/>
    <s v="Exc"/>
    <s v="L"/>
    <x v="1"/>
    <n v="8.91"/>
    <n v="35.64"/>
    <x v="1"/>
    <x v="1"/>
    <x v="0"/>
  </r>
  <r>
    <s v="ISL-11200-600"/>
    <x v="84"/>
    <s v="13654-85265-IL"/>
    <s v="A-D-0.2"/>
    <n v="6"/>
    <x v="87"/>
    <s v=""/>
    <x v="1"/>
    <s v="Ara"/>
    <s v="D"/>
    <x v="3"/>
    <n v="2.985"/>
    <n v="17.91"/>
    <x v="2"/>
    <x v="2"/>
    <x v="0"/>
  </r>
  <r>
    <s v="LBZ-75997-047"/>
    <x v="85"/>
    <s v="40946-22090-FP"/>
    <s v="A-M-2.5"/>
    <n v="6"/>
    <x v="88"/>
    <s v="nmagauran2n@51.la"/>
    <x v="0"/>
    <s v="Ara"/>
    <s v="M"/>
    <x v="2"/>
    <n v="25.875"/>
    <n v="155.25"/>
    <x v="2"/>
    <x v="0"/>
    <x v="1"/>
  </r>
  <r>
    <s v="EUH-08089-954"/>
    <x v="86"/>
    <s v="29050-93691-TS"/>
    <s v="A-D-0.2"/>
    <n v="2"/>
    <x v="89"/>
    <s v="vkirdsch2o@google.fr"/>
    <x v="0"/>
    <s v="Ara"/>
    <s v="D"/>
    <x v="3"/>
    <n v="2.985"/>
    <n v="5.97"/>
    <x v="2"/>
    <x v="2"/>
    <x v="1"/>
  </r>
  <r>
    <s v="BLD-12227-251"/>
    <x v="87"/>
    <s v="64395-74865-WF"/>
    <s v="A-M-0.5"/>
    <n v="2"/>
    <x v="90"/>
    <s v="iwhapple2p@com.com"/>
    <x v="0"/>
    <s v="Ara"/>
    <s v="M"/>
    <x v="1"/>
    <n v="6.75"/>
    <n v="13.5"/>
    <x v="2"/>
    <x v="0"/>
    <x v="1"/>
  </r>
  <r>
    <s v="OPY-30711-853"/>
    <x v="25"/>
    <s v="81861-66046-SU"/>
    <s v="A-D-0.2"/>
    <n v="1"/>
    <x v="91"/>
    <s v=""/>
    <x v="1"/>
    <s v="Ara"/>
    <s v="D"/>
    <x v="3"/>
    <n v="2.985"/>
    <n v="2.985"/>
    <x v="2"/>
    <x v="2"/>
    <x v="1"/>
  </r>
  <r>
    <s v="DBC-44122-300"/>
    <x v="88"/>
    <s v="13366-78506-KP"/>
    <s v="L-M-0.2"/>
    <n v="3"/>
    <x v="92"/>
    <s v=""/>
    <x v="0"/>
    <s v="Lib"/>
    <s v="M"/>
    <x v="3"/>
    <n v="4.365"/>
    <n v="13.095"/>
    <x v="3"/>
    <x v="0"/>
    <x v="0"/>
  </r>
  <r>
    <s v="FJQ-60035-234"/>
    <x v="89"/>
    <s v="08847-29858-HN"/>
    <s v="A-L-0.2"/>
    <n v="2"/>
    <x v="93"/>
    <s v=""/>
    <x v="0"/>
    <s v="Ara"/>
    <s v="L"/>
    <x v="3"/>
    <n v="3.885"/>
    <n v="7.77"/>
    <x v="2"/>
    <x v="1"/>
    <x v="0"/>
  </r>
  <r>
    <s v="HSF-66926-425"/>
    <x v="90"/>
    <s v="00539-42510-RY"/>
    <s v="L-D-2.5"/>
    <n v="5"/>
    <x v="94"/>
    <s v="nyoules2t@reference.com"/>
    <x v="1"/>
    <s v="Lib"/>
    <s v="D"/>
    <x v="2"/>
    <n v="29.785"/>
    <n v="148.925"/>
    <x v="3"/>
    <x v="2"/>
    <x v="0"/>
  </r>
  <r>
    <s v="LQG-41416-375"/>
    <x v="91"/>
    <s v="45190-08727-NV"/>
    <s v="L-D-1"/>
    <n v="3"/>
    <x v="95"/>
    <s v="daizikovitz2u@answers.com"/>
    <x v="1"/>
    <s v="Lib"/>
    <s v="D"/>
    <x v="0"/>
    <n v="12.95"/>
    <n v="38.84999999999999"/>
    <x v="3"/>
    <x v="2"/>
    <x v="0"/>
  </r>
  <r>
    <s v="VZO-97265-841"/>
    <x v="92"/>
    <s v="87049-37901-FU"/>
    <s v="R-M-0.2"/>
    <n v="4"/>
    <x v="96"/>
    <s v="brevel2v@fastcompany.com"/>
    <x v="0"/>
    <s v="Rob"/>
    <s v="M"/>
    <x v="3"/>
    <n v="2.985"/>
    <n v="11.94"/>
    <x v="0"/>
    <x v="0"/>
    <x v="1"/>
  </r>
  <r>
    <s v="MOR-12987-399"/>
    <x v="93"/>
    <s v="34015-31593-JC"/>
    <s v="L-M-1"/>
    <n v="6"/>
    <x v="97"/>
    <s v="epriddis2w@nationalgeographic.com"/>
    <x v="0"/>
    <s v="Lib"/>
    <s v="M"/>
    <x v="0"/>
    <n v="14.55"/>
    <n v="87.30000000000001"/>
    <x v="3"/>
    <x v="0"/>
    <x v="1"/>
  </r>
  <r>
    <s v="UOA-23786-489"/>
    <x v="94"/>
    <s v="90305-50099-SV"/>
    <s v="A-M-0.5"/>
    <n v="6"/>
    <x v="98"/>
    <s v="qveel2x@jugem.jp"/>
    <x v="0"/>
    <s v="Ara"/>
    <s v="M"/>
    <x v="1"/>
    <n v="6.75"/>
    <n v="40.5"/>
    <x v="2"/>
    <x v="0"/>
    <x v="0"/>
  </r>
  <r>
    <s v="AJL-52941-018"/>
    <x v="95"/>
    <s v="55871-61935-MF"/>
    <s v="E-D-1"/>
    <n v="2"/>
    <x v="99"/>
    <s v="lconyers2y@twitter.com"/>
    <x v="0"/>
    <s v="Exc"/>
    <s v="D"/>
    <x v="0"/>
    <n v="12.15"/>
    <n v="24.3"/>
    <x v="1"/>
    <x v="2"/>
    <x v="1"/>
  </r>
  <r>
    <s v="XSZ-84273-421"/>
    <x v="96"/>
    <s v="15405-60469-TM"/>
    <s v="R-M-0.5"/>
    <n v="3"/>
    <x v="100"/>
    <s v="pwye2z@dagondesign.com"/>
    <x v="0"/>
    <s v="Rob"/>
    <s v="M"/>
    <x v="1"/>
    <n v="5.97"/>
    <n v="17.91"/>
    <x v="0"/>
    <x v="0"/>
    <x v="0"/>
  </r>
  <r>
    <s v="NUN-48214-216"/>
    <x v="97"/>
    <s v="06953-94794-FB"/>
    <s v="A-M-0.5"/>
    <n v="4"/>
    <x v="101"/>
    <s v=""/>
    <x v="0"/>
    <s v="Ara"/>
    <s v="M"/>
    <x v="1"/>
    <n v="6.75"/>
    <n v="27"/>
    <x v="2"/>
    <x v="0"/>
    <x v="1"/>
  </r>
  <r>
    <s v="AKV-93064-769"/>
    <x v="98"/>
    <s v="22305-40299-CY"/>
    <s v="L-D-0.5"/>
    <n v="1"/>
    <x v="102"/>
    <s v="tsheryn31@mtv.com"/>
    <x v="0"/>
    <s v="Lib"/>
    <s v="D"/>
    <x v="1"/>
    <n v="7.77"/>
    <n v="7.77"/>
    <x v="3"/>
    <x v="2"/>
    <x v="0"/>
  </r>
  <r>
    <s v="BRB-40903-533"/>
    <x v="99"/>
    <s v="09020-56774-GU"/>
    <s v="E-L-0.2"/>
    <n v="3"/>
    <x v="103"/>
    <s v="mredgrave32@cargocollective.com"/>
    <x v="0"/>
    <s v="Exc"/>
    <s v="L"/>
    <x v="3"/>
    <n v="4.455"/>
    <n v="13.365"/>
    <x v="1"/>
    <x v="1"/>
    <x v="0"/>
  </r>
  <r>
    <s v="GPR-19973-483"/>
    <x v="100"/>
    <s v="92926-08470-YS"/>
    <s v="R-D-0.5"/>
    <n v="5"/>
    <x v="104"/>
    <s v="bfominov33@yale.edu"/>
    <x v="0"/>
    <s v="Rob"/>
    <s v="D"/>
    <x v="1"/>
    <n v="5.369999999999999"/>
    <n v="26.84999999999999"/>
    <x v="0"/>
    <x v="2"/>
    <x v="1"/>
  </r>
  <r>
    <s v="XIY-43041-882"/>
    <x v="101"/>
    <s v="07250-63194-JO"/>
    <s v="A-M-1"/>
    <n v="1"/>
    <x v="105"/>
    <s v="scritchlow34@un.org"/>
    <x v="0"/>
    <s v="Ara"/>
    <s v="M"/>
    <x v="0"/>
    <n v="11.25"/>
    <n v="11.25"/>
    <x v="2"/>
    <x v="0"/>
    <x v="1"/>
  </r>
  <r>
    <s v="YGY-98425-969"/>
    <x v="102"/>
    <s v="63787-96257-TQ"/>
    <s v="L-M-1"/>
    <n v="1"/>
    <x v="106"/>
    <s v="msteptow35@earthlink.net"/>
    <x v="1"/>
    <s v="Lib"/>
    <s v="M"/>
    <x v="0"/>
    <n v="14.55"/>
    <n v="14.55"/>
    <x v="3"/>
    <x v="0"/>
    <x v="1"/>
  </r>
  <r>
    <s v="MSB-08397-648"/>
    <x v="103"/>
    <s v="49530-25460-RW"/>
    <s v="R-L-0.2"/>
    <n v="4"/>
    <x v="107"/>
    <s v=""/>
    <x v="0"/>
    <s v="Rob"/>
    <s v="L"/>
    <x v="3"/>
    <n v="3.585"/>
    <n v="14.34"/>
    <x v="0"/>
    <x v="1"/>
    <x v="1"/>
  </r>
  <r>
    <s v="WDR-06028-345"/>
    <x v="104"/>
    <s v="66508-21373-OQ"/>
    <s v="L-L-1"/>
    <n v="1"/>
    <x v="108"/>
    <s v="imulliner37@pinterest.com"/>
    <x v="2"/>
    <s v="Lib"/>
    <s v="L"/>
    <x v="0"/>
    <n v="15.85"/>
    <n v="15.85"/>
    <x v="3"/>
    <x v="1"/>
    <x v="1"/>
  </r>
  <r>
    <s v="MXM-42948-061"/>
    <x v="105"/>
    <s v="20203-03950-FY"/>
    <s v="L-L-0.2"/>
    <n v="4"/>
    <x v="109"/>
    <s v="gstandley38@dion.ne.jp"/>
    <x v="1"/>
    <s v="Lib"/>
    <s v="L"/>
    <x v="3"/>
    <n v="4.755"/>
    <n v="19.02"/>
    <x v="3"/>
    <x v="1"/>
    <x v="0"/>
  </r>
  <r>
    <s v="MGQ-98961-173"/>
    <x v="11"/>
    <s v="83895-90735-XH"/>
    <s v="L-L-0.5"/>
    <n v="4"/>
    <x v="110"/>
    <s v="bdrage39@youku.com"/>
    <x v="0"/>
    <s v="Lib"/>
    <s v="L"/>
    <x v="1"/>
    <n v="9.51"/>
    <n v="38.04"/>
    <x v="3"/>
    <x v="1"/>
    <x v="1"/>
  </r>
  <r>
    <s v="RFH-64349-897"/>
    <x v="106"/>
    <s v="61954-61462-RJ"/>
    <s v="E-D-0.5"/>
    <n v="3"/>
    <x v="111"/>
    <s v="myallop3a@fema.gov"/>
    <x v="0"/>
    <s v="Exc"/>
    <s v="D"/>
    <x v="1"/>
    <n v="7.29"/>
    <n v="21.87"/>
    <x v="1"/>
    <x v="2"/>
    <x v="0"/>
  </r>
  <r>
    <s v="TKL-20738-660"/>
    <x v="107"/>
    <s v="47939-53158-LS"/>
    <s v="E-M-0.2"/>
    <n v="1"/>
    <x v="112"/>
    <s v="cswitsur3b@chronoengine.com"/>
    <x v="0"/>
    <s v="Exc"/>
    <s v="M"/>
    <x v="3"/>
    <n v="4.125"/>
    <n v="4.125"/>
    <x v="1"/>
    <x v="0"/>
    <x v="1"/>
  </r>
  <r>
    <s v="TKL-20738-660"/>
    <x v="107"/>
    <s v="47939-53158-LS"/>
    <s v="A-L-0.2"/>
    <n v="1"/>
    <x v="112"/>
    <s v="cswitsur3b@chronoengine.com"/>
    <x v="0"/>
    <s v="Ara"/>
    <s v="L"/>
    <x v="3"/>
    <n v="3.885"/>
    <n v="3.885"/>
    <x v="2"/>
    <x v="1"/>
    <x v="1"/>
  </r>
  <r>
    <s v="TKL-20738-660"/>
    <x v="107"/>
    <s v="47939-53158-LS"/>
    <s v="E-M-1"/>
    <n v="5"/>
    <x v="112"/>
    <s v="cswitsur3b@chronoengine.com"/>
    <x v="0"/>
    <s v="Exc"/>
    <s v="M"/>
    <x v="0"/>
    <n v="13.75"/>
    <n v="68.75"/>
    <x v="1"/>
    <x v="0"/>
    <x v="1"/>
  </r>
  <r>
    <s v="GOW-03198-575"/>
    <x v="108"/>
    <s v="61513-27752-FA"/>
    <s v="A-D-0.5"/>
    <n v="4"/>
    <x v="113"/>
    <s v="mludwell3e@blogger.com"/>
    <x v="0"/>
    <s v="Ara"/>
    <s v="D"/>
    <x v="1"/>
    <n v="5.97"/>
    <n v="23.88"/>
    <x v="2"/>
    <x v="2"/>
    <x v="0"/>
  </r>
  <r>
    <s v="QJB-90477-635"/>
    <x v="109"/>
    <s v="89714-19856-WX"/>
    <s v="L-L-2.5"/>
    <n v="4"/>
    <x v="114"/>
    <s v="dbeauchamp3f@usda.gov"/>
    <x v="0"/>
    <s v="Lib"/>
    <s v="L"/>
    <x v="2"/>
    <n v="36.455"/>
    <n v="145.82"/>
    <x v="3"/>
    <x v="1"/>
    <x v="1"/>
  </r>
  <r>
    <s v="MWP-46239-785"/>
    <x v="110"/>
    <s v="87979-56781-YV"/>
    <s v="L-M-0.2"/>
    <n v="5"/>
    <x v="115"/>
    <s v="srodliff3g@ted.com"/>
    <x v="0"/>
    <s v="Lib"/>
    <s v="M"/>
    <x v="3"/>
    <n v="4.365"/>
    <n v="21.825"/>
    <x v="3"/>
    <x v="0"/>
    <x v="0"/>
  </r>
  <r>
    <s v="QDV-03406-248"/>
    <x v="111"/>
    <s v="74126-88836-KA"/>
    <s v="L-M-0.5"/>
    <n v="3"/>
    <x v="116"/>
    <s v="swoodham3h@businesswire.com"/>
    <x v="1"/>
    <s v="Lib"/>
    <s v="M"/>
    <x v="1"/>
    <n v="8.73"/>
    <n v="26.19"/>
    <x v="3"/>
    <x v="0"/>
    <x v="0"/>
  </r>
  <r>
    <s v="GPH-40635-105"/>
    <x v="112"/>
    <s v="37397-05992-VO"/>
    <s v="A-M-1"/>
    <n v="1"/>
    <x v="117"/>
    <s v="hsynnot3i@about.com"/>
    <x v="0"/>
    <s v="Ara"/>
    <s v="M"/>
    <x v="0"/>
    <n v="11.25"/>
    <n v="11.25"/>
    <x v="2"/>
    <x v="0"/>
    <x v="1"/>
  </r>
  <r>
    <s v="JOM-80930-071"/>
    <x v="113"/>
    <s v="54904-18397-UD"/>
    <s v="L-D-1"/>
    <n v="6"/>
    <x v="118"/>
    <s v="rlepere3j@shop-pro.jp"/>
    <x v="1"/>
    <s v="Lib"/>
    <s v="D"/>
    <x v="0"/>
    <n v="12.95"/>
    <n v="77.69999999999999"/>
    <x v="3"/>
    <x v="2"/>
    <x v="1"/>
  </r>
  <r>
    <s v="OIL-26493-755"/>
    <x v="114"/>
    <s v="19017-95853-EK"/>
    <s v="A-M-0.5"/>
    <n v="1"/>
    <x v="119"/>
    <s v="twoofinden3k@businesswire.com"/>
    <x v="0"/>
    <s v="Ara"/>
    <s v="M"/>
    <x v="1"/>
    <n v="6.75"/>
    <n v="6.75"/>
    <x v="2"/>
    <x v="0"/>
    <x v="1"/>
  </r>
  <r>
    <s v="CYV-13426-645"/>
    <x v="115"/>
    <s v="88593-59934-VU"/>
    <s v="E-D-1"/>
    <n v="1"/>
    <x v="120"/>
    <s v="edacca3l@google.pl"/>
    <x v="0"/>
    <s v="Exc"/>
    <s v="D"/>
    <x v="0"/>
    <n v="12.15"/>
    <n v="12.15"/>
    <x v="1"/>
    <x v="2"/>
    <x v="0"/>
  </r>
  <r>
    <s v="WRP-39846-614"/>
    <x v="49"/>
    <s v="47493-68564-YM"/>
    <s v="A-L-2.5"/>
    <n v="5"/>
    <x v="121"/>
    <s v=""/>
    <x v="1"/>
    <s v="Ara"/>
    <s v="L"/>
    <x v="2"/>
    <n v="29.785"/>
    <n v="148.925"/>
    <x v="2"/>
    <x v="1"/>
    <x v="0"/>
  </r>
  <r>
    <s v="VDZ-76673-968"/>
    <x v="116"/>
    <s v="82246-82543-DW"/>
    <s v="E-D-0.5"/>
    <n v="2"/>
    <x v="122"/>
    <s v="bhindsberg3n@blogs.com"/>
    <x v="0"/>
    <s v="Exc"/>
    <s v="D"/>
    <x v="1"/>
    <n v="7.29"/>
    <n v="14.58"/>
    <x v="1"/>
    <x v="2"/>
    <x v="0"/>
  </r>
  <r>
    <s v="VTV-03546-175"/>
    <x v="117"/>
    <s v="03384-62101-IY"/>
    <s v="A-L-2.5"/>
    <n v="5"/>
    <x v="123"/>
    <s v="orobins3o@salon.com"/>
    <x v="0"/>
    <s v="Ara"/>
    <s v="L"/>
    <x v="2"/>
    <n v="29.785"/>
    <n v="148.925"/>
    <x v="2"/>
    <x v="1"/>
    <x v="0"/>
  </r>
  <r>
    <s v="GHR-72274-715"/>
    <x v="118"/>
    <s v="86881-41559-OR"/>
    <s v="L-D-1"/>
    <n v="1"/>
    <x v="124"/>
    <s v="osyseland3p@independent.co.uk"/>
    <x v="0"/>
    <s v="Lib"/>
    <s v="D"/>
    <x v="0"/>
    <n v="12.95"/>
    <n v="12.95"/>
    <x v="3"/>
    <x v="2"/>
    <x v="1"/>
  </r>
  <r>
    <s v="ZGK-97262-313"/>
    <x v="119"/>
    <s v="02536-18494-AQ"/>
    <s v="E-M-2.5"/>
    <n v="3"/>
    <x v="125"/>
    <s v=""/>
    <x v="0"/>
    <s v="Exc"/>
    <s v="M"/>
    <x v="2"/>
    <n v="31.625"/>
    <n v="94.87499999999999"/>
    <x v="1"/>
    <x v="0"/>
    <x v="0"/>
  </r>
  <r>
    <s v="ZFS-30776-804"/>
    <x v="120"/>
    <s v="58638-01029-CB"/>
    <s v="A-L-0.5"/>
    <n v="5"/>
    <x v="126"/>
    <s v="bmcamish2e@tripadvisor.com"/>
    <x v="0"/>
    <s v="Ara"/>
    <s v="L"/>
    <x v="1"/>
    <n v="7.77"/>
    <n v="38.84999999999999"/>
    <x v="2"/>
    <x v="1"/>
    <x v="0"/>
  </r>
  <r>
    <s v="QUU-91729-492"/>
    <x v="121"/>
    <s v="90312-11148-LA"/>
    <s v="A-D-0.2"/>
    <n v="4"/>
    <x v="127"/>
    <s v="lkeenleyside3s@topsy.com"/>
    <x v="0"/>
    <s v="Ara"/>
    <s v="D"/>
    <x v="3"/>
    <n v="2.985"/>
    <n v="11.94"/>
    <x v="2"/>
    <x v="2"/>
    <x v="1"/>
  </r>
  <r>
    <s v="PVI-72795-960"/>
    <x v="122"/>
    <s v="68239-74809-TF"/>
    <s v="E-L-2.5"/>
    <n v="3"/>
    <x v="128"/>
    <s v=""/>
    <x v="1"/>
    <s v="Exc"/>
    <s v="L"/>
    <x v="2"/>
    <n v="34.15499999999999"/>
    <n v="102.465"/>
    <x v="1"/>
    <x v="1"/>
    <x v="1"/>
  </r>
  <r>
    <s v="PPP-78935-365"/>
    <x v="123"/>
    <s v="91074-60023-IP"/>
    <s v="E-D-1"/>
    <n v="4"/>
    <x v="129"/>
    <s v=""/>
    <x v="0"/>
    <s v="Exc"/>
    <s v="D"/>
    <x v="0"/>
    <n v="12.15"/>
    <n v="48.6"/>
    <x v="1"/>
    <x v="2"/>
    <x v="1"/>
  </r>
  <r>
    <s v="JUO-34131-517"/>
    <x v="124"/>
    <s v="07972-83748-JI"/>
    <s v="L-D-1"/>
    <n v="6"/>
    <x v="130"/>
    <s v=""/>
    <x v="0"/>
    <s v="Lib"/>
    <s v="D"/>
    <x v="0"/>
    <n v="12.95"/>
    <n v="77.69999999999999"/>
    <x v="3"/>
    <x v="2"/>
    <x v="0"/>
  </r>
  <r>
    <s v="ZJE-89333-489"/>
    <x v="125"/>
    <s v="08694-57330-XR"/>
    <s v="L-D-2.5"/>
    <n v="1"/>
    <x v="131"/>
    <s v="vkundt3w@bigcartel.com"/>
    <x v="1"/>
    <s v="Lib"/>
    <s v="D"/>
    <x v="2"/>
    <n v="29.785"/>
    <n v="29.785"/>
    <x v="3"/>
    <x v="2"/>
    <x v="0"/>
  </r>
  <r>
    <s v="LOO-35324-159"/>
    <x v="126"/>
    <s v="68412-11126-YJ"/>
    <s v="A-L-0.2"/>
    <n v="4"/>
    <x v="132"/>
    <s v="bbett3x@google.de"/>
    <x v="0"/>
    <s v="Ara"/>
    <s v="L"/>
    <x v="3"/>
    <n v="3.885"/>
    <n v="15.54"/>
    <x v="2"/>
    <x v="1"/>
    <x v="0"/>
  </r>
  <r>
    <s v="JBQ-93412-846"/>
    <x v="127"/>
    <s v="69037-66822-DW"/>
    <s v="E-L-2.5"/>
    <n v="4"/>
    <x v="133"/>
    <s v=""/>
    <x v="1"/>
    <s v="Exc"/>
    <s v="L"/>
    <x v="2"/>
    <n v="34.15499999999999"/>
    <n v="136.62"/>
    <x v="1"/>
    <x v="1"/>
    <x v="0"/>
  </r>
  <r>
    <s v="EHX-66333-637"/>
    <x v="128"/>
    <s v="01297-94364-XH"/>
    <s v="L-M-0.5"/>
    <n v="2"/>
    <x v="134"/>
    <s v="dstaite3z@scientificamerican.com"/>
    <x v="0"/>
    <s v="Lib"/>
    <s v="M"/>
    <x v="1"/>
    <n v="8.73"/>
    <n v="17.46"/>
    <x v="3"/>
    <x v="0"/>
    <x v="1"/>
  </r>
  <r>
    <s v="WXG-25759-236"/>
    <x v="103"/>
    <s v="39919-06540-ZI"/>
    <s v="E-L-2.5"/>
    <n v="2"/>
    <x v="135"/>
    <s v="wkeyse40@apple.com"/>
    <x v="0"/>
    <s v="Exc"/>
    <s v="L"/>
    <x v="2"/>
    <n v="34.15499999999999"/>
    <n v="68.30999999999999"/>
    <x v="1"/>
    <x v="1"/>
    <x v="0"/>
  </r>
  <r>
    <s v="QNA-31113-984"/>
    <x v="129"/>
    <s v="60512-78550-WS"/>
    <s v="L-M-0.2"/>
    <n v="4"/>
    <x v="136"/>
    <s v="oclausenthue41@marriott.com"/>
    <x v="0"/>
    <s v="Lib"/>
    <s v="M"/>
    <x v="3"/>
    <n v="4.365"/>
    <n v="17.46"/>
    <x v="3"/>
    <x v="0"/>
    <x v="1"/>
  </r>
  <r>
    <s v="ZWI-52029-159"/>
    <x v="130"/>
    <s v="40172-12000-AU"/>
    <s v="L-M-1"/>
    <n v="3"/>
    <x v="137"/>
    <s v="lfrancisco42@fema.gov"/>
    <x v="0"/>
    <s v="Lib"/>
    <s v="M"/>
    <x v="0"/>
    <n v="14.55"/>
    <n v="43.65000000000001"/>
    <x v="3"/>
    <x v="0"/>
    <x v="1"/>
  </r>
  <r>
    <s v="ZWI-52029-159"/>
    <x v="130"/>
    <s v="40172-12000-AU"/>
    <s v="E-M-1"/>
    <n v="2"/>
    <x v="137"/>
    <s v="lfrancisco42@fema.gov"/>
    <x v="0"/>
    <s v="Exc"/>
    <s v="M"/>
    <x v="0"/>
    <n v="13.75"/>
    <n v="27.5"/>
    <x v="1"/>
    <x v="0"/>
    <x v="1"/>
  </r>
  <r>
    <s v="DFS-49954-707"/>
    <x v="131"/>
    <s v="39019-13649-CL"/>
    <s v="E-D-0.2"/>
    <n v="5"/>
    <x v="138"/>
    <s v="gskingle44@clickbank.net"/>
    <x v="0"/>
    <s v="Exc"/>
    <s v="D"/>
    <x v="3"/>
    <n v="3.645"/>
    <n v="18.225"/>
    <x v="1"/>
    <x v="2"/>
    <x v="0"/>
  </r>
  <r>
    <s v="VYP-89830-878"/>
    <x v="132"/>
    <s v="12715-05198-QU"/>
    <s v="A-M-2.5"/>
    <n v="2"/>
    <x v="139"/>
    <s v=""/>
    <x v="0"/>
    <s v="Ara"/>
    <s v="M"/>
    <x v="2"/>
    <n v="25.875"/>
    <n v="51.74999999999999"/>
    <x v="2"/>
    <x v="0"/>
    <x v="0"/>
  </r>
  <r>
    <s v="AMT-40418-362"/>
    <x v="133"/>
    <s v="04513-76520-QO"/>
    <s v="L-D-1"/>
    <n v="1"/>
    <x v="140"/>
    <s v="jbalsillie46@princeton.edu"/>
    <x v="0"/>
    <s v="Lib"/>
    <s v="D"/>
    <x v="0"/>
    <n v="12.95"/>
    <n v="12.95"/>
    <x v="3"/>
    <x v="2"/>
    <x v="0"/>
  </r>
  <r>
    <s v="NFQ-23241-793"/>
    <x v="134"/>
    <s v="88446-59251-SQ"/>
    <s v="A-M-1"/>
    <n v="3"/>
    <x v="141"/>
    <s v=""/>
    <x v="0"/>
    <s v="Ara"/>
    <s v="M"/>
    <x v="0"/>
    <n v="11.25"/>
    <n v="33.75"/>
    <x v="2"/>
    <x v="0"/>
    <x v="0"/>
  </r>
  <r>
    <s v="JQK-64922-985"/>
    <x v="113"/>
    <s v="23779-10274-KN"/>
    <s v="R-M-2.5"/>
    <n v="3"/>
    <x v="142"/>
    <s v="bleffek48@ning.com"/>
    <x v="0"/>
    <s v="Rob"/>
    <s v="M"/>
    <x v="2"/>
    <n v="22.885"/>
    <n v="68.655"/>
    <x v="0"/>
    <x v="0"/>
    <x v="0"/>
  </r>
  <r>
    <s v="YET-17732-678"/>
    <x v="135"/>
    <s v="57235-92842-DK"/>
    <s v="R-D-0.2"/>
    <n v="1"/>
    <x v="143"/>
    <s v=""/>
    <x v="0"/>
    <s v="Rob"/>
    <s v="D"/>
    <x v="3"/>
    <n v="2.685"/>
    <n v="2.685"/>
    <x v="0"/>
    <x v="2"/>
    <x v="1"/>
  </r>
  <r>
    <s v="NKW-24945-846"/>
    <x v="35"/>
    <s v="75977-30364-AY"/>
    <s v="A-D-2.5"/>
    <n v="5"/>
    <x v="144"/>
    <s v="jpray4a@youtube.com"/>
    <x v="0"/>
    <s v="Ara"/>
    <s v="D"/>
    <x v="2"/>
    <n v="22.885"/>
    <n v="114.425"/>
    <x v="2"/>
    <x v="2"/>
    <x v="1"/>
  </r>
  <r>
    <s v="VKA-82720-513"/>
    <x v="136"/>
    <s v="12299-30914-NG"/>
    <s v="A-M-2.5"/>
    <n v="6"/>
    <x v="145"/>
    <s v="gholborn4b@ow.ly"/>
    <x v="0"/>
    <s v="Ara"/>
    <s v="M"/>
    <x v="2"/>
    <n v="25.875"/>
    <n v="155.25"/>
    <x v="2"/>
    <x v="0"/>
    <x v="0"/>
  </r>
  <r>
    <s v="THA-60599-417"/>
    <x v="137"/>
    <s v="59971-35626-YJ"/>
    <s v="A-M-2.5"/>
    <n v="3"/>
    <x v="146"/>
    <s v="fkeinrat4c@dailymail.co.uk"/>
    <x v="0"/>
    <s v="Ara"/>
    <s v="M"/>
    <x v="2"/>
    <n v="25.875"/>
    <n v="77.62499999999999"/>
    <x v="2"/>
    <x v="0"/>
    <x v="0"/>
  </r>
  <r>
    <s v="MEK-39769-035"/>
    <x v="138"/>
    <s v="15380-76513-PS"/>
    <s v="R-D-2.5"/>
    <n v="3"/>
    <x v="147"/>
    <s v="pyea4d@aol.com"/>
    <x v="1"/>
    <s v="Rob"/>
    <s v="D"/>
    <x v="2"/>
    <n v="20.585"/>
    <n v="61.755"/>
    <x v="0"/>
    <x v="2"/>
    <x v="1"/>
  </r>
  <r>
    <s v="JAF-18294-750"/>
    <x v="139"/>
    <s v="73564-98204-EY"/>
    <s v="R-D-2.5"/>
    <n v="6"/>
    <x v="148"/>
    <s v=""/>
    <x v="0"/>
    <s v="Rob"/>
    <s v="D"/>
    <x v="2"/>
    <n v="20.585"/>
    <n v="123.51"/>
    <x v="0"/>
    <x v="2"/>
    <x v="0"/>
  </r>
  <r>
    <s v="TME-59627-221"/>
    <x v="140"/>
    <s v="72282-40594-RX"/>
    <s v="L-L-2.5"/>
    <n v="6"/>
    <x v="149"/>
    <s v=""/>
    <x v="0"/>
    <s v="Lib"/>
    <s v="L"/>
    <x v="2"/>
    <n v="36.455"/>
    <n v="218.73"/>
    <x v="3"/>
    <x v="1"/>
    <x v="1"/>
  </r>
  <r>
    <s v="UDG-65353-824"/>
    <x v="141"/>
    <s v="17514-94165-RJ"/>
    <s v="E-M-0.5"/>
    <n v="4"/>
    <x v="150"/>
    <s v="kswede4g@addthis.com"/>
    <x v="0"/>
    <s v="Exc"/>
    <s v="M"/>
    <x v="1"/>
    <n v="8.25"/>
    <n v="33"/>
    <x v="1"/>
    <x v="0"/>
    <x v="1"/>
  </r>
  <r>
    <s v="ENQ-42923-176"/>
    <x v="142"/>
    <s v="56248-75861-JX"/>
    <s v="A-L-0.5"/>
    <n v="3"/>
    <x v="151"/>
    <s v="lrubrow4h@microsoft.com"/>
    <x v="0"/>
    <s v="Ara"/>
    <s v="L"/>
    <x v="1"/>
    <n v="7.77"/>
    <n v="23.31"/>
    <x v="2"/>
    <x v="1"/>
    <x v="1"/>
  </r>
  <r>
    <s v="CBT-55781-720"/>
    <x v="143"/>
    <s v="97855-54761-IS"/>
    <s v="E-D-0.5"/>
    <n v="3"/>
    <x v="152"/>
    <s v="dtift4i@netvibes.com"/>
    <x v="0"/>
    <s v="Exc"/>
    <s v="D"/>
    <x v="1"/>
    <n v="7.29"/>
    <n v="21.87"/>
    <x v="1"/>
    <x v="2"/>
    <x v="0"/>
  </r>
  <r>
    <s v="NEU-86533-016"/>
    <x v="144"/>
    <s v="96544-91644-IT"/>
    <s v="R-D-0.2"/>
    <n v="6"/>
    <x v="153"/>
    <s v="gschonfeld4j@oracle.com"/>
    <x v="0"/>
    <s v="Rob"/>
    <s v="D"/>
    <x v="3"/>
    <n v="2.685"/>
    <n v="16.11"/>
    <x v="0"/>
    <x v="2"/>
    <x v="1"/>
  </r>
  <r>
    <s v="BYU-58154-603"/>
    <x v="145"/>
    <s v="51971-70393-QM"/>
    <s v="E-D-0.5"/>
    <n v="4"/>
    <x v="154"/>
    <s v="cfeye4k@google.co.jp"/>
    <x v="1"/>
    <s v="Exc"/>
    <s v="D"/>
    <x v="1"/>
    <n v="7.29"/>
    <n v="29.16"/>
    <x v="1"/>
    <x v="2"/>
    <x v="1"/>
  </r>
  <r>
    <s v="EHJ-05910-257"/>
    <x v="146"/>
    <s v="06812-11924-IK"/>
    <s v="R-D-1"/>
    <n v="6"/>
    <x v="155"/>
    <s v=""/>
    <x v="0"/>
    <s v="Rob"/>
    <s v="D"/>
    <x v="0"/>
    <n v="8.949999999999999"/>
    <n v="53.7"/>
    <x v="0"/>
    <x v="2"/>
    <x v="0"/>
  </r>
  <r>
    <s v="EIL-44855-309"/>
    <x v="147"/>
    <s v="59741-90220-OW"/>
    <s v="R-D-0.5"/>
    <n v="5"/>
    <x v="156"/>
    <s v=""/>
    <x v="0"/>
    <s v="Rob"/>
    <s v="D"/>
    <x v="1"/>
    <n v="5.369999999999999"/>
    <n v="26.84999999999999"/>
    <x v="0"/>
    <x v="2"/>
    <x v="0"/>
  </r>
  <r>
    <s v="HCA-87224-420"/>
    <x v="148"/>
    <s v="62682-27930-PD"/>
    <s v="E-M-0.5"/>
    <n v="5"/>
    <x v="157"/>
    <s v="tfero4n@comsenz.com"/>
    <x v="0"/>
    <s v="Exc"/>
    <s v="M"/>
    <x v="1"/>
    <n v="8.25"/>
    <n v="41.25"/>
    <x v="1"/>
    <x v="0"/>
    <x v="0"/>
  </r>
  <r>
    <s v="ABO-29054-365"/>
    <x v="149"/>
    <s v="00256-19905-YG"/>
    <s v="A-M-0.5"/>
    <n v="6"/>
    <x v="158"/>
    <s v=""/>
    <x v="1"/>
    <s v="Ara"/>
    <s v="M"/>
    <x v="1"/>
    <n v="6.75"/>
    <n v="40.5"/>
    <x v="2"/>
    <x v="0"/>
    <x v="1"/>
  </r>
  <r>
    <s v="TKN-58485-031"/>
    <x v="150"/>
    <s v="38890-22576-UI"/>
    <s v="R-D-1"/>
    <n v="2"/>
    <x v="159"/>
    <s v="fdauney4p@sphinn.com"/>
    <x v="1"/>
    <s v="Rob"/>
    <s v="D"/>
    <x v="0"/>
    <n v="8.949999999999999"/>
    <n v="17.9"/>
    <x v="0"/>
    <x v="2"/>
    <x v="1"/>
  </r>
  <r>
    <s v="RCK-04069-371"/>
    <x v="151"/>
    <s v="94573-61802-PH"/>
    <s v="E-L-2.5"/>
    <n v="2"/>
    <x v="160"/>
    <s v="searley4q@youku.com"/>
    <x v="2"/>
    <s v="Exc"/>
    <s v="L"/>
    <x v="2"/>
    <n v="34.15499999999999"/>
    <n v="68.30999999999999"/>
    <x v="1"/>
    <x v="1"/>
    <x v="1"/>
  </r>
  <r>
    <s v="IRJ-67095-738"/>
    <x v="13"/>
    <s v="86447-02699-UT"/>
    <s v="E-M-2.5"/>
    <n v="2"/>
    <x v="161"/>
    <s v="mchamberlayne4r@bigcartel.com"/>
    <x v="0"/>
    <s v="Exc"/>
    <s v="M"/>
    <x v="2"/>
    <n v="31.625"/>
    <n v="63.24999999999999"/>
    <x v="1"/>
    <x v="0"/>
    <x v="0"/>
  </r>
  <r>
    <s v="VEA-31961-977"/>
    <x v="79"/>
    <s v="51432-27169-KN"/>
    <s v="E-D-0.5"/>
    <n v="3"/>
    <x v="162"/>
    <s v="bflaherty4s@moonfruit.com"/>
    <x v="1"/>
    <s v="Exc"/>
    <s v="D"/>
    <x v="1"/>
    <n v="7.29"/>
    <n v="21.87"/>
    <x v="1"/>
    <x v="2"/>
    <x v="1"/>
  </r>
  <r>
    <s v="BAF-42286-205"/>
    <x v="152"/>
    <s v="43074-00987-PB"/>
    <s v="R-M-2.5"/>
    <n v="4"/>
    <x v="163"/>
    <s v="ocolbeck4t@sina.com.cn"/>
    <x v="0"/>
    <s v="Rob"/>
    <s v="M"/>
    <x v="2"/>
    <n v="22.885"/>
    <n v="91.53999999999999"/>
    <x v="0"/>
    <x v="0"/>
    <x v="1"/>
  </r>
  <r>
    <s v="WOR-52762-511"/>
    <x v="153"/>
    <s v="04739-85772-QT"/>
    <s v="E-L-2.5"/>
    <n v="6"/>
    <x v="164"/>
    <s v=""/>
    <x v="0"/>
    <s v="Exc"/>
    <s v="L"/>
    <x v="2"/>
    <n v="34.15499999999999"/>
    <n v="204.9299999999999"/>
    <x v="1"/>
    <x v="1"/>
    <x v="0"/>
  </r>
  <r>
    <s v="ZWK-03995-815"/>
    <x v="154"/>
    <s v="28279-78469-YW"/>
    <s v="E-M-2.5"/>
    <n v="2"/>
    <x v="165"/>
    <s v="ehobbing4v@nsw.gov.au"/>
    <x v="0"/>
    <s v="Exc"/>
    <s v="M"/>
    <x v="2"/>
    <n v="31.625"/>
    <n v="63.24999999999999"/>
    <x v="1"/>
    <x v="0"/>
    <x v="0"/>
  </r>
  <r>
    <s v="CKF-43291-846"/>
    <x v="155"/>
    <s v="91829-99544-DS"/>
    <s v="E-L-2.5"/>
    <n v="1"/>
    <x v="166"/>
    <s v="othynne4w@auda.org.au"/>
    <x v="0"/>
    <s v="Exc"/>
    <s v="L"/>
    <x v="2"/>
    <n v="34.15499999999999"/>
    <n v="34.15499999999999"/>
    <x v="1"/>
    <x v="1"/>
    <x v="0"/>
  </r>
  <r>
    <s v="RMW-74160-339"/>
    <x v="156"/>
    <s v="38978-59582-JP"/>
    <s v="R-L-2.5"/>
    <n v="4"/>
    <x v="167"/>
    <s v="eheining4x@flickr.com"/>
    <x v="0"/>
    <s v="Rob"/>
    <s v="L"/>
    <x v="2"/>
    <n v="27.485"/>
    <n v="109.94"/>
    <x v="0"/>
    <x v="1"/>
    <x v="0"/>
  </r>
  <r>
    <s v="FMT-94584-786"/>
    <x v="22"/>
    <s v="86504-96610-BH"/>
    <s v="A-L-1"/>
    <n v="2"/>
    <x v="168"/>
    <s v="kmelloi4y@imdb.com"/>
    <x v="0"/>
    <s v="Ara"/>
    <s v="L"/>
    <x v="0"/>
    <n v="12.95"/>
    <n v="25.9"/>
    <x v="2"/>
    <x v="1"/>
    <x v="1"/>
  </r>
  <r>
    <s v="NWT-78222-575"/>
    <x v="157"/>
    <s v="75986-98864-EZ"/>
    <s v="A-D-0.2"/>
    <n v="1"/>
    <x v="169"/>
    <s v=""/>
    <x v="1"/>
    <s v="Ara"/>
    <s v="D"/>
    <x v="3"/>
    <n v="2.985"/>
    <n v="2.985"/>
    <x v="2"/>
    <x v="2"/>
    <x v="1"/>
  </r>
  <r>
    <s v="EOI-02511-919"/>
    <x v="158"/>
    <s v="66776-88682-RG"/>
    <s v="E-L-0.2"/>
    <n v="5"/>
    <x v="170"/>
    <s v="amussen50@51.la"/>
    <x v="0"/>
    <s v="Exc"/>
    <s v="L"/>
    <x v="3"/>
    <n v="4.455"/>
    <n v="22.275"/>
    <x v="1"/>
    <x v="1"/>
    <x v="1"/>
  </r>
  <r>
    <s v="EOI-02511-919"/>
    <x v="158"/>
    <s v="66776-88682-RG"/>
    <s v="A-D-0.5"/>
    <n v="5"/>
    <x v="170"/>
    <s v="amussen50@51.la"/>
    <x v="0"/>
    <s v="Ara"/>
    <s v="D"/>
    <x v="1"/>
    <n v="5.97"/>
    <n v="29.85"/>
    <x v="2"/>
    <x v="2"/>
    <x v="1"/>
  </r>
  <r>
    <s v="UCT-03935-589"/>
    <x v="78"/>
    <s v="85851-78384-DM"/>
    <s v="R-D-0.5"/>
    <n v="6"/>
    <x v="171"/>
    <s v="amundford52@nbcnews.com"/>
    <x v="0"/>
    <s v="Rob"/>
    <s v="D"/>
    <x v="1"/>
    <n v="5.369999999999999"/>
    <n v="32.22"/>
    <x v="0"/>
    <x v="2"/>
    <x v="1"/>
  </r>
  <r>
    <s v="SBI-60013-494"/>
    <x v="159"/>
    <s v="55232-81621-BX"/>
    <s v="E-M-0.2"/>
    <n v="2"/>
    <x v="172"/>
    <s v="twalas53@google.ca"/>
    <x v="0"/>
    <s v="Exc"/>
    <s v="M"/>
    <x v="3"/>
    <n v="4.125"/>
    <n v="8.25"/>
    <x v="1"/>
    <x v="0"/>
    <x v="1"/>
  </r>
  <r>
    <s v="QRA-73277-814"/>
    <x v="160"/>
    <s v="80310-92912-JA"/>
    <s v="A-L-0.5"/>
    <n v="4"/>
    <x v="173"/>
    <s v="iblazewicz54@thetimes.co.uk"/>
    <x v="0"/>
    <s v="Ara"/>
    <s v="L"/>
    <x v="1"/>
    <n v="7.77"/>
    <n v="31.08"/>
    <x v="2"/>
    <x v="1"/>
    <x v="1"/>
  </r>
  <r>
    <s v="EQE-31648-909"/>
    <x v="161"/>
    <s v="19821-05175-WZ"/>
    <s v="E-D-0.5"/>
    <n v="5"/>
    <x v="174"/>
    <s v="arizzetti55@naver.com"/>
    <x v="0"/>
    <s v="Exc"/>
    <s v="D"/>
    <x v="1"/>
    <n v="7.29"/>
    <n v="36.45"/>
    <x v="1"/>
    <x v="2"/>
    <x v="0"/>
  </r>
  <r>
    <s v="QOO-24615-950"/>
    <x v="162"/>
    <s v="01338-83217-GV"/>
    <s v="R-M-2.5"/>
    <n v="3"/>
    <x v="175"/>
    <s v="mmeriet56@noaa.gov"/>
    <x v="0"/>
    <s v="Rob"/>
    <s v="M"/>
    <x v="2"/>
    <n v="22.885"/>
    <n v="68.655"/>
    <x v="0"/>
    <x v="0"/>
    <x v="1"/>
  </r>
  <r>
    <s v="WDV-73864-037"/>
    <x v="70"/>
    <s v="66044-25298-TA"/>
    <s v="L-M-0.5"/>
    <n v="5"/>
    <x v="176"/>
    <s v="lpratt57@netvibes.com"/>
    <x v="0"/>
    <s v="Lib"/>
    <s v="M"/>
    <x v="1"/>
    <n v="8.73"/>
    <n v="43.65000000000001"/>
    <x v="3"/>
    <x v="0"/>
    <x v="0"/>
  </r>
  <r>
    <s v="PKR-88575-066"/>
    <x v="163"/>
    <s v="28728-47861-TZ"/>
    <s v="E-L-0.2"/>
    <n v="1"/>
    <x v="177"/>
    <s v="akitchingham58@com.com"/>
    <x v="0"/>
    <s v="Exc"/>
    <s v="L"/>
    <x v="3"/>
    <n v="4.455"/>
    <n v="4.455"/>
    <x v="1"/>
    <x v="1"/>
    <x v="0"/>
  </r>
  <r>
    <s v="BWR-85735-955"/>
    <x v="153"/>
    <s v="32638-38620-AX"/>
    <s v="L-M-1"/>
    <n v="3"/>
    <x v="178"/>
    <s v="bbartholin59@xinhuanet.com"/>
    <x v="0"/>
    <s v="Lib"/>
    <s v="M"/>
    <x v="0"/>
    <n v="14.55"/>
    <n v="43.65000000000001"/>
    <x v="3"/>
    <x v="0"/>
    <x v="0"/>
  </r>
  <r>
    <s v="YFX-64795-136"/>
    <x v="164"/>
    <s v="83163-65741-IH"/>
    <s v="L-M-2.5"/>
    <n v="1"/>
    <x v="179"/>
    <s v="mprinn5a@usa.gov"/>
    <x v="0"/>
    <s v="Lib"/>
    <s v="M"/>
    <x v="2"/>
    <n v="33.465"/>
    <n v="33.465"/>
    <x v="3"/>
    <x v="0"/>
    <x v="0"/>
  </r>
  <r>
    <s v="DDO-71442-967"/>
    <x v="165"/>
    <s v="89422-58281-FD"/>
    <s v="L-D-0.2"/>
    <n v="5"/>
    <x v="180"/>
    <s v="abaudino5b@netvibes.com"/>
    <x v="0"/>
    <s v="Lib"/>
    <s v="D"/>
    <x v="3"/>
    <n v="3.885"/>
    <n v="19.425"/>
    <x v="3"/>
    <x v="2"/>
    <x v="0"/>
  </r>
  <r>
    <s v="ILQ-11027-588"/>
    <x v="166"/>
    <s v="76293-30918-DQ"/>
    <s v="E-D-1"/>
    <n v="6"/>
    <x v="181"/>
    <s v="ppetrushanko5c@blinklist.com"/>
    <x v="1"/>
    <s v="Exc"/>
    <s v="D"/>
    <x v="0"/>
    <n v="12.15"/>
    <n v="72.90000000000001"/>
    <x v="1"/>
    <x v="2"/>
    <x v="0"/>
  </r>
  <r>
    <s v="KRZ-13868-122"/>
    <x v="167"/>
    <s v="86779-84838-EJ"/>
    <s v="E-L-1"/>
    <n v="3"/>
    <x v="182"/>
    <s v=""/>
    <x v="0"/>
    <s v="Exc"/>
    <s v="L"/>
    <x v="0"/>
    <n v="14.85"/>
    <n v="44.55"/>
    <x v="1"/>
    <x v="1"/>
    <x v="1"/>
  </r>
  <r>
    <s v="VRM-93594-914"/>
    <x v="168"/>
    <s v="66806-41795-MX"/>
    <s v="E-D-0.5"/>
    <n v="5"/>
    <x v="183"/>
    <s v="elaird5e@bing.com"/>
    <x v="0"/>
    <s v="Exc"/>
    <s v="D"/>
    <x v="1"/>
    <n v="7.29"/>
    <n v="36.45"/>
    <x v="1"/>
    <x v="2"/>
    <x v="1"/>
  </r>
  <r>
    <s v="HXL-22497-359"/>
    <x v="169"/>
    <s v="64875-71224-UI"/>
    <s v="A-L-1"/>
    <n v="3"/>
    <x v="184"/>
    <s v="mhowsden5f@infoseek.co.jp"/>
    <x v="0"/>
    <s v="Ara"/>
    <s v="L"/>
    <x v="0"/>
    <n v="12.95"/>
    <n v="38.84999999999999"/>
    <x v="2"/>
    <x v="1"/>
    <x v="1"/>
  </r>
  <r>
    <s v="NOP-21394-646"/>
    <x v="170"/>
    <s v="16982-35708-BZ"/>
    <s v="E-L-0.5"/>
    <n v="6"/>
    <x v="185"/>
    <s v="ncuttler5g@parallels.com"/>
    <x v="0"/>
    <s v="Exc"/>
    <s v="L"/>
    <x v="1"/>
    <n v="8.91"/>
    <n v="53.46"/>
    <x v="1"/>
    <x v="1"/>
    <x v="1"/>
  </r>
  <r>
    <s v="NOP-21394-646"/>
    <x v="170"/>
    <s v="16982-35708-BZ"/>
    <s v="L-D-2.5"/>
    <n v="2"/>
    <x v="185"/>
    <s v="ncuttler5g@parallels.com"/>
    <x v="0"/>
    <s v="Lib"/>
    <s v="D"/>
    <x v="2"/>
    <n v="29.785"/>
    <n v="59.56999999999999"/>
    <x v="3"/>
    <x v="2"/>
    <x v="1"/>
  </r>
  <r>
    <s v="NOP-21394-646"/>
    <x v="170"/>
    <s v="16982-35708-BZ"/>
    <s v="L-D-2.5"/>
    <n v="3"/>
    <x v="185"/>
    <s v="ncuttler5g@parallels.com"/>
    <x v="0"/>
    <s v="Lib"/>
    <s v="D"/>
    <x v="2"/>
    <n v="29.785"/>
    <n v="89.35499999999999"/>
    <x v="3"/>
    <x v="2"/>
    <x v="1"/>
  </r>
  <r>
    <s v="NOP-21394-646"/>
    <x v="170"/>
    <s v="16982-35708-BZ"/>
    <s v="L-L-0.5"/>
    <n v="4"/>
    <x v="185"/>
    <s v="ncuttler5g@parallels.com"/>
    <x v="0"/>
    <s v="Lib"/>
    <s v="L"/>
    <x v="1"/>
    <n v="9.51"/>
    <n v="38.04"/>
    <x v="3"/>
    <x v="1"/>
    <x v="1"/>
  </r>
  <r>
    <s v="NOP-21394-646"/>
    <x v="170"/>
    <s v="16982-35708-BZ"/>
    <s v="E-M-1"/>
    <n v="3"/>
    <x v="185"/>
    <s v="ncuttler5g@parallels.com"/>
    <x v="0"/>
    <s v="Exc"/>
    <s v="M"/>
    <x v="0"/>
    <n v="13.75"/>
    <n v="41.25"/>
    <x v="1"/>
    <x v="0"/>
    <x v="1"/>
  </r>
  <r>
    <s v="FTV-77095-168"/>
    <x v="171"/>
    <s v="66708-26678-QK"/>
    <s v="L-L-0.5"/>
    <n v="6"/>
    <x v="186"/>
    <s v=""/>
    <x v="0"/>
    <s v="Lib"/>
    <s v="L"/>
    <x v="1"/>
    <n v="9.51"/>
    <n v="57.06"/>
    <x v="3"/>
    <x v="1"/>
    <x v="1"/>
  </r>
  <r>
    <s v="BOR-02906-411"/>
    <x v="172"/>
    <s v="08743-09057-OO"/>
    <s v="L-D-2.5"/>
    <n v="6"/>
    <x v="187"/>
    <s v="tfelip5m@typepad.com"/>
    <x v="0"/>
    <s v="Lib"/>
    <s v="D"/>
    <x v="2"/>
    <n v="29.785"/>
    <n v="178.71"/>
    <x v="3"/>
    <x v="2"/>
    <x v="0"/>
  </r>
  <r>
    <s v="WMP-68847-770"/>
    <x v="173"/>
    <s v="37490-01572-JW"/>
    <s v="L-L-0.2"/>
    <n v="1"/>
    <x v="188"/>
    <s v="vle5n@disqus.com"/>
    <x v="0"/>
    <s v="Lib"/>
    <s v="L"/>
    <x v="3"/>
    <n v="4.755"/>
    <n v="4.755"/>
    <x v="3"/>
    <x v="1"/>
    <x v="1"/>
  </r>
  <r>
    <s v="TMO-22785-872"/>
    <x v="174"/>
    <s v="01811-60350-CU"/>
    <s v="E-M-1"/>
    <n v="6"/>
    <x v="189"/>
    <s v=""/>
    <x v="0"/>
    <s v="Exc"/>
    <s v="M"/>
    <x v="0"/>
    <n v="13.75"/>
    <n v="82.5"/>
    <x v="1"/>
    <x v="0"/>
    <x v="1"/>
  </r>
  <r>
    <s v="TJG-73587-353"/>
    <x v="175"/>
    <s v="24766-58139-GT"/>
    <s v="R-D-0.2"/>
    <n v="3"/>
    <x v="190"/>
    <s v=""/>
    <x v="0"/>
    <s v="Rob"/>
    <s v="D"/>
    <x v="3"/>
    <n v="2.685"/>
    <n v="8.055"/>
    <x v="0"/>
    <x v="2"/>
    <x v="0"/>
  </r>
  <r>
    <s v="OOU-61343-455"/>
    <x v="176"/>
    <s v="90123-70970-NY"/>
    <s v="A-M-1"/>
    <n v="2"/>
    <x v="191"/>
    <s v="npoolman5q@howstuffworks.com"/>
    <x v="0"/>
    <s v="Ara"/>
    <s v="M"/>
    <x v="0"/>
    <n v="11.25"/>
    <n v="22.5"/>
    <x v="2"/>
    <x v="0"/>
    <x v="1"/>
  </r>
  <r>
    <s v="RMA-08327-369"/>
    <x v="142"/>
    <s v="93809-05424-MG"/>
    <s v="A-M-0.5"/>
    <n v="6"/>
    <x v="192"/>
    <s v="oduny5r@constantcontact.com"/>
    <x v="0"/>
    <s v="Ara"/>
    <s v="M"/>
    <x v="1"/>
    <n v="6.75"/>
    <n v="40.5"/>
    <x v="2"/>
    <x v="0"/>
    <x v="0"/>
  </r>
  <r>
    <s v="SFB-97929-779"/>
    <x v="177"/>
    <s v="85425-33494-HQ"/>
    <s v="E-D-0.5"/>
    <n v="4"/>
    <x v="193"/>
    <s v="chalfhide5s@google.ru"/>
    <x v="1"/>
    <s v="Exc"/>
    <s v="D"/>
    <x v="1"/>
    <n v="7.29"/>
    <n v="29.16"/>
    <x v="1"/>
    <x v="2"/>
    <x v="0"/>
  </r>
  <r>
    <s v="AUP-10128-606"/>
    <x v="178"/>
    <s v="54387-64897-XC"/>
    <s v="A-M-0.5"/>
    <n v="1"/>
    <x v="194"/>
    <s v="fmalecky5t@list-manage.com"/>
    <x v="2"/>
    <s v="Ara"/>
    <s v="M"/>
    <x v="1"/>
    <n v="6.75"/>
    <n v="6.75"/>
    <x v="2"/>
    <x v="0"/>
    <x v="1"/>
  </r>
  <r>
    <s v="YTW-40242-005"/>
    <x v="179"/>
    <s v="01035-70465-UO"/>
    <s v="L-D-1"/>
    <n v="4"/>
    <x v="195"/>
    <s v="aattwater5u@wikia.com"/>
    <x v="0"/>
    <s v="Lib"/>
    <s v="D"/>
    <x v="0"/>
    <n v="12.95"/>
    <n v="51.8"/>
    <x v="3"/>
    <x v="2"/>
    <x v="0"/>
  </r>
  <r>
    <s v="PRP-53390-819"/>
    <x v="180"/>
    <s v="84260-39432-ML"/>
    <s v="E-L-0.5"/>
    <n v="6"/>
    <x v="196"/>
    <s v="mwhellans5v@mapquest.com"/>
    <x v="0"/>
    <s v="Exc"/>
    <s v="L"/>
    <x v="1"/>
    <n v="8.91"/>
    <n v="53.46"/>
    <x v="1"/>
    <x v="1"/>
    <x v="1"/>
  </r>
  <r>
    <s v="GSJ-01065-125"/>
    <x v="181"/>
    <s v="69779-40609-RS"/>
    <s v="E-D-0.2"/>
    <n v="4"/>
    <x v="197"/>
    <s v="dcamilletti5w@businesswire.com"/>
    <x v="0"/>
    <s v="Exc"/>
    <s v="D"/>
    <x v="3"/>
    <n v="3.645"/>
    <n v="14.58"/>
    <x v="1"/>
    <x v="2"/>
    <x v="0"/>
  </r>
  <r>
    <s v="YQU-65147-580"/>
    <x v="182"/>
    <s v="80247-70000-HT"/>
    <s v="R-D-2.5"/>
    <n v="1"/>
    <x v="198"/>
    <s v="egalgey5x@wufoo.com"/>
    <x v="0"/>
    <s v="Rob"/>
    <s v="D"/>
    <x v="2"/>
    <n v="20.585"/>
    <n v="20.585"/>
    <x v="0"/>
    <x v="2"/>
    <x v="1"/>
  </r>
  <r>
    <s v="QPM-95832-683"/>
    <x v="183"/>
    <s v="35058-04550-VC"/>
    <s v="L-L-1"/>
    <n v="2"/>
    <x v="199"/>
    <s v="mhame5y@newsvine.com"/>
    <x v="1"/>
    <s v="Lib"/>
    <s v="L"/>
    <x v="0"/>
    <n v="15.85"/>
    <n v="31.7"/>
    <x v="3"/>
    <x v="1"/>
    <x v="1"/>
  </r>
  <r>
    <s v="BNQ-88920-567"/>
    <x v="184"/>
    <s v="27226-53717-SY"/>
    <s v="L-D-0.2"/>
    <n v="6"/>
    <x v="200"/>
    <s v="igurnee5z@usnews.com"/>
    <x v="0"/>
    <s v="Lib"/>
    <s v="D"/>
    <x v="3"/>
    <n v="3.885"/>
    <n v="23.31"/>
    <x v="3"/>
    <x v="2"/>
    <x v="1"/>
  </r>
  <r>
    <s v="PUX-47906-110"/>
    <x v="185"/>
    <s v="02002-98725-CH"/>
    <s v="L-M-1"/>
    <n v="4"/>
    <x v="201"/>
    <s v="asnowding60@comsenz.com"/>
    <x v="0"/>
    <s v="Lib"/>
    <s v="M"/>
    <x v="0"/>
    <n v="14.55"/>
    <n v="58.2"/>
    <x v="3"/>
    <x v="0"/>
    <x v="0"/>
  </r>
  <r>
    <s v="COL-72079-610"/>
    <x v="186"/>
    <s v="38487-01549-MV"/>
    <s v="E-L-0.5"/>
    <n v="4"/>
    <x v="202"/>
    <s v="gpoinsett61@berkeley.edu"/>
    <x v="0"/>
    <s v="Exc"/>
    <s v="L"/>
    <x v="1"/>
    <n v="8.91"/>
    <n v="35.64"/>
    <x v="1"/>
    <x v="1"/>
    <x v="1"/>
  </r>
  <r>
    <s v="LBC-45686-819"/>
    <x v="187"/>
    <s v="98573-41811-EQ"/>
    <s v="A-M-1"/>
    <n v="5"/>
    <x v="203"/>
    <s v="rfurman62@t.co"/>
    <x v="1"/>
    <s v="Ara"/>
    <s v="M"/>
    <x v="0"/>
    <n v="11.25"/>
    <n v="56.25"/>
    <x v="2"/>
    <x v="0"/>
    <x v="0"/>
  </r>
  <r>
    <s v="BLQ-03709-265"/>
    <x v="148"/>
    <s v="72463-75685-MV"/>
    <s v="R-L-0.2"/>
    <n v="3"/>
    <x v="204"/>
    <s v="ccrosier63@xrea.com"/>
    <x v="0"/>
    <s v="Rob"/>
    <s v="L"/>
    <x v="3"/>
    <n v="3.585"/>
    <n v="10.755"/>
    <x v="0"/>
    <x v="1"/>
    <x v="1"/>
  </r>
  <r>
    <s v="BLQ-03709-265"/>
    <x v="148"/>
    <s v="72463-75685-MV"/>
    <s v="R-M-0.2"/>
    <n v="5"/>
    <x v="204"/>
    <s v="ccrosier63@xrea.com"/>
    <x v="0"/>
    <s v="Rob"/>
    <s v="M"/>
    <x v="3"/>
    <n v="2.985"/>
    <n v="14.925"/>
    <x v="0"/>
    <x v="0"/>
    <x v="1"/>
  </r>
  <r>
    <s v="VFZ-91673-181"/>
    <x v="188"/>
    <s v="10225-91535-AI"/>
    <s v="A-L-1"/>
    <n v="6"/>
    <x v="205"/>
    <s v="lrushmer65@europa.eu"/>
    <x v="0"/>
    <s v="Ara"/>
    <s v="L"/>
    <x v="0"/>
    <n v="12.95"/>
    <n v="77.69999999999999"/>
    <x v="2"/>
    <x v="1"/>
    <x v="0"/>
  </r>
  <r>
    <s v="WKD-81956-870"/>
    <x v="189"/>
    <s v="48090-06534-HI"/>
    <s v="L-D-0.5"/>
    <n v="3"/>
    <x v="206"/>
    <s v="wedinborough66@github.io"/>
    <x v="0"/>
    <s v="Lib"/>
    <s v="D"/>
    <x v="1"/>
    <n v="7.77"/>
    <n v="23.31"/>
    <x v="3"/>
    <x v="2"/>
    <x v="1"/>
  </r>
  <r>
    <s v="TNI-91067-006"/>
    <x v="190"/>
    <s v="80444-58185-FX"/>
    <s v="E-L-1"/>
    <n v="4"/>
    <x v="207"/>
    <s v=""/>
    <x v="0"/>
    <s v="Exc"/>
    <s v="L"/>
    <x v="0"/>
    <n v="14.85"/>
    <n v="59.4"/>
    <x v="1"/>
    <x v="1"/>
    <x v="0"/>
  </r>
  <r>
    <s v="IZA-61469-812"/>
    <x v="191"/>
    <s v="13561-92774-WP"/>
    <s v="L-D-2.5"/>
    <n v="4"/>
    <x v="208"/>
    <s v="kbromehead68@un.org"/>
    <x v="0"/>
    <s v="Lib"/>
    <s v="D"/>
    <x v="2"/>
    <n v="29.785"/>
    <n v="119.14"/>
    <x v="3"/>
    <x v="2"/>
    <x v="0"/>
  </r>
  <r>
    <s v="PSS-22466-862"/>
    <x v="192"/>
    <s v="11550-78378-GE"/>
    <s v="R-L-0.2"/>
    <n v="4"/>
    <x v="209"/>
    <s v="ewesterman69@si.edu"/>
    <x v="1"/>
    <s v="Rob"/>
    <s v="L"/>
    <x v="3"/>
    <n v="3.585"/>
    <n v="14.34"/>
    <x v="0"/>
    <x v="1"/>
    <x v="1"/>
  </r>
  <r>
    <s v="REH-56504-397"/>
    <x v="193"/>
    <s v="90961-35603-RP"/>
    <s v="A-M-2.5"/>
    <n v="5"/>
    <x v="210"/>
    <s v="ahutchens6a@amazonaws.com"/>
    <x v="0"/>
    <s v="Ara"/>
    <s v="M"/>
    <x v="2"/>
    <n v="25.875"/>
    <n v="129.375"/>
    <x v="2"/>
    <x v="0"/>
    <x v="1"/>
  </r>
  <r>
    <s v="ALA-62598-016"/>
    <x v="194"/>
    <s v="57145-03803-ZL"/>
    <s v="R-D-0.2"/>
    <n v="6"/>
    <x v="211"/>
    <s v="nwyvill6b@naver.com"/>
    <x v="2"/>
    <s v="Rob"/>
    <s v="D"/>
    <x v="3"/>
    <n v="2.685"/>
    <n v="16.11"/>
    <x v="0"/>
    <x v="2"/>
    <x v="0"/>
  </r>
  <r>
    <s v="EYE-70374-835"/>
    <x v="195"/>
    <s v="89115-11966-VF"/>
    <s v="R-L-0.2"/>
    <n v="5"/>
    <x v="212"/>
    <s v="bmathon6c@barnesandnoble.com"/>
    <x v="0"/>
    <s v="Rob"/>
    <s v="L"/>
    <x v="3"/>
    <n v="3.585"/>
    <n v="17.925"/>
    <x v="0"/>
    <x v="1"/>
    <x v="1"/>
  </r>
  <r>
    <s v="CCZ-19589-212"/>
    <x v="196"/>
    <s v="05754-41702-FG"/>
    <s v="L-M-0.2"/>
    <n v="2"/>
    <x v="213"/>
    <s v="kstreight6d@about.com"/>
    <x v="0"/>
    <s v="Lib"/>
    <s v="M"/>
    <x v="3"/>
    <n v="4.365"/>
    <n v="8.73"/>
    <x v="3"/>
    <x v="0"/>
    <x v="1"/>
  </r>
  <r>
    <s v="BPT-83989-157"/>
    <x v="197"/>
    <s v="84269-49816-ML"/>
    <s v="A-M-2.5"/>
    <n v="2"/>
    <x v="214"/>
    <s v="pcutchie6e@globo.com"/>
    <x v="0"/>
    <s v="Ara"/>
    <s v="M"/>
    <x v="2"/>
    <n v="25.875"/>
    <n v="51.74999999999999"/>
    <x v="2"/>
    <x v="0"/>
    <x v="1"/>
  </r>
  <r>
    <s v="YFH-87456-208"/>
    <x v="198"/>
    <s v="23600-98432-ME"/>
    <s v="L-M-0.2"/>
    <n v="2"/>
    <x v="215"/>
    <s v=""/>
    <x v="0"/>
    <s v="Lib"/>
    <s v="M"/>
    <x v="3"/>
    <n v="4.365"/>
    <n v="8.73"/>
    <x v="3"/>
    <x v="0"/>
    <x v="0"/>
  </r>
  <r>
    <s v="JLN-14700-924"/>
    <x v="199"/>
    <s v="79058-02767-CP"/>
    <s v="L-L-0.2"/>
    <n v="5"/>
    <x v="216"/>
    <s v="cgheraldi6g@opera.com"/>
    <x v="2"/>
    <s v="Lib"/>
    <s v="L"/>
    <x v="3"/>
    <n v="4.755"/>
    <n v="23.775"/>
    <x v="3"/>
    <x v="1"/>
    <x v="1"/>
  </r>
  <r>
    <s v="JVW-22582-137"/>
    <x v="200"/>
    <s v="89208-74646-UK"/>
    <s v="E-M-0.2"/>
    <n v="5"/>
    <x v="217"/>
    <s v="bkenwell6h@over-blog.com"/>
    <x v="0"/>
    <s v="Exc"/>
    <s v="M"/>
    <x v="3"/>
    <n v="4.125"/>
    <n v="20.625"/>
    <x v="1"/>
    <x v="0"/>
    <x v="1"/>
  </r>
  <r>
    <s v="LAA-41879-001"/>
    <x v="201"/>
    <s v="11408-81032-UR"/>
    <s v="L-L-2.5"/>
    <n v="1"/>
    <x v="218"/>
    <s v="tsutty6i@google.es"/>
    <x v="0"/>
    <s v="Lib"/>
    <s v="L"/>
    <x v="2"/>
    <n v="36.455"/>
    <n v="36.455"/>
    <x v="3"/>
    <x v="1"/>
    <x v="1"/>
  </r>
  <r>
    <s v="BRV-64870-915"/>
    <x v="202"/>
    <s v="32070-55528-UG"/>
    <s v="L-L-2.5"/>
    <n v="5"/>
    <x v="219"/>
    <s v=""/>
    <x v="1"/>
    <s v="Lib"/>
    <s v="L"/>
    <x v="2"/>
    <n v="36.455"/>
    <n v="182.275"/>
    <x v="3"/>
    <x v="1"/>
    <x v="1"/>
  </r>
  <r>
    <s v="RGJ-12544-083"/>
    <x v="203"/>
    <s v="48873-84433-PN"/>
    <s v="L-D-2.5"/>
    <n v="3"/>
    <x v="220"/>
    <s v="charce6k@cafepress.com"/>
    <x v="1"/>
    <s v="Lib"/>
    <s v="D"/>
    <x v="2"/>
    <n v="29.785"/>
    <n v="89.35499999999999"/>
    <x v="3"/>
    <x v="2"/>
    <x v="1"/>
  </r>
  <r>
    <s v="JJX-83339-346"/>
    <x v="204"/>
    <s v="32928-18158-OW"/>
    <s v="R-L-0.2"/>
    <n v="1"/>
    <x v="221"/>
    <s v=""/>
    <x v="0"/>
    <s v="Rob"/>
    <s v="L"/>
    <x v="3"/>
    <n v="3.585"/>
    <n v="3.585"/>
    <x v="0"/>
    <x v="1"/>
    <x v="0"/>
  </r>
  <r>
    <s v="BIU-21970-705"/>
    <x v="205"/>
    <s v="89711-56688-GG"/>
    <s v="R-M-2.5"/>
    <n v="2"/>
    <x v="222"/>
    <s v="fdrysdale6m@symantec.com"/>
    <x v="0"/>
    <s v="Rob"/>
    <s v="M"/>
    <x v="2"/>
    <n v="22.885"/>
    <n v="45.77"/>
    <x v="0"/>
    <x v="0"/>
    <x v="0"/>
  </r>
  <r>
    <s v="ELJ-87741-745"/>
    <x v="206"/>
    <s v="48389-71976-JB"/>
    <s v="E-L-1"/>
    <n v="4"/>
    <x v="223"/>
    <s v="dmagowan6n@fc2.com"/>
    <x v="0"/>
    <s v="Exc"/>
    <s v="L"/>
    <x v="0"/>
    <n v="14.85"/>
    <n v="59.4"/>
    <x v="1"/>
    <x v="1"/>
    <x v="1"/>
  </r>
  <r>
    <s v="SGI-48226-857"/>
    <x v="207"/>
    <s v="84033-80762-EQ"/>
    <s v="A-M-2.5"/>
    <n v="6"/>
    <x v="224"/>
    <s v=""/>
    <x v="0"/>
    <s v="Ara"/>
    <s v="M"/>
    <x v="2"/>
    <n v="25.875"/>
    <n v="155.25"/>
    <x v="2"/>
    <x v="0"/>
    <x v="0"/>
  </r>
  <r>
    <s v="AHV-66988-037"/>
    <x v="208"/>
    <s v="12743-00952-KO"/>
    <s v="R-M-2.5"/>
    <n v="2"/>
    <x v="225"/>
    <s v=""/>
    <x v="0"/>
    <s v="Rob"/>
    <s v="M"/>
    <x v="2"/>
    <n v="22.885"/>
    <n v="45.77"/>
    <x v="0"/>
    <x v="0"/>
    <x v="1"/>
  </r>
  <r>
    <s v="ISK-42066-094"/>
    <x v="209"/>
    <s v="41505-42181-EF"/>
    <s v="E-D-1"/>
    <n v="3"/>
    <x v="226"/>
    <s v="srushbrooke6q@youku.com"/>
    <x v="0"/>
    <s v="Exc"/>
    <s v="D"/>
    <x v="0"/>
    <n v="12.15"/>
    <n v="36.45"/>
    <x v="1"/>
    <x v="2"/>
    <x v="0"/>
  </r>
  <r>
    <s v="FTC-35822-530"/>
    <x v="210"/>
    <s v="14307-87663-KB"/>
    <s v="E-D-0.5"/>
    <n v="4"/>
    <x v="227"/>
    <s v="tdrynan6r@deviantart.com"/>
    <x v="0"/>
    <s v="Exc"/>
    <s v="D"/>
    <x v="1"/>
    <n v="7.29"/>
    <n v="29.16"/>
    <x v="1"/>
    <x v="2"/>
    <x v="0"/>
  </r>
  <r>
    <s v="VSS-56247-688"/>
    <x v="211"/>
    <s v="08360-19442-GB"/>
    <s v="L-M-2.5"/>
    <n v="4"/>
    <x v="228"/>
    <s v="eyurkov6s@hud.gov"/>
    <x v="0"/>
    <s v="Lib"/>
    <s v="M"/>
    <x v="2"/>
    <n v="33.465"/>
    <n v="133.86"/>
    <x v="3"/>
    <x v="0"/>
    <x v="1"/>
  </r>
  <r>
    <s v="HVW-25584-144"/>
    <x v="212"/>
    <s v="93405-51204-UW"/>
    <s v="L-L-0.2"/>
    <n v="5"/>
    <x v="229"/>
    <s v="lmallan6t@state.gov"/>
    <x v="0"/>
    <s v="Lib"/>
    <s v="L"/>
    <x v="3"/>
    <n v="4.755"/>
    <n v="23.775"/>
    <x v="3"/>
    <x v="1"/>
    <x v="0"/>
  </r>
  <r>
    <s v="MUY-15309-209"/>
    <x v="213"/>
    <s v="97152-03355-IW"/>
    <s v="L-D-1"/>
    <n v="3"/>
    <x v="230"/>
    <s v="gbentjens6u@netlog.com"/>
    <x v="2"/>
    <s v="Lib"/>
    <s v="D"/>
    <x v="0"/>
    <n v="12.95"/>
    <n v="38.84999999999999"/>
    <x v="3"/>
    <x v="2"/>
    <x v="1"/>
  </r>
  <r>
    <s v="VAJ-44572-469"/>
    <x v="63"/>
    <s v="79216-73157-TE"/>
    <s v="R-L-0.2"/>
    <n v="6"/>
    <x v="231"/>
    <s v=""/>
    <x v="1"/>
    <s v="Rob"/>
    <s v="L"/>
    <x v="3"/>
    <n v="3.585"/>
    <n v="21.51"/>
    <x v="0"/>
    <x v="1"/>
    <x v="0"/>
  </r>
  <r>
    <s v="YJU-84377-606"/>
    <x v="214"/>
    <s v="20259-47723-AC"/>
    <s v="A-D-1"/>
    <n v="1"/>
    <x v="232"/>
    <s v="lentwistle6w@omniture.com"/>
    <x v="0"/>
    <s v="Ara"/>
    <s v="D"/>
    <x v="0"/>
    <n v="9.949999999999999"/>
    <n v="9.949999999999999"/>
    <x v="2"/>
    <x v="2"/>
    <x v="0"/>
  </r>
  <r>
    <s v="VNC-93921-469"/>
    <x v="215"/>
    <s v="04666-71569-RI"/>
    <s v="L-L-1"/>
    <n v="1"/>
    <x v="233"/>
    <s v="zkiffe74@cyberchimps.com"/>
    <x v="0"/>
    <s v="Lib"/>
    <s v="L"/>
    <x v="0"/>
    <n v="15.85"/>
    <n v="15.85"/>
    <x v="3"/>
    <x v="1"/>
    <x v="0"/>
  </r>
  <r>
    <s v="OGB-91614-810"/>
    <x v="216"/>
    <s v="08909-77713-CG"/>
    <s v="R-M-0.2"/>
    <n v="1"/>
    <x v="234"/>
    <s v="macott6y@pagesperso-orange.fr"/>
    <x v="0"/>
    <s v="Rob"/>
    <s v="M"/>
    <x v="3"/>
    <n v="2.985"/>
    <n v="2.985"/>
    <x v="0"/>
    <x v="0"/>
    <x v="0"/>
  </r>
  <r>
    <s v="BQI-61647-496"/>
    <x v="217"/>
    <s v="84340-73931-VV"/>
    <s v="E-M-1"/>
    <n v="5"/>
    <x v="235"/>
    <s v="cheaviside6z@rediff.com"/>
    <x v="0"/>
    <s v="Exc"/>
    <s v="M"/>
    <x v="0"/>
    <n v="13.75"/>
    <n v="68.75"/>
    <x v="1"/>
    <x v="0"/>
    <x v="0"/>
  </r>
  <r>
    <s v="IOM-51636-823"/>
    <x v="218"/>
    <s v="04609-95151-XH"/>
    <s v="A-D-1"/>
    <n v="3"/>
    <x v="236"/>
    <s v=""/>
    <x v="0"/>
    <s v="Ara"/>
    <s v="D"/>
    <x v="0"/>
    <n v="9.949999999999999"/>
    <n v="29.85"/>
    <x v="2"/>
    <x v="2"/>
    <x v="1"/>
  </r>
  <r>
    <s v="GGD-38107-641"/>
    <x v="219"/>
    <s v="99562-88650-YF"/>
    <s v="L-M-1"/>
    <n v="4"/>
    <x v="237"/>
    <s v="lkernan71@wsj.com"/>
    <x v="0"/>
    <s v="Lib"/>
    <s v="M"/>
    <x v="0"/>
    <n v="14.55"/>
    <n v="58.2"/>
    <x v="3"/>
    <x v="0"/>
    <x v="1"/>
  </r>
  <r>
    <s v="LTO-95975-728"/>
    <x v="220"/>
    <s v="46560-73885-PJ"/>
    <s v="R-L-0.5"/>
    <n v="4"/>
    <x v="238"/>
    <s v="rmclae72@dailymotion.com"/>
    <x v="2"/>
    <s v="Rob"/>
    <s v="L"/>
    <x v="1"/>
    <n v="7.169999999999999"/>
    <n v="28.68"/>
    <x v="0"/>
    <x v="1"/>
    <x v="1"/>
  </r>
  <r>
    <s v="IGM-84664-265"/>
    <x v="114"/>
    <s v="80179-44620-WN"/>
    <s v="R-L-0.5"/>
    <n v="3"/>
    <x v="239"/>
    <s v="cblowfelde73@ustream.tv"/>
    <x v="0"/>
    <s v="Rob"/>
    <s v="L"/>
    <x v="1"/>
    <n v="7.169999999999999"/>
    <n v="21.51"/>
    <x v="0"/>
    <x v="1"/>
    <x v="1"/>
  </r>
  <r>
    <s v="SKO-45740-621"/>
    <x v="221"/>
    <s v="04666-71569-RI"/>
    <s v="L-M-0.5"/>
    <n v="2"/>
    <x v="233"/>
    <s v="zkiffe74@cyberchimps.com"/>
    <x v="0"/>
    <s v="Lib"/>
    <s v="M"/>
    <x v="1"/>
    <n v="8.73"/>
    <n v="17.46"/>
    <x v="3"/>
    <x v="0"/>
    <x v="0"/>
  </r>
  <r>
    <s v="FOJ-02234-063"/>
    <x v="222"/>
    <s v="59081-87231-VP"/>
    <s v="E-D-2.5"/>
    <n v="1"/>
    <x v="240"/>
    <s v="docalleran75@ucla.edu"/>
    <x v="0"/>
    <s v="Exc"/>
    <s v="D"/>
    <x v="2"/>
    <n v="27.945"/>
    <n v="27.945"/>
    <x v="1"/>
    <x v="2"/>
    <x v="0"/>
  </r>
  <r>
    <s v="MSJ-11909-468"/>
    <x v="188"/>
    <s v="07878-45872-CC"/>
    <s v="E-D-2.5"/>
    <n v="5"/>
    <x v="241"/>
    <s v="ccromwell76@desdev.cn"/>
    <x v="0"/>
    <s v="Exc"/>
    <s v="D"/>
    <x v="2"/>
    <n v="27.945"/>
    <n v="139.725"/>
    <x v="1"/>
    <x v="2"/>
    <x v="1"/>
  </r>
  <r>
    <s v="DKB-78053-329"/>
    <x v="223"/>
    <s v="12444-05174-OO"/>
    <s v="R-M-0.2"/>
    <n v="2"/>
    <x v="242"/>
    <s v="ihay77@lulu.com"/>
    <x v="2"/>
    <s v="Rob"/>
    <s v="M"/>
    <x v="3"/>
    <n v="2.985"/>
    <n v="5.97"/>
    <x v="0"/>
    <x v="0"/>
    <x v="1"/>
  </r>
  <r>
    <s v="DFZ-45083-941"/>
    <x v="224"/>
    <s v="34665-62561-AU"/>
    <s v="R-L-2.5"/>
    <n v="1"/>
    <x v="243"/>
    <s v="ttaffarello78@sciencedaily.com"/>
    <x v="0"/>
    <s v="Rob"/>
    <s v="L"/>
    <x v="2"/>
    <n v="27.485"/>
    <n v="27.485"/>
    <x v="0"/>
    <x v="1"/>
    <x v="0"/>
  </r>
  <r>
    <s v="OTA-40969-710"/>
    <x v="83"/>
    <s v="77877-11993-QH"/>
    <s v="R-L-1"/>
    <n v="5"/>
    <x v="244"/>
    <s v="mcanty79@jigsy.com"/>
    <x v="0"/>
    <s v="Rob"/>
    <s v="L"/>
    <x v="0"/>
    <n v="11.95"/>
    <n v="59.75"/>
    <x v="0"/>
    <x v="1"/>
    <x v="0"/>
  </r>
  <r>
    <s v="GRH-45571-667"/>
    <x v="104"/>
    <s v="32291-18308-YZ"/>
    <s v="E-M-1"/>
    <n v="3"/>
    <x v="245"/>
    <s v="jkopke7a@auda.org.au"/>
    <x v="0"/>
    <s v="Exc"/>
    <s v="M"/>
    <x v="0"/>
    <n v="13.75"/>
    <n v="41.25"/>
    <x v="1"/>
    <x v="0"/>
    <x v="1"/>
  </r>
  <r>
    <s v="NXV-05302-067"/>
    <x v="225"/>
    <s v="25754-33191-ZI"/>
    <s v="L-M-2.5"/>
    <n v="4"/>
    <x v="246"/>
    <s v=""/>
    <x v="0"/>
    <s v="Lib"/>
    <s v="M"/>
    <x v="2"/>
    <n v="33.465"/>
    <n v="133.86"/>
    <x v="3"/>
    <x v="0"/>
    <x v="1"/>
  </r>
  <r>
    <s v="VZH-86274-142"/>
    <x v="226"/>
    <s v="53120-45532-KL"/>
    <s v="R-L-1"/>
    <n v="5"/>
    <x v="247"/>
    <s v=""/>
    <x v="1"/>
    <s v="Rob"/>
    <s v="L"/>
    <x v="0"/>
    <n v="11.95"/>
    <n v="59.75"/>
    <x v="0"/>
    <x v="1"/>
    <x v="0"/>
  </r>
  <r>
    <s v="KIX-93248-135"/>
    <x v="227"/>
    <s v="36605-83052-WB"/>
    <s v="A-D-0.5"/>
    <n v="1"/>
    <x v="248"/>
    <s v="vhellmore7d@bbc.co.uk"/>
    <x v="0"/>
    <s v="Ara"/>
    <s v="D"/>
    <x v="1"/>
    <n v="5.97"/>
    <n v="5.97"/>
    <x v="2"/>
    <x v="2"/>
    <x v="0"/>
  </r>
  <r>
    <s v="AXR-10962-010"/>
    <x v="180"/>
    <s v="53683-35977-KI"/>
    <s v="E-D-1"/>
    <n v="2"/>
    <x v="249"/>
    <s v="mseawright7e@nbcnews.com"/>
    <x v="2"/>
    <s v="Exc"/>
    <s v="D"/>
    <x v="0"/>
    <n v="12.15"/>
    <n v="24.3"/>
    <x v="1"/>
    <x v="2"/>
    <x v="1"/>
  </r>
  <r>
    <s v="IHS-71573-008"/>
    <x v="228"/>
    <s v="07972-83134-NM"/>
    <s v="E-D-0.2"/>
    <n v="6"/>
    <x v="250"/>
    <s v="snortheast7f@mashable.com"/>
    <x v="0"/>
    <s v="Exc"/>
    <s v="D"/>
    <x v="3"/>
    <n v="3.645"/>
    <n v="21.87"/>
    <x v="1"/>
    <x v="2"/>
    <x v="0"/>
  </r>
  <r>
    <s v="QTR-19001-114"/>
    <x v="229"/>
    <s v="01035-70465-UO"/>
    <s v="A-D-1"/>
    <n v="2"/>
    <x v="195"/>
    <s v="aattwater5u@wikia.com"/>
    <x v="0"/>
    <s v="Ara"/>
    <s v="D"/>
    <x v="0"/>
    <n v="9.949999999999999"/>
    <n v="19.9"/>
    <x v="2"/>
    <x v="2"/>
    <x v="0"/>
  </r>
  <r>
    <s v="WBK-62297-910"/>
    <x v="230"/>
    <s v="25514-23938-IQ"/>
    <s v="A-D-0.2"/>
    <n v="2"/>
    <x v="251"/>
    <s v="mfearon7h@reverbnation.com"/>
    <x v="0"/>
    <s v="Ara"/>
    <s v="D"/>
    <x v="3"/>
    <n v="2.985"/>
    <n v="5.97"/>
    <x v="2"/>
    <x v="2"/>
    <x v="1"/>
  </r>
  <r>
    <s v="OGY-19377-175"/>
    <x v="231"/>
    <s v="49084-44492-OJ"/>
    <s v="E-D-0.5"/>
    <n v="1"/>
    <x v="252"/>
    <s v=""/>
    <x v="1"/>
    <s v="Exc"/>
    <s v="D"/>
    <x v="1"/>
    <n v="7.29"/>
    <n v="7.29"/>
    <x v="1"/>
    <x v="2"/>
    <x v="0"/>
  </r>
  <r>
    <s v="ESR-66651-814"/>
    <x v="80"/>
    <s v="76624-72205-CK"/>
    <s v="A-D-0.2"/>
    <n v="4"/>
    <x v="253"/>
    <s v="jsisneros7j@a8.net"/>
    <x v="0"/>
    <s v="Ara"/>
    <s v="D"/>
    <x v="3"/>
    <n v="2.985"/>
    <n v="11.94"/>
    <x v="2"/>
    <x v="2"/>
    <x v="0"/>
  </r>
  <r>
    <s v="CPX-46916-770"/>
    <x v="232"/>
    <s v="12729-50170-JE"/>
    <s v="R-L-1"/>
    <n v="6"/>
    <x v="254"/>
    <s v="zcarlson7k@bigcartel.com"/>
    <x v="1"/>
    <s v="Rob"/>
    <s v="L"/>
    <x v="0"/>
    <n v="11.95"/>
    <n v="71.69999999999999"/>
    <x v="0"/>
    <x v="1"/>
    <x v="0"/>
  </r>
  <r>
    <s v="MDC-03318-645"/>
    <x v="233"/>
    <s v="43974-44760-QI"/>
    <s v="A-L-0.2"/>
    <n v="2"/>
    <x v="255"/>
    <s v="wmaddox7l@timesonline.co.uk"/>
    <x v="0"/>
    <s v="Ara"/>
    <s v="L"/>
    <x v="3"/>
    <n v="3.885"/>
    <n v="7.77"/>
    <x v="2"/>
    <x v="1"/>
    <x v="1"/>
  </r>
  <r>
    <s v="SFF-86059-407"/>
    <x v="234"/>
    <s v="30585-48726-BK"/>
    <s v="A-M-2.5"/>
    <n v="1"/>
    <x v="256"/>
    <s v="dhedlestone7m@craigslist.org"/>
    <x v="0"/>
    <s v="Ara"/>
    <s v="M"/>
    <x v="2"/>
    <n v="25.875"/>
    <n v="25.875"/>
    <x v="2"/>
    <x v="0"/>
    <x v="1"/>
  </r>
  <r>
    <s v="SCL-94540-788"/>
    <x v="235"/>
    <s v="16123-07017-TY"/>
    <s v="E-L-2.5"/>
    <n v="6"/>
    <x v="257"/>
    <s v="tcrowthe7n@europa.eu"/>
    <x v="0"/>
    <s v="Exc"/>
    <s v="L"/>
    <x v="2"/>
    <n v="34.15499999999999"/>
    <n v="204.9299999999999"/>
    <x v="1"/>
    <x v="1"/>
    <x v="1"/>
  </r>
  <r>
    <s v="HVU-21634-076"/>
    <x v="236"/>
    <s v="27723-45097-MH"/>
    <s v="R-L-2.5"/>
    <n v="4"/>
    <x v="258"/>
    <s v="dbury7o@tinyurl.com"/>
    <x v="1"/>
    <s v="Rob"/>
    <s v="L"/>
    <x v="2"/>
    <n v="27.485"/>
    <n v="109.94"/>
    <x v="0"/>
    <x v="1"/>
    <x v="0"/>
  </r>
  <r>
    <s v="XUS-73326-418"/>
    <x v="237"/>
    <s v="37078-56703-AF"/>
    <s v="E-L-1"/>
    <n v="6"/>
    <x v="259"/>
    <s v="gbroadbear7p@omniture.com"/>
    <x v="0"/>
    <s v="Exc"/>
    <s v="L"/>
    <x v="0"/>
    <n v="14.85"/>
    <n v="89.09999999999999"/>
    <x v="1"/>
    <x v="1"/>
    <x v="1"/>
  </r>
  <r>
    <s v="XWD-18933-006"/>
    <x v="238"/>
    <s v="79420-11075-MY"/>
    <s v="A-L-0.2"/>
    <n v="2"/>
    <x v="260"/>
    <s v="epalfrey7q@devhub.com"/>
    <x v="0"/>
    <s v="Ara"/>
    <s v="L"/>
    <x v="3"/>
    <n v="3.885"/>
    <n v="7.77"/>
    <x v="2"/>
    <x v="1"/>
    <x v="0"/>
  </r>
  <r>
    <s v="HPD-65272-772"/>
    <x v="52"/>
    <s v="57504-13456-UO"/>
    <s v="L-M-2.5"/>
    <n v="1"/>
    <x v="261"/>
    <s v="pmetrick7r@rakuten.co.jp"/>
    <x v="0"/>
    <s v="Lib"/>
    <s v="M"/>
    <x v="2"/>
    <n v="33.465"/>
    <n v="33.465"/>
    <x v="3"/>
    <x v="0"/>
    <x v="0"/>
  </r>
  <r>
    <s v="JEG-93140-224"/>
    <x v="146"/>
    <s v="53751-57560-CN"/>
    <s v="E-M-0.5"/>
    <n v="5"/>
    <x v="262"/>
    <s v=""/>
    <x v="0"/>
    <s v="Exc"/>
    <s v="M"/>
    <x v="1"/>
    <n v="8.25"/>
    <n v="41.25"/>
    <x v="1"/>
    <x v="0"/>
    <x v="0"/>
  </r>
  <r>
    <s v="NNH-62058-950"/>
    <x v="239"/>
    <s v="96112-42558-EA"/>
    <s v="E-L-1"/>
    <n v="4"/>
    <x v="263"/>
    <s v="kkarby7t@sbwire.com"/>
    <x v="0"/>
    <s v="Exc"/>
    <s v="L"/>
    <x v="0"/>
    <n v="14.85"/>
    <n v="59.4"/>
    <x v="1"/>
    <x v="1"/>
    <x v="0"/>
  </r>
  <r>
    <s v="LTD-71429-845"/>
    <x v="240"/>
    <s v="03157-23165-UB"/>
    <s v="A-L-0.5"/>
    <n v="1"/>
    <x v="264"/>
    <s v="fcrumpe7u@ftc.gov"/>
    <x v="2"/>
    <s v="Ara"/>
    <s v="L"/>
    <x v="1"/>
    <n v="7.77"/>
    <n v="7.77"/>
    <x v="2"/>
    <x v="1"/>
    <x v="1"/>
  </r>
  <r>
    <s v="MPV-26985-215"/>
    <x v="241"/>
    <s v="51466-52850-AG"/>
    <s v="R-D-0.5"/>
    <n v="1"/>
    <x v="265"/>
    <s v="achatto7v@sakura.ne.jp"/>
    <x v="2"/>
    <s v="Rob"/>
    <s v="D"/>
    <x v="1"/>
    <n v="5.369999999999999"/>
    <n v="5.369999999999999"/>
    <x v="0"/>
    <x v="2"/>
    <x v="0"/>
  </r>
  <r>
    <s v="IYO-10245-081"/>
    <x v="242"/>
    <s v="57145-31023-FK"/>
    <s v="E-M-2.5"/>
    <n v="3"/>
    <x v="266"/>
    <s v=""/>
    <x v="0"/>
    <s v="Exc"/>
    <s v="M"/>
    <x v="2"/>
    <n v="31.625"/>
    <n v="94.87499999999999"/>
    <x v="1"/>
    <x v="0"/>
    <x v="1"/>
  </r>
  <r>
    <s v="BYZ-39669-954"/>
    <x v="243"/>
    <s v="66408-53777-VE"/>
    <s v="L-L-2.5"/>
    <n v="1"/>
    <x v="267"/>
    <s v=""/>
    <x v="0"/>
    <s v="Lib"/>
    <s v="L"/>
    <x v="2"/>
    <n v="36.455"/>
    <n v="36.455"/>
    <x v="3"/>
    <x v="1"/>
    <x v="1"/>
  </r>
  <r>
    <s v="EFB-72860-209"/>
    <x v="244"/>
    <s v="53035-99701-WG"/>
    <s v="A-M-0.2"/>
    <n v="4"/>
    <x v="268"/>
    <s v="bmergue7y@umn.edu"/>
    <x v="0"/>
    <s v="Ara"/>
    <s v="M"/>
    <x v="3"/>
    <n v="3.375"/>
    <n v="13.5"/>
    <x v="2"/>
    <x v="0"/>
    <x v="0"/>
  </r>
  <r>
    <s v="GMM-72397-378"/>
    <x v="245"/>
    <s v="45899-92796-EI"/>
    <s v="R-L-0.2"/>
    <n v="4"/>
    <x v="269"/>
    <s v="kpatise7z@jigsy.com"/>
    <x v="0"/>
    <s v="Rob"/>
    <s v="L"/>
    <x v="3"/>
    <n v="3.585"/>
    <n v="14.34"/>
    <x v="0"/>
    <x v="1"/>
    <x v="1"/>
  </r>
  <r>
    <s v="LYP-52345-883"/>
    <x v="246"/>
    <s v="17649-28133-PY"/>
    <s v="E-M-0.5"/>
    <n v="1"/>
    <x v="270"/>
    <s v=""/>
    <x v="1"/>
    <s v="Exc"/>
    <s v="M"/>
    <x v="1"/>
    <n v="8.25"/>
    <n v="8.25"/>
    <x v="1"/>
    <x v="0"/>
    <x v="0"/>
  </r>
  <r>
    <s v="DFK-35846-692"/>
    <x v="247"/>
    <s v="49612-33852-CN"/>
    <s v="R-D-0.2"/>
    <n v="5"/>
    <x v="271"/>
    <s v=""/>
    <x v="0"/>
    <s v="Rob"/>
    <s v="D"/>
    <x v="3"/>
    <n v="2.685"/>
    <n v="13.425"/>
    <x v="0"/>
    <x v="2"/>
    <x v="0"/>
  </r>
  <r>
    <s v="XAH-93337-609"/>
    <x v="248"/>
    <s v="66976-43829-YG"/>
    <s v="A-D-1"/>
    <n v="5"/>
    <x v="272"/>
    <s v="dduke82@vkontakte.ru"/>
    <x v="0"/>
    <s v="Ara"/>
    <s v="D"/>
    <x v="0"/>
    <n v="9.949999999999999"/>
    <n v="49.75"/>
    <x v="2"/>
    <x v="2"/>
    <x v="1"/>
  </r>
  <r>
    <s v="QKA-72582-644"/>
    <x v="249"/>
    <s v="64852-04619-XZ"/>
    <s v="E-M-0.5"/>
    <n v="2"/>
    <x v="273"/>
    <s v=""/>
    <x v="1"/>
    <s v="Exc"/>
    <s v="M"/>
    <x v="1"/>
    <n v="8.25"/>
    <n v="16.5"/>
    <x v="1"/>
    <x v="0"/>
    <x v="1"/>
  </r>
  <r>
    <s v="ZDK-84567-102"/>
    <x v="250"/>
    <s v="58690-31815-VY"/>
    <s v="A-D-0.5"/>
    <n v="3"/>
    <x v="274"/>
    <s v="ihussey84@mapy.cz"/>
    <x v="0"/>
    <s v="Ara"/>
    <s v="D"/>
    <x v="1"/>
    <n v="5.97"/>
    <n v="17.91"/>
    <x v="2"/>
    <x v="2"/>
    <x v="1"/>
  </r>
  <r>
    <s v="WAV-38301-984"/>
    <x v="251"/>
    <s v="62863-81239-DT"/>
    <s v="A-D-0.5"/>
    <n v="5"/>
    <x v="275"/>
    <s v="cpinkerton85@upenn.edu"/>
    <x v="0"/>
    <s v="Ara"/>
    <s v="D"/>
    <x v="1"/>
    <n v="5.97"/>
    <n v="29.85"/>
    <x v="2"/>
    <x v="2"/>
    <x v="1"/>
  </r>
  <r>
    <s v="KZR-33023-209"/>
    <x v="177"/>
    <s v="21177-40725-CF"/>
    <s v="E-L-1"/>
    <n v="3"/>
    <x v="276"/>
    <s v=""/>
    <x v="0"/>
    <s v="Exc"/>
    <s v="L"/>
    <x v="0"/>
    <n v="14.85"/>
    <n v="44.55"/>
    <x v="1"/>
    <x v="1"/>
    <x v="1"/>
  </r>
  <r>
    <s v="ULM-49433-003"/>
    <x v="252"/>
    <s v="99421-80253-UI"/>
    <s v="E-M-1"/>
    <n v="2"/>
    <x v="277"/>
    <s v=""/>
    <x v="0"/>
    <s v="Exc"/>
    <s v="M"/>
    <x v="0"/>
    <n v="13.75"/>
    <n v="27.5"/>
    <x v="1"/>
    <x v="0"/>
    <x v="1"/>
  </r>
  <r>
    <s v="SIB-83254-136"/>
    <x v="253"/>
    <s v="45315-50206-DK"/>
    <s v="R-M-0.5"/>
    <n v="6"/>
    <x v="278"/>
    <s v="dvizor88@furl.net"/>
    <x v="0"/>
    <s v="Rob"/>
    <s v="M"/>
    <x v="1"/>
    <n v="5.97"/>
    <n v="35.82"/>
    <x v="0"/>
    <x v="0"/>
    <x v="0"/>
  </r>
  <r>
    <s v="NOK-50349-551"/>
    <x v="254"/>
    <s v="09595-95726-OV"/>
    <s v="R-D-0.5"/>
    <n v="3"/>
    <x v="279"/>
    <s v="esedgebeer89@oaic.gov.au"/>
    <x v="0"/>
    <s v="Rob"/>
    <s v="D"/>
    <x v="1"/>
    <n v="5.369999999999999"/>
    <n v="16.11"/>
    <x v="0"/>
    <x v="2"/>
    <x v="0"/>
  </r>
  <r>
    <s v="YIS-96268-844"/>
    <x v="227"/>
    <s v="60221-67036-TD"/>
    <s v="E-L-0.2"/>
    <n v="6"/>
    <x v="280"/>
    <s v="klestrange8a@lulu.com"/>
    <x v="0"/>
    <s v="Exc"/>
    <s v="L"/>
    <x v="3"/>
    <n v="4.455"/>
    <n v="26.73"/>
    <x v="1"/>
    <x v="1"/>
    <x v="0"/>
  </r>
  <r>
    <s v="CXI-04933-855"/>
    <x v="110"/>
    <s v="62923-29397-KX"/>
    <s v="E-L-2.5"/>
    <n v="6"/>
    <x v="281"/>
    <s v="ltanti8b@techcrunch.com"/>
    <x v="0"/>
    <s v="Exc"/>
    <s v="L"/>
    <x v="2"/>
    <n v="34.15499999999999"/>
    <n v="204.9299999999999"/>
    <x v="1"/>
    <x v="1"/>
    <x v="0"/>
  </r>
  <r>
    <s v="IZU-90429-382"/>
    <x v="182"/>
    <s v="33011-52383-BA"/>
    <s v="A-L-1"/>
    <n v="3"/>
    <x v="282"/>
    <s v="ade8c@1und1.de"/>
    <x v="0"/>
    <s v="Ara"/>
    <s v="L"/>
    <x v="0"/>
    <n v="12.95"/>
    <n v="38.84999999999999"/>
    <x v="2"/>
    <x v="1"/>
    <x v="0"/>
  </r>
  <r>
    <s v="WIT-40912-783"/>
    <x v="255"/>
    <s v="86768-91598-FA"/>
    <s v="L-D-0.2"/>
    <n v="4"/>
    <x v="283"/>
    <s v="tjedrachowicz8d@acquirethisname.com"/>
    <x v="0"/>
    <s v="Lib"/>
    <s v="D"/>
    <x v="3"/>
    <n v="3.885"/>
    <n v="15.54"/>
    <x v="3"/>
    <x v="2"/>
    <x v="0"/>
  </r>
  <r>
    <s v="PSD-57291-590"/>
    <x v="256"/>
    <s v="37191-12203-MX"/>
    <s v="A-M-0.5"/>
    <n v="1"/>
    <x v="284"/>
    <s v="pstonner8e@moonfruit.com"/>
    <x v="0"/>
    <s v="Ara"/>
    <s v="M"/>
    <x v="1"/>
    <n v="6.75"/>
    <n v="6.75"/>
    <x v="2"/>
    <x v="0"/>
    <x v="1"/>
  </r>
  <r>
    <s v="GOI-41472-677"/>
    <x v="3"/>
    <s v="16545-76328-JY"/>
    <s v="E-D-2.5"/>
    <n v="4"/>
    <x v="285"/>
    <s v="dtingly8f@goo.ne.jp"/>
    <x v="0"/>
    <s v="Exc"/>
    <s v="D"/>
    <x v="2"/>
    <n v="27.945"/>
    <n v="111.78"/>
    <x v="1"/>
    <x v="2"/>
    <x v="0"/>
  </r>
  <r>
    <s v="KTX-17944-494"/>
    <x v="257"/>
    <s v="74330-29286-RO"/>
    <s v="A-L-0.2"/>
    <n v="1"/>
    <x v="286"/>
    <s v="crushe8n@about.me"/>
    <x v="0"/>
    <s v="Ara"/>
    <s v="L"/>
    <x v="3"/>
    <n v="3.885"/>
    <n v="3.885"/>
    <x v="2"/>
    <x v="1"/>
    <x v="0"/>
  </r>
  <r>
    <s v="RDM-99811-230"/>
    <x v="258"/>
    <s v="22349-47389-GY"/>
    <s v="L-M-0.2"/>
    <n v="5"/>
    <x v="287"/>
    <s v="bchecci8h@usa.gov"/>
    <x v="2"/>
    <s v="Lib"/>
    <s v="M"/>
    <x v="3"/>
    <n v="4.365"/>
    <n v="21.825"/>
    <x v="3"/>
    <x v="0"/>
    <x v="1"/>
  </r>
  <r>
    <s v="JTU-55897-581"/>
    <x v="259"/>
    <s v="70290-38099-GB"/>
    <s v="R-M-0.2"/>
    <n v="5"/>
    <x v="288"/>
    <s v="jbagot8i@mac.com"/>
    <x v="0"/>
    <s v="Rob"/>
    <s v="M"/>
    <x v="3"/>
    <n v="2.985"/>
    <n v="14.925"/>
    <x v="0"/>
    <x v="0"/>
    <x v="1"/>
  </r>
  <r>
    <s v="CRK-07584-240"/>
    <x v="260"/>
    <s v="18741-72071-PP"/>
    <s v="A-M-1"/>
    <n v="3"/>
    <x v="289"/>
    <s v="ebeeble8j@soundcloud.com"/>
    <x v="0"/>
    <s v="Ara"/>
    <s v="M"/>
    <x v="0"/>
    <n v="11.25"/>
    <n v="33.75"/>
    <x v="2"/>
    <x v="0"/>
    <x v="0"/>
  </r>
  <r>
    <s v="MKE-75518-399"/>
    <x v="261"/>
    <s v="62588-82624-II"/>
    <s v="A-M-1"/>
    <n v="3"/>
    <x v="290"/>
    <s v="cfluin8k@flickr.com"/>
    <x v="2"/>
    <s v="Ara"/>
    <s v="M"/>
    <x v="0"/>
    <n v="11.25"/>
    <n v="33.75"/>
    <x v="2"/>
    <x v="0"/>
    <x v="1"/>
  </r>
  <r>
    <s v="AEL-51169-725"/>
    <x v="262"/>
    <s v="37430-29579-HD"/>
    <s v="L-M-0.2"/>
    <n v="6"/>
    <x v="291"/>
    <s v="ebletsor8l@vinaora.com"/>
    <x v="0"/>
    <s v="Lib"/>
    <s v="M"/>
    <x v="3"/>
    <n v="4.365"/>
    <n v="26.19"/>
    <x v="3"/>
    <x v="0"/>
    <x v="0"/>
  </r>
  <r>
    <s v="ZGM-83108-823"/>
    <x v="263"/>
    <s v="84132-22322-QT"/>
    <s v="E-L-1"/>
    <n v="1"/>
    <x v="292"/>
    <s v="pbrydell8m@bloglovin.com"/>
    <x v="1"/>
    <s v="Exc"/>
    <s v="L"/>
    <x v="0"/>
    <n v="14.85"/>
    <n v="14.85"/>
    <x v="1"/>
    <x v="1"/>
    <x v="1"/>
  </r>
  <r>
    <s v="JBP-78754-392"/>
    <x v="212"/>
    <s v="74330-29286-RO"/>
    <s v="E-M-2.5"/>
    <n v="6"/>
    <x v="286"/>
    <s v="crushe8n@about.me"/>
    <x v="0"/>
    <s v="Exc"/>
    <s v="M"/>
    <x v="2"/>
    <n v="31.625"/>
    <n v="189.75"/>
    <x v="1"/>
    <x v="0"/>
    <x v="0"/>
  </r>
  <r>
    <s v="RNH-54912-747"/>
    <x v="187"/>
    <s v="37445-17791-NQ"/>
    <s v="R-M-0.5"/>
    <n v="1"/>
    <x v="293"/>
    <s v="nleethem8o@mac.com"/>
    <x v="0"/>
    <s v="Rob"/>
    <s v="M"/>
    <x v="1"/>
    <n v="5.97"/>
    <n v="5.97"/>
    <x v="0"/>
    <x v="0"/>
    <x v="0"/>
  </r>
  <r>
    <s v="JDS-33440-914"/>
    <x v="248"/>
    <s v="58511-10548-ZU"/>
    <s v="R-M-1"/>
    <n v="3"/>
    <x v="294"/>
    <s v="anesfield8p@people.com.cn"/>
    <x v="2"/>
    <s v="Rob"/>
    <s v="M"/>
    <x v="0"/>
    <n v="9.949999999999999"/>
    <n v="29.85"/>
    <x v="0"/>
    <x v="0"/>
    <x v="0"/>
  </r>
  <r>
    <s v="SYX-48878-182"/>
    <x v="264"/>
    <s v="47725-34771-FJ"/>
    <s v="R-D-1"/>
    <n v="5"/>
    <x v="295"/>
    <s v=""/>
    <x v="0"/>
    <s v="Rob"/>
    <s v="D"/>
    <x v="0"/>
    <n v="8.949999999999999"/>
    <n v="44.75"/>
    <x v="0"/>
    <x v="2"/>
    <x v="1"/>
  </r>
  <r>
    <s v="ZGD-94763-868"/>
    <x v="265"/>
    <s v="53086-67334-KT"/>
    <s v="E-L-2.5"/>
    <n v="1"/>
    <x v="296"/>
    <s v="mbrockway8r@ibm.com"/>
    <x v="0"/>
    <s v="Exc"/>
    <s v="L"/>
    <x v="2"/>
    <n v="34.15499999999999"/>
    <n v="34.15499999999999"/>
    <x v="1"/>
    <x v="1"/>
    <x v="0"/>
  </r>
  <r>
    <s v="CZY-70361-485"/>
    <x v="266"/>
    <s v="83308-82257-UN"/>
    <s v="E-L-2.5"/>
    <n v="6"/>
    <x v="297"/>
    <s v="nlush8s@dedecms.com"/>
    <x v="1"/>
    <s v="Exc"/>
    <s v="L"/>
    <x v="2"/>
    <n v="34.15499999999999"/>
    <n v="204.9299999999999"/>
    <x v="1"/>
    <x v="1"/>
    <x v="1"/>
  </r>
  <r>
    <s v="RJR-12175-899"/>
    <x v="267"/>
    <s v="37274-08534-FM"/>
    <s v="E-D-0.5"/>
    <n v="3"/>
    <x v="298"/>
    <s v="smcmillian8t@csmonitor.com"/>
    <x v="0"/>
    <s v="Exc"/>
    <s v="D"/>
    <x v="1"/>
    <n v="7.29"/>
    <n v="21.87"/>
    <x v="1"/>
    <x v="2"/>
    <x v="1"/>
  </r>
  <r>
    <s v="ELB-07929-407"/>
    <x v="204"/>
    <s v="54004-04664-AA"/>
    <s v="A-M-2.5"/>
    <n v="2"/>
    <x v="299"/>
    <s v="tbennison8u@google.cn"/>
    <x v="0"/>
    <s v="Ara"/>
    <s v="M"/>
    <x v="2"/>
    <n v="25.875"/>
    <n v="51.74999999999999"/>
    <x v="2"/>
    <x v="0"/>
    <x v="0"/>
  </r>
  <r>
    <s v="UJQ-54441-340"/>
    <x v="268"/>
    <s v="26822-19510-SD"/>
    <s v="E-M-0.2"/>
    <n v="2"/>
    <x v="300"/>
    <s v="gtweed8v@yolasite.com"/>
    <x v="0"/>
    <s v="Exc"/>
    <s v="M"/>
    <x v="3"/>
    <n v="4.125"/>
    <n v="8.25"/>
    <x v="1"/>
    <x v="0"/>
    <x v="0"/>
  </r>
  <r>
    <s v="UJQ-54441-340"/>
    <x v="268"/>
    <s v="26822-19510-SD"/>
    <s v="A-L-0.2"/>
    <n v="5"/>
    <x v="300"/>
    <s v="gtweed8v@yolasite.com"/>
    <x v="0"/>
    <s v="Ara"/>
    <s v="L"/>
    <x v="3"/>
    <n v="3.885"/>
    <n v="19.425"/>
    <x v="2"/>
    <x v="1"/>
    <x v="0"/>
  </r>
  <r>
    <s v="OWY-43108-475"/>
    <x v="269"/>
    <s v="06432-73165-ML"/>
    <s v="A-M-0.2"/>
    <n v="6"/>
    <x v="301"/>
    <s v="ggoggin8x@wix.com"/>
    <x v="1"/>
    <s v="Ara"/>
    <s v="M"/>
    <x v="3"/>
    <n v="3.375"/>
    <n v="20.25"/>
    <x v="2"/>
    <x v="0"/>
    <x v="0"/>
  </r>
  <r>
    <s v="GNO-91911-159"/>
    <x v="145"/>
    <s v="96503-31833-CW"/>
    <s v="L-D-0.5"/>
    <n v="3"/>
    <x v="302"/>
    <s v="sjeyness8y@biglobe.ne.jp"/>
    <x v="1"/>
    <s v="Lib"/>
    <s v="D"/>
    <x v="1"/>
    <n v="7.77"/>
    <n v="23.31"/>
    <x v="3"/>
    <x v="2"/>
    <x v="1"/>
  </r>
  <r>
    <s v="CNY-06284-066"/>
    <x v="270"/>
    <s v="63985-64148-MG"/>
    <s v="E-D-0.2"/>
    <n v="5"/>
    <x v="303"/>
    <s v="dbonhome8z@shinystat.com"/>
    <x v="0"/>
    <s v="Exc"/>
    <s v="D"/>
    <x v="3"/>
    <n v="3.645"/>
    <n v="18.225"/>
    <x v="1"/>
    <x v="2"/>
    <x v="0"/>
  </r>
  <r>
    <s v="OQS-46321-904"/>
    <x v="271"/>
    <s v="19597-91185-CM"/>
    <s v="E-M-1"/>
    <n v="1"/>
    <x v="304"/>
    <s v=""/>
    <x v="0"/>
    <s v="Exc"/>
    <s v="M"/>
    <x v="0"/>
    <n v="13.75"/>
    <n v="13.75"/>
    <x v="1"/>
    <x v="0"/>
    <x v="1"/>
  </r>
  <r>
    <s v="IBW-87442-480"/>
    <x v="272"/>
    <s v="79814-23626-JR"/>
    <s v="A-L-2.5"/>
    <n v="1"/>
    <x v="305"/>
    <s v="tle91@epa.gov"/>
    <x v="0"/>
    <s v="Ara"/>
    <s v="L"/>
    <x v="2"/>
    <n v="29.785"/>
    <n v="29.785"/>
    <x v="2"/>
    <x v="1"/>
    <x v="0"/>
  </r>
  <r>
    <s v="DGZ-82537-477"/>
    <x v="252"/>
    <s v="43439-94003-DW"/>
    <s v="R-D-1"/>
    <n v="5"/>
    <x v="306"/>
    <s v=""/>
    <x v="0"/>
    <s v="Rob"/>
    <s v="D"/>
    <x v="0"/>
    <n v="8.949999999999999"/>
    <n v="44.75"/>
    <x v="0"/>
    <x v="2"/>
    <x v="1"/>
  </r>
  <r>
    <s v="LPS-39089-432"/>
    <x v="273"/>
    <s v="97655-45555-LI"/>
    <s v="R-D-1"/>
    <n v="5"/>
    <x v="307"/>
    <s v="balldridge93@yandex.ru"/>
    <x v="0"/>
    <s v="Rob"/>
    <s v="D"/>
    <x v="0"/>
    <n v="8.949999999999999"/>
    <n v="44.75"/>
    <x v="0"/>
    <x v="2"/>
    <x v="0"/>
  </r>
  <r>
    <s v="MQU-86100-929"/>
    <x v="274"/>
    <s v="64418-01720-VW"/>
    <s v="L-L-0.5"/>
    <n v="4"/>
    <x v="308"/>
    <s v=""/>
    <x v="0"/>
    <s v="Lib"/>
    <s v="L"/>
    <x v="1"/>
    <n v="9.51"/>
    <n v="38.04"/>
    <x v="3"/>
    <x v="1"/>
    <x v="0"/>
  </r>
  <r>
    <s v="XUR-14132-391"/>
    <x v="275"/>
    <s v="96836-09258-RI"/>
    <s v="R-D-0.5"/>
    <n v="4"/>
    <x v="309"/>
    <s v="lgoodger95@guardian.co.uk"/>
    <x v="0"/>
    <s v="Rob"/>
    <s v="D"/>
    <x v="1"/>
    <n v="5.369999999999999"/>
    <n v="21.48"/>
    <x v="0"/>
    <x v="2"/>
    <x v="0"/>
  </r>
  <r>
    <s v="OVI-27064-381"/>
    <x v="276"/>
    <s v="37274-08534-FM"/>
    <s v="R-D-0.5"/>
    <n v="3"/>
    <x v="298"/>
    <s v="smcmillian8t@csmonitor.com"/>
    <x v="0"/>
    <s v="Rob"/>
    <s v="D"/>
    <x v="1"/>
    <n v="5.369999999999999"/>
    <n v="16.11"/>
    <x v="0"/>
    <x v="2"/>
    <x v="1"/>
  </r>
  <r>
    <s v="SHP-17012-870"/>
    <x v="277"/>
    <s v="69529-07533-CV"/>
    <s v="R-M-2.5"/>
    <n v="1"/>
    <x v="310"/>
    <s v="cdrewett97@wikipedia.org"/>
    <x v="0"/>
    <s v="Rob"/>
    <s v="M"/>
    <x v="2"/>
    <n v="22.885"/>
    <n v="22.885"/>
    <x v="0"/>
    <x v="0"/>
    <x v="0"/>
  </r>
  <r>
    <s v="FDY-03414-903"/>
    <x v="278"/>
    <s v="94840-49457-UD"/>
    <s v="A-D-0.5"/>
    <n v="3"/>
    <x v="311"/>
    <s v="qparsons98@blogtalkradio.com"/>
    <x v="0"/>
    <s v="Ara"/>
    <s v="D"/>
    <x v="1"/>
    <n v="5.97"/>
    <n v="17.91"/>
    <x v="2"/>
    <x v="2"/>
    <x v="0"/>
  </r>
  <r>
    <s v="WXT-85291-143"/>
    <x v="279"/>
    <s v="81414-81273-DK"/>
    <s v="R-M-0.5"/>
    <n v="4"/>
    <x v="312"/>
    <s v="vceely99@auda.org.au"/>
    <x v="0"/>
    <s v="Rob"/>
    <s v="M"/>
    <x v="1"/>
    <n v="5.97"/>
    <n v="23.88"/>
    <x v="0"/>
    <x v="0"/>
    <x v="0"/>
  </r>
  <r>
    <s v="QNP-18893-547"/>
    <x v="280"/>
    <s v="76930-61689-CH"/>
    <s v="R-L-1"/>
    <n v="5"/>
    <x v="313"/>
    <s v=""/>
    <x v="0"/>
    <s v="Rob"/>
    <s v="L"/>
    <x v="0"/>
    <n v="11.95"/>
    <n v="59.75"/>
    <x v="0"/>
    <x v="1"/>
    <x v="1"/>
  </r>
  <r>
    <s v="DOH-92927-530"/>
    <x v="281"/>
    <s v="12839-56537-TQ"/>
    <s v="L-L-0.2"/>
    <n v="6"/>
    <x v="314"/>
    <s v="cvasiliev9b@discuz.net"/>
    <x v="0"/>
    <s v="Lib"/>
    <s v="L"/>
    <x v="3"/>
    <n v="4.755"/>
    <n v="28.53"/>
    <x v="3"/>
    <x v="1"/>
    <x v="0"/>
  </r>
  <r>
    <s v="HGJ-82768-173"/>
    <x v="282"/>
    <s v="62741-01322-HU"/>
    <s v="A-M-1"/>
    <n v="4"/>
    <x v="315"/>
    <s v="tomoylan9c@liveinternet.ru"/>
    <x v="2"/>
    <s v="Ara"/>
    <s v="M"/>
    <x v="0"/>
    <n v="11.25"/>
    <n v="45"/>
    <x v="2"/>
    <x v="0"/>
    <x v="1"/>
  </r>
  <r>
    <s v="YPT-95383-088"/>
    <x v="283"/>
    <s v="43439-94003-DW"/>
    <s v="E-D-2.5"/>
    <n v="2"/>
    <x v="306"/>
    <s v=""/>
    <x v="0"/>
    <s v="Exc"/>
    <s v="D"/>
    <x v="2"/>
    <n v="27.945"/>
    <n v="55.89"/>
    <x v="1"/>
    <x v="2"/>
    <x v="1"/>
  </r>
  <r>
    <s v="OYH-16533-767"/>
    <x v="284"/>
    <s v="44932-34838-RM"/>
    <s v="E-L-1"/>
    <n v="4"/>
    <x v="316"/>
    <s v="wfetherston9e@constantcontact.com"/>
    <x v="0"/>
    <s v="Exc"/>
    <s v="L"/>
    <x v="0"/>
    <n v="14.85"/>
    <n v="59.4"/>
    <x v="1"/>
    <x v="1"/>
    <x v="1"/>
  </r>
  <r>
    <s v="DWW-28642-549"/>
    <x v="285"/>
    <s v="91181-19412-RQ"/>
    <s v="E-D-0.2"/>
    <n v="2"/>
    <x v="317"/>
    <s v="erasmus9f@techcrunch.com"/>
    <x v="0"/>
    <s v="Exc"/>
    <s v="D"/>
    <x v="3"/>
    <n v="3.645"/>
    <n v="7.29"/>
    <x v="1"/>
    <x v="2"/>
    <x v="0"/>
  </r>
  <r>
    <s v="CGO-79583-871"/>
    <x v="286"/>
    <s v="37182-54930-XC"/>
    <s v="E-D-0.5"/>
    <n v="1"/>
    <x v="318"/>
    <s v="wgiorgioni9g@wikipedia.org"/>
    <x v="0"/>
    <s v="Exc"/>
    <s v="D"/>
    <x v="1"/>
    <n v="7.29"/>
    <n v="7.29"/>
    <x v="1"/>
    <x v="2"/>
    <x v="0"/>
  </r>
  <r>
    <s v="TFY-52090-386"/>
    <x v="287"/>
    <s v="08613-17327-XT"/>
    <s v="E-L-0.5"/>
    <n v="2"/>
    <x v="319"/>
    <s v="lscargle9h@myspace.com"/>
    <x v="0"/>
    <s v="Exc"/>
    <s v="L"/>
    <x v="1"/>
    <n v="8.91"/>
    <n v="17.82"/>
    <x v="1"/>
    <x v="1"/>
    <x v="1"/>
  </r>
  <r>
    <s v="TFY-52090-386"/>
    <x v="287"/>
    <s v="08613-17327-XT"/>
    <s v="L-D-0.5"/>
    <n v="5"/>
    <x v="319"/>
    <s v="lscargle9h@myspace.com"/>
    <x v="0"/>
    <s v="Lib"/>
    <s v="D"/>
    <x v="1"/>
    <n v="7.77"/>
    <n v="38.84999999999999"/>
    <x v="3"/>
    <x v="2"/>
    <x v="1"/>
  </r>
  <r>
    <s v="NYY-73968-094"/>
    <x v="288"/>
    <s v="70451-38048-AH"/>
    <s v="R-D-0.5"/>
    <n v="6"/>
    <x v="320"/>
    <s v="nclimance9j@europa.eu"/>
    <x v="0"/>
    <s v="Rob"/>
    <s v="D"/>
    <x v="1"/>
    <n v="5.369999999999999"/>
    <n v="32.22"/>
    <x v="0"/>
    <x v="2"/>
    <x v="1"/>
  </r>
  <r>
    <s v="QEY-71761-460"/>
    <x v="250"/>
    <s v="35442-75769-PL"/>
    <s v="R-M-1"/>
    <n v="2"/>
    <x v="321"/>
    <s v=""/>
    <x v="1"/>
    <s v="Rob"/>
    <s v="M"/>
    <x v="0"/>
    <n v="9.949999999999999"/>
    <n v="19.9"/>
    <x v="0"/>
    <x v="0"/>
    <x v="0"/>
  </r>
  <r>
    <s v="GKQ-82603-910"/>
    <x v="289"/>
    <s v="83737-56117-JE"/>
    <s v="R-L-1"/>
    <n v="5"/>
    <x v="322"/>
    <s v="asnazle9l@oracle.com"/>
    <x v="0"/>
    <s v="Rob"/>
    <s v="L"/>
    <x v="0"/>
    <n v="11.95"/>
    <n v="59.75"/>
    <x v="0"/>
    <x v="1"/>
    <x v="1"/>
  </r>
  <r>
    <s v="IOB-32673-745"/>
    <x v="290"/>
    <s v="07095-81281-NJ"/>
    <s v="A-L-0.5"/>
    <n v="3"/>
    <x v="323"/>
    <s v="rworg9m@arstechnica.com"/>
    <x v="0"/>
    <s v="Ara"/>
    <s v="L"/>
    <x v="1"/>
    <n v="7.77"/>
    <n v="23.31"/>
    <x v="2"/>
    <x v="1"/>
    <x v="0"/>
  </r>
  <r>
    <s v="YAU-98893-150"/>
    <x v="291"/>
    <s v="77043-48851-HG"/>
    <s v="L-M-1"/>
    <n v="3"/>
    <x v="324"/>
    <s v="ldanes9n@umn.edu"/>
    <x v="0"/>
    <s v="Lib"/>
    <s v="M"/>
    <x v="0"/>
    <n v="14.55"/>
    <n v="43.65000000000001"/>
    <x v="3"/>
    <x v="0"/>
    <x v="1"/>
  </r>
  <r>
    <s v="XNM-14163-951"/>
    <x v="292"/>
    <s v="78224-60622-KH"/>
    <s v="E-L-2.5"/>
    <n v="6"/>
    <x v="325"/>
    <s v="skeynd9o@narod.ru"/>
    <x v="0"/>
    <s v="Exc"/>
    <s v="L"/>
    <x v="2"/>
    <n v="34.15499999999999"/>
    <n v="204.9299999999999"/>
    <x v="1"/>
    <x v="1"/>
    <x v="1"/>
  </r>
  <r>
    <s v="JPB-45297-000"/>
    <x v="293"/>
    <s v="83105-86631-IU"/>
    <s v="R-L-0.2"/>
    <n v="4"/>
    <x v="326"/>
    <s v="ddaveridge9p@arstechnica.com"/>
    <x v="0"/>
    <s v="Rob"/>
    <s v="L"/>
    <x v="3"/>
    <n v="3.585"/>
    <n v="14.34"/>
    <x v="0"/>
    <x v="1"/>
    <x v="1"/>
  </r>
  <r>
    <s v="MOU-74341-266"/>
    <x v="294"/>
    <s v="99358-65399-TC"/>
    <s v="A-D-0.5"/>
    <n v="4"/>
    <x v="327"/>
    <s v="jawdry9q@utexas.edu"/>
    <x v="0"/>
    <s v="Ara"/>
    <s v="D"/>
    <x v="1"/>
    <n v="5.97"/>
    <n v="23.88"/>
    <x v="2"/>
    <x v="2"/>
    <x v="1"/>
  </r>
  <r>
    <s v="DHJ-87461-571"/>
    <x v="295"/>
    <s v="94525-76037-JP"/>
    <s v="A-M-1"/>
    <n v="2"/>
    <x v="328"/>
    <s v="eryles9r@fastcompany.com"/>
    <x v="0"/>
    <s v="Ara"/>
    <s v="M"/>
    <x v="0"/>
    <n v="11.25"/>
    <n v="22.5"/>
    <x v="2"/>
    <x v="0"/>
    <x v="1"/>
  </r>
  <r>
    <s v="DKM-97676-850"/>
    <x v="296"/>
    <s v="43439-94003-DW"/>
    <s v="E-D-0.5"/>
    <n v="5"/>
    <x v="306"/>
    <s v=""/>
    <x v="0"/>
    <s v="Exc"/>
    <s v="D"/>
    <x v="1"/>
    <n v="7.29"/>
    <n v="36.45"/>
    <x v="1"/>
    <x v="2"/>
    <x v="1"/>
  </r>
  <r>
    <s v="UEB-09112-118"/>
    <x v="297"/>
    <s v="82718-93677-XO"/>
    <s v="A-M-0.5"/>
    <n v="4"/>
    <x v="329"/>
    <s v=""/>
    <x v="0"/>
    <s v="Ara"/>
    <s v="M"/>
    <x v="1"/>
    <n v="6.75"/>
    <n v="27"/>
    <x v="2"/>
    <x v="0"/>
    <x v="0"/>
  </r>
  <r>
    <s v="ORZ-67699-748"/>
    <x v="298"/>
    <s v="44708-78241-DF"/>
    <s v="A-M-2.5"/>
    <n v="6"/>
    <x v="330"/>
    <s v="jcaldicott9u@usda.gov"/>
    <x v="0"/>
    <s v="Ara"/>
    <s v="M"/>
    <x v="2"/>
    <n v="25.875"/>
    <n v="155.25"/>
    <x v="2"/>
    <x v="0"/>
    <x v="1"/>
  </r>
  <r>
    <s v="JXP-28398-485"/>
    <x v="299"/>
    <s v="23039-93032-FN"/>
    <s v="A-D-2.5"/>
    <n v="5"/>
    <x v="331"/>
    <s v="mvedmore9v@a8.net"/>
    <x v="0"/>
    <s v="Ara"/>
    <s v="D"/>
    <x v="2"/>
    <n v="22.885"/>
    <n v="114.425"/>
    <x v="2"/>
    <x v="2"/>
    <x v="0"/>
  </r>
  <r>
    <s v="WWH-92259-198"/>
    <x v="300"/>
    <s v="35256-12529-FT"/>
    <s v="L-D-1"/>
    <n v="4"/>
    <x v="332"/>
    <s v="wromao9w@chronoengine.com"/>
    <x v="0"/>
    <s v="Lib"/>
    <s v="D"/>
    <x v="0"/>
    <n v="12.95"/>
    <n v="51.8"/>
    <x v="3"/>
    <x v="2"/>
    <x v="0"/>
  </r>
  <r>
    <s v="FLR-82914-153"/>
    <x v="301"/>
    <s v="86100-33488-WP"/>
    <s v="A-M-2.5"/>
    <n v="6"/>
    <x v="333"/>
    <s v=""/>
    <x v="0"/>
    <s v="Ara"/>
    <s v="M"/>
    <x v="2"/>
    <n v="25.875"/>
    <n v="155.25"/>
    <x v="2"/>
    <x v="0"/>
    <x v="1"/>
  </r>
  <r>
    <s v="AMB-93600-000"/>
    <x v="302"/>
    <s v="64435-53100-WM"/>
    <s v="A-L-2.5"/>
    <n v="1"/>
    <x v="334"/>
    <s v="tcotmore9y@amazonaws.com"/>
    <x v="0"/>
    <s v="Ara"/>
    <s v="L"/>
    <x v="2"/>
    <n v="29.785"/>
    <n v="29.785"/>
    <x v="2"/>
    <x v="1"/>
    <x v="1"/>
  </r>
  <r>
    <s v="FEP-36895-658"/>
    <x v="303"/>
    <s v="44699-43836-UH"/>
    <s v="R-L-0.2"/>
    <n v="6"/>
    <x v="335"/>
    <s v="yskipsey9z@spotify.com"/>
    <x v="2"/>
    <s v="Rob"/>
    <s v="L"/>
    <x v="3"/>
    <n v="3.585"/>
    <n v="21.51"/>
    <x v="0"/>
    <x v="1"/>
    <x v="1"/>
  </r>
  <r>
    <s v="RXW-91413-276"/>
    <x v="304"/>
    <s v="29588-35679-RG"/>
    <s v="R-D-2.5"/>
    <n v="2"/>
    <x v="336"/>
    <s v="ncorpsa0@gmpg.org"/>
    <x v="0"/>
    <s v="Rob"/>
    <s v="D"/>
    <x v="2"/>
    <n v="20.585"/>
    <n v="41.16999999999999"/>
    <x v="0"/>
    <x v="2"/>
    <x v="1"/>
  </r>
  <r>
    <s v="RXW-91413-276"/>
    <x v="304"/>
    <s v="29588-35679-RG"/>
    <s v="R-M-0.5"/>
    <n v="1"/>
    <x v="336"/>
    <s v="ncorpsa0@gmpg.org"/>
    <x v="0"/>
    <s v="Rob"/>
    <s v="M"/>
    <x v="1"/>
    <n v="5.97"/>
    <n v="5.97"/>
    <x v="0"/>
    <x v="0"/>
    <x v="1"/>
  </r>
  <r>
    <s v="SDB-77492-188"/>
    <x v="305"/>
    <s v="64815-54078-HH"/>
    <s v="E-L-1"/>
    <n v="5"/>
    <x v="337"/>
    <s v="fbabbera2@stanford.edu"/>
    <x v="0"/>
    <s v="Exc"/>
    <s v="L"/>
    <x v="0"/>
    <n v="14.85"/>
    <n v="74.25"/>
    <x v="1"/>
    <x v="1"/>
    <x v="0"/>
  </r>
  <r>
    <s v="RZN-65182-395"/>
    <x v="196"/>
    <s v="59572-41990-XY"/>
    <s v="L-M-1"/>
    <n v="6"/>
    <x v="338"/>
    <s v="kloxtona3@opensource.org"/>
    <x v="0"/>
    <s v="Lib"/>
    <s v="M"/>
    <x v="0"/>
    <n v="14.55"/>
    <n v="87.30000000000001"/>
    <x v="3"/>
    <x v="0"/>
    <x v="1"/>
  </r>
  <r>
    <s v="HDQ-86094-507"/>
    <x v="110"/>
    <s v="32481-61533-ZJ"/>
    <s v="E-D-1"/>
    <n v="6"/>
    <x v="339"/>
    <s v="ptoffula4@posterous.com"/>
    <x v="0"/>
    <s v="Exc"/>
    <s v="D"/>
    <x v="0"/>
    <n v="12.15"/>
    <n v="72.90000000000001"/>
    <x v="1"/>
    <x v="2"/>
    <x v="0"/>
  </r>
  <r>
    <s v="YXO-79631-417"/>
    <x v="24"/>
    <s v="31587-92570-HL"/>
    <s v="L-D-0.5"/>
    <n v="1"/>
    <x v="340"/>
    <s v="cgwinnetta5@behance.net"/>
    <x v="0"/>
    <s v="Lib"/>
    <s v="D"/>
    <x v="1"/>
    <n v="7.77"/>
    <n v="7.77"/>
    <x v="3"/>
    <x v="2"/>
    <x v="1"/>
  </r>
  <r>
    <s v="SNF-57032-096"/>
    <x v="306"/>
    <s v="93832-04799-ID"/>
    <s v="E-D-0.5"/>
    <n v="6"/>
    <x v="341"/>
    <s v=""/>
    <x v="0"/>
    <s v="Exc"/>
    <s v="D"/>
    <x v="1"/>
    <n v="7.29"/>
    <n v="43.74"/>
    <x v="1"/>
    <x v="2"/>
    <x v="1"/>
  </r>
  <r>
    <s v="DGL-29648-995"/>
    <x v="307"/>
    <s v="59367-30821-ZQ"/>
    <s v="L-M-0.2"/>
    <n v="2"/>
    <x v="342"/>
    <s v=""/>
    <x v="0"/>
    <s v="Lib"/>
    <s v="M"/>
    <x v="3"/>
    <n v="4.365"/>
    <n v="8.73"/>
    <x v="3"/>
    <x v="0"/>
    <x v="0"/>
  </r>
  <r>
    <s v="GPU-65651-504"/>
    <x v="308"/>
    <s v="83947-45528-ET"/>
    <s v="E-M-2.5"/>
    <n v="2"/>
    <x v="343"/>
    <s v="lflaoniera8@wordpress.org"/>
    <x v="0"/>
    <s v="Exc"/>
    <s v="M"/>
    <x v="2"/>
    <n v="31.625"/>
    <n v="63.24999999999999"/>
    <x v="1"/>
    <x v="0"/>
    <x v="1"/>
  </r>
  <r>
    <s v="OJU-34452-896"/>
    <x v="309"/>
    <s v="60799-92593-CX"/>
    <s v="E-L-0.5"/>
    <n v="1"/>
    <x v="344"/>
    <s v=""/>
    <x v="0"/>
    <s v="Exc"/>
    <s v="L"/>
    <x v="1"/>
    <n v="8.91"/>
    <n v="8.91"/>
    <x v="1"/>
    <x v="1"/>
    <x v="0"/>
  </r>
  <r>
    <s v="GZS-50547-887"/>
    <x v="310"/>
    <s v="61600-55136-UM"/>
    <s v="E-D-1"/>
    <n v="2"/>
    <x v="345"/>
    <s v="ccatchesideaa@macromedia.com"/>
    <x v="0"/>
    <s v="Exc"/>
    <s v="D"/>
    <x v="0"/>
    <n v="12.15"/>
    <n v="24.3"/>
    <x v="1"/>
    <x v="2"/>
    <x v="0"/>
  </r>
  <r>
    <s v="ESR-54041-053"/>
    <x v="311"/>
    <s v="59771-90302-OF"/>
    <s v="A-L-0.5"/>
    <n v="6"/>
    <x v="346"/>
    <s v="cgibbonsonab@accuweather.com"/>
    <x v="0"/>
    <s v="Ara"/>
    <s v="L"/>
    <x v="1"/>
    <n v="7.77"/>
    <n v="46.62"/>
    <x v="2"/>
    <x v="1"/>
    <x v="0"/>
  </r>
  <r>
    <s v="OGD-10781-526"/>
    <x v="132"/>
    <s v="16880-78077-FB"/>
    <s v="R-L-0.5"/>
    <n v="6"/>
    <x v="347"/>
    <s v="tfarraac@behance.net"/>
    <x v="0"/>
    <s v="Rob"/>
    <s v="L"/>
    <x v="1"/>
    <n v="7.169999999999999"/>
    <n v="43.02"/>
    <x v="0"/>
    <x v="1"/>
    <x v="1"/>
  </r>
  <r>
    <s v="FVH-29271-315"/>
    <x v="312"/>
    <s v="74415-50873-FC"/>
    <s v="A-D-0.5"/>
    <n v="3"/>
    <x v="348"/>
    <s v=""/>
    <x v="1"/>
    <s v="Ara"/>
    <s v="D"/>
    <x v="1"/>
    <n v="5.97"/>
    <n v="17.91"/>
    <x v="2"/>
    <x v="2"/>
    <x v="0"/>
  </r>
  <r>
    <s v="BNZ-20544-633"/>
    <x v="313"/>
    <s v="31798-95707-NR"/>
    <s v="L-L-0.5"/>
    <n v="4"/>
    <x v="349"/>
    <s v="gbamfieldae@yellowpages.com"/>
    <x v="0"/>
    <s v="Lib"/>
    <s v="L"/>
    <x v="1"/>
    <n v="9.51"/>
    <n v="38.04"/>
    <x v="3"/>
    <x v="1"/>
    <x v="0"/>
  </r>
  <r>
    <s v="FUX-85791-078"/>
    <x v="156"/>
    <s v="59122-08794-WT"/>
    <s v="A-M-0.2"/>
    <n v="2"/>
    <x v="350"/>
    <s v="whollingdaleaf@about.me"/>
    <x v="0"/>
    <s v="Ara"/>
    <s v="M"/>
    <x v="3"/>
    <n v="3.375"/>
    <n v="6.75"/>
    <x v="2"/>
    <x v="0"/>
    <x v="0"/>
  </r>
  <r>
    <s v="YXP-20078-116"/>
    <x v="314"/>
    <s v="37238-52421-JJ"/>
    <s v="R-M-0.5"/>
    <n v="1"/>
    <x v="351"/>
    <s v="jdeag@xrea.com"/>
    <x v="0"/>
    <s v="Rob"/>
    <s v="M"/>
    <x v="1"/>
    <n v="5.97"/>
    <n v="5.97"/>
    <x v="0"/>
    <x v="0"/>
    <x v="0"/>
  </r>
  <r>
    <s v="VQV-59984-866"/>
    <x v="315"/>
    <s v="48854-01899-FN"/>
    <s v="R-D-0.2"/>
    <n v="3"/>
    <x v="352"/>
    <s v="vskulletah@tinyurl.com"/>
    <x v="1"/>
    <s v="Rob"/>
    <s v="D"/>
    <x v="3"/>
    <n v="2.685"/>
    <n v="8.055"/>
    <x v="0"/>
    <x v="2"/>
    <x v="1"/>
  </r>
  <r>
    <s v="JEH-37276-048"/>
    <x v="316"/>
    <s v="80896-38819-DW"/>
    <s v="A-L-0.5"/>
    <n v="3"/>
    <x v="353"/>
    <s v="jrudeforthai@wunderground.com"/>
    <x v="1"/>
    <s v="Ara"/>
    <s v="L"/>
    <x v="1"/>
    <n v="7.77"/>
    <n v="23.31"/>
    <x v="2"/>
    <x v="1"/>
    <x v="0"/>
  </r>
  <r>
    <s v="VYD-28555-589"/>
    <x v="317"/>
    <s v="29814-01459-RC"/>
    <s v="R-L-0.5"/>
    <n v="6"/>
    <x v="354"/>
    <s v="atomaszewskiaj@answers.com"/>
    <x v="2"/>
    <s v="Rob"/>
    <s v="L"/>
    <x v="1"/>
    <n v="7.169999999999999"/>
    <n v="43.02"/>
    <x v="0"/>
    <x v="1"/>
    <x v="0"/>
  </r>
  <r>
    <s v="WUG-76466-650"/>
    <x v="318"/>
    <s v="43439-94003-DW"/>
    <s v="L-D-0.5"/>
    <n v="3"/>
    <x v="306"/>
    <s v=""/>
    <x v="0"/>
    <s v="Lib"/>
    <s v="D"/>
    <x v="1"/>
    <n v="7.77"/>
    <n v="23.31"/>
    <x v="3"/>
    <x v="2"/>
    <x v="1"/>
  </r>
  <r>
    <s v="RJV-08261-583"/>
    <x v="182"/>
    <s v="48497-29281-FE"/>
    <s v="A-D-0.2"/>
    <n v="5"/>
    <x v="355"/>
    <s v="pbessal@qq.com"/>
    <x v="0"/>
    <s v="Ara"/>
    <s v="D"/>
    <x v="3"/>
    <n v="2.985"/>
    <n v="14.925"/>
    <x v="2"/>
    <x v="2"/>
    <x v="0"/>
  </r>
  <r>
    <s v="PMR-56062-609"/>
    <x v="319"/>
    <s v="43605-12616-YH"/>
    <s v="E-D-0.5"/>
    <n v="3"/>
    <x v="356"/>
    <s v="ewindressam@marketwatch.com"/>
    <x v="0"/>
    <s v="Exc"/>
    <s v="D"/>
    <x v="1"/>
    <n v="7.29"/>
    <n v="21.87"/>
    <x v="1"/>
    <x v="2"/>
    <x v="1"/>
  </r>
  <r>
    <s v="XLD-12920-505"/>
    <x v="320"/>
    <s v="21907-75962-VB"/>
    <s v="E-L-0.5"/>
    <n v="6"/>
    <x v="357"/>
    <s v=""/>
    <x v="0"/>
    <s v="Exc"/>
    <s v="L"/>
    <x v="1"/>
    <n v="8.91"/>
    <n v="53.46"/>
    <x v="1"/>
    <x v="1"/>
    <x v="0"/>
  </r>
  <r>
    <s v="UBW-50312-037"/>
    <x v="321"/>
    <s v="69503-12127-YD"/>
    <s v="A-L-2.5"/>
    <n v="4"/>
    <x v="358"/>
    <s v=""/>
    <x v="0"/>
    <s v="Ara"/>
    <s v="L"/>
    <x v="2"/>
    <n v="29.785"/>
    <n v="119.14"/>
    <x v="2"/>
    <x v="1"/>
    <x v="1"/>
  </r>
  <r>
    <s v="QAW-05889-019"/>
    <x v="322"/>
    <s v="68810-07329-EU"/>
    <s v="L-M-0.5"/>
    <n v="5"/>
    <x v="359"/>
    <s v="vbaumadierap@google.cn"/>
    <x v="0"/>
    <s v="Lib"/>
    <s v="M"/>
    <x v="1"/>
    <n v="8.73"/>
    <n v="43.65000000000001"/>
    <x v="3"/>
    <x v="0"/>
    <x v="0"/>
  </r>
  <r>
    <s v="EPT-12715-397"/>
    <x v="128"/>
    <s v="08478-75251-OG"/>
    <s v="A-D-0.2"/>
    <n v="6"/>
    <x v="360"/>
    <s v=""/>
    <x v="0"/>
    <s v="Ara"/>
    <s v="D"/>
    <x v="3"/>
    <n v="2.985"/>
    <n v="17.91"/>
    <x v="2"/>
    <x v="2"/>
    <x v="0"/>
  </r>
  <r>
    <s v="DHT-93810-053"/>
    <x v="323"/>
    <s v="17005-82030-EA"/>
    <s v="E-L-1"/>
    <n v="5"/>
    <x v="361"/>
    <s v="sweldsar@wired.com"/>
    <x v="0"/>
    <s v="Exc"/>
    <s v="L"/>
    <x v="0"/>
    <n v="14.85"/>
    <n v="74.25"/>
    <x v="1"/>
    <x v="1"/>
    <x v="0"/>
  </r>
  <r>
    <s v="DMY-96037-963"/>
    <x v="324"/>
    <s v="42179-95059-DO"/>
    <s v="L-D-0.2"/>
    <n v="3"/>
    <x v="362"/>
    <s v="msarvaras@artisteer.com"/>
    <x v="0"/>
    <s v="Lib"/>
    <s v="D"/>
    <x v="3"/>
    <n v="3.885"/>
    <n v="11.655"/>
    <x v="3"/>
    <x v="2"/>
    <x v="0"/>
  </r>
  <r>
    <s v="MBM-55936-917"/>
    <x v="325"/>
    <s v="55989-39849-WO"/>
    <s v="L-D-0.5"/>
    <n v="3"/>
    <x v="363"/>
    <s v="ahavickat@nsw.gov.au"/>
    <x v="0"/>
    <s v="Lib"/>
    <s v="D"/>
    <x v="1"/>
    <n v="7.77"/>
    <n v="23.31"/>
    <x v="3"/>
    <x v="2"/>
    <x v="0"/>
  </r>
  <r>
    <s v="TPA-93614-840"/>
    <x v="326"/>
    <s v="28932-49296-TM"/>
    <s v="E-D-0.5"/>
    <n v="2"/>
    <x v="364"/>
    <s v="sdivinyau@ask.com"/>
    <x v="0"/>
    <s v="Exc"/>
    <s v="D"/>
    <x v="1"/>
    <n v="7.29"/>
    <n v="14.58"/>
    <x v="1"/>
    <x v="2"/>
    <x v="0"/>
  </r>
  <r>
    <s v="WDM-77521-710"/>
    <x v="327"/>
    <s v="86144-10144-CB"/>
    <s v="A-M-0.5"/>
    <n v="2"/>
    <x v="365"/>
    <s v="inorquoyav@businessweek.com"/>
    <x v="0"/>
    <s v="Ara"/>
    <s v="M"/>
    <x v="1"/>
    <n v="6.75"/>
    <n v="13.5"/>
    <x v="2"/>
    <x v="0"/>
    <x v="1"/>
  </r>
  <r>
    <s v="EIP-19142-462"/>
    <x v="328"/>
    <s v="60973-72562-DQ"/>
    <s v="E-L-1"/>
    <n v="6"/>
    <x v="366"/>
    <s v="aiddisonaw@usa.gov"/>
    <x v="0"/>
    <s v="Exc"/>
    <s v="L"/>
    <x v="0"/>
    <n v="14.85"/>
    <n v="89.09999999999999"/>
    <x v="1"/>
    <x v="1"/>
    <x v="1"/>
  </r>
  <r>
    <s v="EIP-19142-462"/>
    <x v="328"/>
    <s v="60973-72562-DQ"/>
    <s v="A-L-0.2"/>
    <n v="1"/>
    <x v="366"/>
    <s v="aiddisonaw@usa.gov"/>
    <x v="0"/>
    <s v="Ara"/>
    <s v="L"/>
    <x v="3"/>
    <n v="3.885"/>
    <n v="3.885"/>
    <x v="2"/>
    <x v="1"/>
    <x v="1"/>
  </r>
  <r>
    <s v="ZZL-76364-387"/>
    <x v="128"/>
    <s v="11263-86515-VU"/>
    <s v="R-L-2.5"/>
    <n v="4"/>
    <x v="367"/>
    <s v="rlongfielday@bluehost.com"/>
    <x v="0"/>
    <s v="Rob"/>
    <s v="L"/>
    <x v="2"/>
    <n v="27.485"/>
    <n v="109.94"/>
    <x v="0"/>
    <x v="1"/>
    <x v="1"/>
  </r>
  <r>
    <s v="GMF-18638-786"/>
    <x v="329"/>
    <s v="60004-62976-NI"/>
    <s v="L-D-0.5"/>
    <n v="6"/>
    <x v="368"/>
    <s v="gkislingburyaz@samsung.com"/>
    <x v="0"/>
    <s v="Lib"/>
    <s v="D"/>
    <x v="1"/>
    <n v="7.77"/>
    <n v="46.62"/>
    <x v="3"/>
    <x v="2"/>
    <x v="0"/>
  </r>
  <r>
    <s v="TDJ-20844-787"/>
    <x v="330"/>
    <s v="77876-28498-HI"/>
    <s v="A-L-0.5"/>
    <n v="5"/>
    <x v="369"/>
    <s v="xgibbonsb0@artisteer.com"/>
    <x v="0"/>
    <s v="Ara"/>
    <s v="L"/>
    <x v="1"/>
    <n v="7.77"/>
    <n v="38.84999999999999"/>
    <x v="2"/>
    <x v="1"/>
    <x v="1"/>
  </r>
  <r>
    <s v="BWK-39400-446"/>
    <x v="331"/>
    <s v="61302-06948-EH"/>
    <s v="L-D-0.5"/>
    <n v="4"/>
    <x v="370"/>
    <s v="fparresb1@imageshack.us"/>
    <x v="0"/>
    <s v="Lib"/>
    <s v="D"/>
    <x v="1"/>
    <n v="7.77"/>
    <n v="31.08"/>
    <x v="3"/>
    <x v="2"/>
    <x v="0"/>
  </r>
  <r>
    <s v="LCB-02099-995"/>
    <x v="332"/>
    <s v="06757-96251-UH"/>
    <s v="A-D-0.2"/>
    <n v="6"/>
    <x v="371"/>
    <s v="gsibrayb2@wsj.com"/>
    <x v="0"/>
    <s v="Ara"/>
    <s v="D"/>
    <x v="3"/>
    <n v="2.985"/>
    <n v="17.91"/>
    <x v="2"/>
    <x v="2"/>
    <x v="0"/>
  </r>
  <r>
    <s v="UBA-43678-174"/>
    <x v="333"/>
    <s v="44530-75983-OD"/>
    <s v="E-D-2.5"/>
    <n v="6"/>
    <x v="372"/>
    <s v="ihotchkinb3@mit.edu"/>
    <x v="2"/>
    <s v="Exc"/>
    <s v="D"/>
    <x v="2"/>
    <n v="27.945"/>
    <n v="167.67"/>
    <x v="1"/>
    <x v="2"/>
    <x v="1"/>
  </r>
  <r>
    <s v="UDH-24280-432"/>
    <x v="334"/>
    <s v="44865-58249-RY"/>
    <s v="L-L-1"/>
    <n v="4"/>
    <x v="373"/>
    <s v="nbroadberrieb4@gnu.org"/>
    <x v="0"/>
    <s v="Lib"/>
    <s v="L"/>
    <x v="0"/>
    <n v="15.85"/>
    <n v="63.4"/>
    <x v="3"/>
    <x v="1"/>
    <x v="1"/>
  </r>
  <r>
    <s v="IDQ-20193-502"/>
    <x v="335"/>
    <s v="36021-61205-DF"/>
    <s v="L-M-0.2"/>
    <n v="2"/>
    <x v="374"/>
    <s v="rpithcockb5@yellowbook.com"/>
    <x v="0"/>
    <s v="Lib"/>
    <s v="M"/>
    <x v="3"/>
    <n v="4.365"/>
    <n v="8.73"/>
    <x v="3"/>
    <x v="0"/>
    <x v="0"/>
  </r>
  <r>
    <s v="DJG-14442-608"/>
    <x v="336"/>
    <s v="75716-12782-SS"/>
    <s v="R-D-1"/>
    <n v="3"/>
    <x v="375"/>
    <s v="gcroysdaleb6@nih.gov"/>
    <x v="0"/>
    <s v="Rob"/>
    <s v="D"/>
    <x v="0"/>
    <n v="8.949999999999999"/>
    <n v="26.85"/>
    <x v="0"/>
    <x v="2"/>
    <x v="0"/>
  </r>
  <r>
    <s v="DWB-61381-370"/>
    <x v="337"/>
    <s v="11812-00461-KH"/>
    <s v="L-L-0.2"/>
    <n v="2"/>
    <x v="376"/>
    <s v="bgozzettb7@github.com"/>
    <x v="0"/>
    <s v="Lib"/>
    <s v="L"/>
    <x v="3"/>
    <n v="4.755"/>
    <n v="9.51"/>
    <x v="3"/>
    <x v="1"/>
    <x v="1"/>
  </r>
  <r>
    <s v="FRD-17347-990"/>
    <x v="80"/>
    <s v="46681-78850-ZW"/>
    <s v="A-D-1"/>
    <n v="4"/>
    <x v="377"/>
    <s v="tcraggsb8@house.gov"/>
    <x v="1"/>
    <s v="Ara"/>
    <s v="D"/>
    <x v="0"/>
    <n v="9.949999999999999"/>
    <n v="39.8"/>
    <x v="2"/>
    <x v="2"/>
    <x v="1"/>
  </r>
  <r>
    <s v="YPP-27450-525"/>
    <x v="338"/>
    <s v="01932-87052-KO"/>
    <s v="E-M-0.5"/>
    <n v="3"/>
    <x v="378"/>
    <s v="lcullrfordb9@xing.com"/>
    <x v="0"/>
    <s v="Exc"/>
    <s v="M"/>
    <x v="1"/>
    <n v="8.25"/>
    <n v="24.75"/>
    <x v="1"/>
    <x v="0"/>
    <x v="0"/>
  </r>
  <r>
    <s v="EFC-39577-424"/>
    <x v="339"/>
    <s v="16046-34805-ZF"/>
    <s v="E-M-1"/>
    <n v="5"/>
    <x v="379"/>
    <s v="arizonba@xing.com"/>
    <x v="0"/>
    <s v="Exc"/>
    <s v="M"/>
    <x v="0"/>
    <n v="13.75"/>
    <n v="68.75"/>
    <x v="1"/>
    <x v="0"/>
    <x v="0"/>
  </r>
  <r>
    <s v="LAW-80062-016"/>
    <x v="340"/>
    <s v="34546-70516-LR"/>
    <s v="E-M-0.5"/>
    <n v="6"/>
    <x v="380"/>
    <s v=""/>
    <x v="1"/>
    <s v="Exc"/>
    <s v="M"/>
    <x v="1"/>
    <n v="8.25"/>
    <n v="49.5"/>
    <x v="1"/>
    <x v="0"/>
    <x v="1"/>
  </r>
  <r>
    <s v="WKL-27981-758"/>
    <x v="177"/>
    <s v="73699-93557-FZ"/>
    <s v="A-M-2.5"/>
    <n v="2"/>
    <x v="381"/>
    <s v="fmiellbc@spiegel.de"/>
    <x v="0"/>
    <s v="Ara"/>
    <s v="M"/>
    <x v="2"/>
    <n v="25.875"/>
    <n v="51.74999999999999"/>
    <x v="2"/>
    <x v="0"/>
    <x v="0"/>
  </r>
  <r>
    <s v="VRT-39834-265"/>
    <x v="341"/>
    <s v="86686-37462-CK"/>
    <s v="L-L-1"/>
    <n v="3"/>
    <x v="382"/>
    <s v=""/>
    <x v="1"/>
    <s v="Lib"/>
    <s v="L"/>
    <x v="0"/>
    <n v="15.85"/>
    <n v="47.55"/>
    <x v="3"/>
    <x v="1"/>
    <x v="0"/>
  </r>
  <r>
    <s v="QTC-71005-730"/>
    <x v="342"/>
    <s v="14298-02150-KH"/>
    <s v="A-L-0.2"/>
    <n v="4"/>
    <x v="383"/>
    <s v=""/>
    <x v="0"/>
    <s v="Ara"/>
    <s v="L"/>
    <x v="3"/>
    <n v="3.885"/>
    <n v="15.54"/>
    <x v="2"/>
    <x v="1"/>
    <x v="1"/>
  </r>
  <r>
    <s v="TNX-09857-717"/>
    <x v="343"/>
    <s v="48675-07824-HJ"/>
    <s v="L-M-1"/>
    <n v="6"/>
    <x v="384"/>
    <s v=""/>
    <x v="0"/>
    <s v="Lib"/>
    <s v="M"/>
    <x v="0"/>
    <n v="14.55"/>
    <n v="87.30000000000001"/>
    <x v="3"/>
    <x v="0"/>
    <x v="0"/>
  </r>
  <r>
    <s v="JZV-43874-185"/>
    <x v="344"/>
    <s v="18551-80943-YQ"/>
    <s v="A-M-1"/>
    <n v="5"/>
    <x v="385"/>
    <s v=""/>
    <x v="0"/>
    <s v="Ara"/>
    <s v="M"/>
    <x v="0"/>
    <n v="11.25"/>
    <n v="56.25"/>
    <x v="2"/>
    <x v="0"/>
    <x v="0"/>
  </r>
  <r>
    <s v="ICF-17486-106"/>
    <x v="47"/>
    <s v="19196-09748-DB"/>
    <s v="L-L-2.5"/>
    <n v="1"/>
    <x v="386"/>
    <s v="wspringallbh@jugem.jp"/>
    <x v="0"/>
    <s v="Lib"/>
    <s v="L"/>
    <x v="2"/>
    <n v="36.455"/>
    <n v="36.455"/>
    <x v="3"/>
    <x v="1"/>
    <x v="0"/>
  </r>
  <r>
    <s v="BMK-49520-383"/>
    <x v="345"/>
    <s v="72233-08665-IP"/>
    <s v="R-L-0.2"/>
    <n v="3"/>
    <x v="387"/>
    <s v=""/>
    <x v="0"/>
    <s v="Rob"/>
    <s v="L"/>
    <x v="3"/>
    <n v="3.585"/>
    <n v="10.755"/>
    <x v="0"/>
    <x v="1"/>
    <x v="0"/>
  </r>
  <r>
    <s v="HTS-15020-632"/>
    <x v="169"/>
    <s v="53817-13148-RK"/>
    <s v="R-M-0.2"/>
    <n v="3"/>
    <x v="388"/>
    <s v="ghawkyensbj@census.gov"/>
    <x v="0"/>
    <s v="Rob"/>
    <s v="M"/>
    <x v="3"/>
    <n v="2.985"/>
    <n v="8.955"/>
    <x v="0"/>
    <x v="0"/>
    <x v="1"/>
  </r>
  <r>
    <s v="YLE-18247-749"/>
    <x v="346"/>
    <s v="92227-49331-QR"/>
    <s v="A-L-0.5"/>
    <n v="3"/>
    <x v="389"/>
    <s v=""/>
    <x v="0"/>
    <s v="Ara"/>
    <s v="L"/>
    <x v="1"/>
    <n v="7.77"/>
    <n v="23.31"/>
    <x v="2"/>
    <x v="1"/>
    <x v="0"/>
  </r>
  <r>
    <s v="KJJ-12573-591"/>
    <x v="347"/>
    <s v="12997-41076-FQ"/>
    <s v="A-L-2.5"/>
    <n v="1"/>
    <x v="390"/>
    <s v=""/>
    <x v="0"/>
    <s v="Ara"/>
    <s v="L"/>
    <x v="2"/>
    <n v="29.785"/>
    <n v="29.785"/>
    <x v="2"/>
    <x v="1"/>
    <x v="0"/>
  </r>
  <r>
    <s v="RGU-43561-950"/>
    <x v="348"/>
    <s v="44220-00348-MB"/>
    <s v="A-L-2.5"/>
    <n v="5"/>
    <x v="391"/>
    <s v="bmcgilvrabm@so-net.ne.jp"/>
    <x v="0"/>
    <s v="Ara"/>
    <s v="L"/>
    <x v="2"/>
    <n v="29.785"/>
    <n v="148.925"/>
    <x v="2"/>
    <x v="1"/>
    <x v="0"/>
  </r>
  <r>
    <s v="JSN-73975-443"/>
    <x v="349"/>
    <s v="93047-98331-DD"/>
    <s v="L-M-0.5"/>
    <n v="1"/>
    <x v="392"/>
    <s v="adanzeybn@github.com"/>
    <x v="0"/>
    <s v="Lib"/>
    <s v="M"/>
    <x v="1"/>
    <n v="8.73"/>
    <n v="8.73"/>
    <x v="3"/>
    <x v="0"/>
    <x v="0"/>
  </r>
  <r>
    <s v="WNR-71736-993"/>
    <x v="350"/>
    <s v="16880-78077-FB"/>
    <s v="L-D-0.5"/>
    <n v="4"/>
    <x v="347"/>
    <s v="tfarraac@behance.net"/>
    <x v="0"/>
    <s v="Lib"/>
    <s v="D"/>
    <x v="1"/>
    <n v="7.77"/>
    <n v="31.08"/>
    <x v="3"/>
    <x v="2"/>
    <x v="1"/>
  </r>
  <r>
    <s v="WNR-71736-993"/>
    <x v="350"/>
    <s v="16880-78077-FB"/>
    <s v="A-D-2.5"/>
    <n v="6"/>
    <x v="347"/>
    <s v="tfarraac@behance.net"/>
    <x v="0"/>
    <s v="Ara"/>
    <s v="D"/>
    <x v="2"/>
    <n v="22.885"/>
    <n v="137.31"/>
    <x v="2"/>
    <x v="2"/>
    <x v="1"/>
  </r>
  <r>
    <s v="HNI-91338-546"/>
    <x v="54"/>
    <s v="67285-75317-XI"/>
    <s v="A-D-0.5"/>
    <n v="5"/>
    <x v="393"/>
    <s v=""/>
    <x v="0"/>
    <s v="Ara"/>
    <s v="D"/>
    <x v="1"/>
    <n v="5.97"/>
    <n v="29.85"/>
    <x v="2"/>
    <x v="2"/>
    <x v="1"/>
  </r>
  <r>
    <s v="CYH-53243-218"/>
    <x v="237"/>
    <s v="88167-57964-PH"/>
    <s v="R-M-0.5"/>
    <n v="3"/>
    <x v="394"/>
    <s v=""/>
    <x v="0"/>
    <s v="Rob"/>
    <s v="M"/>
    <x v="1"/>
    <n v="5.97"/>
    <n v="17.91"/>
    <x v="0"/>
    <x v="0"/>
    <x v="1"/>
  </r>
  <r>
    <s v="SVD-75407-177"/>
    <x v="351"/>
    <s v="16106-36039-QS"/>
    <s v="E-L-0.5"/>
    <n v="3"/>
    <x v="395"/>
    <s v="ydombrellbs@dedecms.com"/>
    <x v="0"/>
    <s v="Exc"/>
    <s v="L"/>
    <x v="1"/>
    <n v="8.91"/>
    <n v="26.73"/>
    <x v="1"/>
    <x v="1"/>
    <x v="0"/>
  </r>
  <r>
    <s v="NVN-66443-451"/>
    <x v="352"/>
    <s v="98921-82417-GN"/>
    <s v="R-D-1"/>
    <n v="2"/>
    <x v="396"/>
    <s v="adarthbt@t.co"/>
    <x v="0"/>
    <s v="Rob"/>
    <s v="D"/>
    <x v="0"/>
    <n v="8.949999999999999"/>
    <n v="17.9"/>
    <x v="0"/>
    <x v="2"/>
    <x v="1"/>
  </r>
  <r>
    <s v="JUA-13580-095"/>
    <x v="102"/>
    <s v="55265-75151-AK"/>
    <s v="R-L-0.2"/>
    <n v="4"/>
    <x v="397"/>
    <s v="mdarrigoebu@hud.gov"/>
    <x v="1"/>
    <s v="Rob"/>
    <s v="L"/>
    <x v="3"/>
    <n v="3.585"/>
    <n v="14.34"/>
    <x v="0"/>
    <x v="1"/>
    <x v="0"/>
  </r>
  <r>
    <s v="ACY-56225-839"/>
    <x v="353"/>
    <s v="47386-50743-FG"/>
    <s v="A-M-2.5"/>
    <n v="3"/>
    <x v="398"/>
    <s v=""/>
    <x v="0"/>
    <s v="Ara"/>
    <s v="M"/>
    <x v="2"/>
    <n v="25.875"/>
    <n v="77.62499999999999"/>
    <x v="2"/>
    <x v="0"/>
    <x v="0"/>
  </r>
  <r>
    <s v="QBB-07903-622"/>
    <x v="354"/>
    <s v="32622-54551-UC"/>
    <s v="R-L-1"/>
    <n v="5"/>
    <x v="399"/>
    <s v="mackrillbw@bandcamp.com"/>
    <x v="0"/>
    <s v="Rob"/>
    <s v="L"/>
    <x v="0"/>
    <n v="11.95"/>
    <n v="59.75"/>
    <x v="0"/>
    <x v="1"/>
    <x v="1"/>
  </r>
  <r>
    <s v="JLJ-81802-619"/>
    <x v="135"/>
    <s v="16880-78077-FB"/>
    <s v="A-L-1"/>
    <n v="6"/>
    <x v="347"/>
    <s v="tfarraac@behance.net"/>
    <x v="0"/>
    <s v="Ara"/>
    <s v="L"/>
    <x v="0"/>
    <n v="12.95"/>
    <n v="77.69999999999999"/>
    <x v="2"/>
    <x v="1"/>
    <x v="1"/>
  </r>
  <r>
    <s v="HFT-77191-168"/>
    <x v="343"/>
    <s v="48419-02347-XP"/>
    <s v="R-D-0.2"/>
    <n v="2"/>
    <x v="400"/>
    <s v="mkippenby@dion.ne.jp"/>
    <x v="0"/>
    <s v="Rob"/>
    <s v="D"/>
    <x v="3"/>
    <n v="2.685"/>
    <n v="5.369999999999999"/>
    <x v="0"/>
    <x v="2"/>
    <x v="0"/>
  </r>
  <r>
    <s v="SZR-35951-530"/>
    <x v="89"/>
    <s v="14121-20527-OJ"/>
    <s v="E-D-2.5"/>
    <n v="3"/>
    <x v="401"/>
    <s v="wransonbz@ted.com"/>
    <x v="1"/>
    <s v="Exc"/>
    <s v="D"/>
    <x v="2"/>
    <n v="27.945"/>
    <n v="83.83500000000001"/>
    <x v="1"/>
    <x v="2"/>
    <x v="0"/>
  </r>
  <r>
    <s v="IKL-95976-565"/>
    <x v="355"/>
    <s v="53486-73919-BQ"/>
    <s v="A-M-1"/>
    <n v="2"/>
    <x v="402"/>
    <s v=""/>
    <x v="0"/>
    <s v="Ara"/>
    <s v="M"/>
    <x v="0"/>
    <n v="11.25"/>
    <n v="22.5"/>
    <x v="2"/>
    <x v="0"/>
    <x v="1"/>
  </r>
  <r>
    <s v="XEY-48929-474"/>
    <x v="204"/>
    <s v="21889-94615-WT"/>
    <s v="L-M-2.5"/>
    <n v="6"/>
    <x v="403"/>
    <s v="lrignoldc1@miibeian.gov.cn"/>
    <x v="0"/>
    <s v="Lib"/>
    <s v="M"/>
    <x v="2"/>
    <n v="33.465"/>
    <n v="200.79"/>
    <x v="3"/>
    <x v="0"/>
    <x v="0"/>
  </r>
  <r>
    <s v="SQT-07286-736"/>
    <x v="356"/>
    <s v="87726-16941-QW"/>
    <s v="A-M-1"/>
    <n v="6"/>
    <x v="404"/>
    <s v=""/>
    <x v="0"/>
    <s v="Ara"/>
    <s v="M"/>
    <x v="0"/>
    <n v="11.25"/>
    <n v="67.5"/>
    <x v="2"/>
    <x v="0"/>
    <x v="1"/>
  </r>
  <r>
    <s v="QDU-45390-361"/>
    <x v="357"/>
    <s v="03677-09134-BC"/>
    <s v="E-M-0.5"/>
    <n v="1"/>
    <x v="405"/>
    <s v="crowthornc3@msn.com"/>
    <x v="0"/>
    <s v="Exc"/>
    <s v="M"/>
    <x v="1"/>
    <n v="8.25"/>
    <n v="8.25"/>
    <x v="1"/>
    <x v="0"/>
    <x v="1"/>
  </r>
  <r>
    <s v="RUJ-30649-712"/>
    <x v="300"/>
    <s v="93224-71517-WV"/>
    <s v="L-L-0.2"/>
    <n v="2"/>
    <x v="406"/>
    <s v="orylandc4@deviantart.com"/>
    <x v="0"/>
    <s v="Lib"/>
    <s v="L"/>
    <x v="3"/>
    <n v="4.755"/>
    <n v="9.51"/>
    <x v="3"/>
    <x v="1"/>
    <x v="0"/>
  </r>
  <r>
    <s v="WSV-49732-075"/>
    <x v="358"/>
    <s v="76263-95145-GJ"/>
    <s v="L-D-2.5"/>
    <n v="1"/>
    <x v="407"/>
    <s v=""/>
    <x v="0"/>
    <s v="Lib"/>
    <s v="D"/>
    <x v="2"/>
    <n v="29.785"/>
    <n v="29.785"/>
    <x v="3"/>
    <x v="2"/>
    <x v="1"/>
  </r>
  <r>
    <s v="VJF-46305-323"/>
    <x v="161"/>
    <s v="68555-89840-GZ"/>
    <s v="L-D-0.5"/>
    <n v="2"/>
    <x v="408"/>
    <s v="msesonck@census.gov"/>
    <x v="0"/>
    <s v="Lib"/>
    <s v="D"/>
    <x v="1"/>
    <n v="7.77"/>
    <n v="15.54"/>
    <x v="3"/>
    <x v="2"/>
    <x v="1"/>
  </r>
  <r>
    <s v="CXD-74176-600"/>
    <x v="129"/>
    <s v="70624-19112-AO"/>
    <s v="E-L-0.5"/>
    <n v="4"/>
    <x v="409"/>
    <s v="craglessc7@webmd.com"/>
    <x v="1"/>
    <s v="Exc"/>
    <s v="L"/>
    <x v="1"/>
    <n v="8.91"/>
    <n v="35.64"/>
    <x v="1"/>
    <x v="1"/>
    <x v="1"/>
  </r>
  <r>
    <s v="ADX-50674-975"/>
    <x v="359"/>
    <s v="58916-61837-QH"/>
    <s v="A-M-2.5"/>
    <n v="4"/>
    <x v="410"/>
    <s v="fhollowsc8@blogtalkradio.com"/>
    <x v="0"/>
    <s v="Ara"/>
    <s v="M"/>
    <x v="2"/>
    <n v="25.875"/>
    <n v="103.5"/>
    <x v="2"/>
    <x v="0"/>
    <x v="0"/>
  </r>
  <r>
    <s v="RRP-51647-420"/>
    <x v="360"/>
    <s v="89292-52335-YZ"/>
    <s v="E-D-1"/>
    <n v="3"/>
    <x v="411"/>
    <s v="llathleiffc9@nationalgeographic.com"/>
    <x v="1"/>
    <s v="Exc"/>
    <s v="D"/>
    <x v="0"/>
    <n v="12.15"/>
    <n v="36.45"/>
    <x v="1"/>
    <x v="2"/>
    <x v="0"/>
  </r>
  <r>
    <s v="PKJ-99134-523"/>
    <x v="361"/>
    <s v="77284-34297-YY"/>
    <s v="R-L-0.5"/>
    <n v="5"/>
    <x v="412"/>
    <s v="kheadsca@jalbum.net"/>
    <x v="0"/>
    <s v="Rob"/>
    <s v="L"/>
    <x v="1"/>
    <n v="7.169999999999999"/>
    <n v="35.84999999999999"/>
    <x v="0"/>
    <x v="1"/>
    <x v="1"/>
  </r>
  <r>
    <s v="FZQ-29439-457"/>
    <x v="362"/>
    <s v="50449-80974-BZ"/>
    <s v="E-L-0.2"/>
    <n v="5"/>
    <x v="413"/>
    <s v="tbownecb@unicef.org"/>
    <x v="1"/>
    <s v="Exc"/>
    <s v="L"/>
    <x v="3"/>
    <n v="4.455"/>
    <n v="22.275"/>
    <x v="1"/>
    <x v="1"/>
    <x v="0"/>
  </r>
  <r>
    <s v="USN-68115-161"/>
    <x v="363"/>
    <s v="08120-16183-AW"/>
    <s v="E-M-0.2"/>
    <n v="6"/>
    <x v="414"/>
    <s v="rjacquemardcc@acquirethisname.com"/>
    <x v="1"/>
    <s v="Exc"/>
    <s v="M"/>
    <x v="3"/>
    <n v="4.125"/>
    <n v="24.75"/>
    <x v="1"/>
    <x v="0"/>
    <x v="1"/>
  </r>
  <r>
    <s v="IXU-20263-532"/>
    <x v="364"/>
    <s v="68044-89277-ML"/>
    <s v="L-M-2.5"/>
    <n v="2"/>
    <x v="415"/>
    <s v="kwarmancd@printfriendly.com"/>
    <x v="1"/>
    <s v="Lib"/>
    <s v="M"/>
    <x v="2"/>
    <n v="33.465"/>
    <n v="66.92999999999999"/>
    <x v="3"/>
    <x v="0"/>
    <x v="0"/>
  </r>
  <r>
    <s v="CBT-15092-420"/>
    <x v="85"/>
    <s v="71364-35210-HS"/>
    <s v="L-M-0.5"/>
    <n v="1"/>
    <x v="416"/>
    <s v="wcholomince@about.com"/>
    <x v="2"/>
    <s v="Lib"/>
    <s v="M"/>
    <x v="1"/>
    <n v="8.73"/>
    <n v="8.73"/>
    <x v="3"/>
    <x v="0"/>
    <x v="0"/>
  </r>
  <r>
    <s v="PKQ-46841-696"/>
    <x v="365"/>
    <s v="37177-68797-ON"/>
    <s v="R-M-0.5"/>
    <n v="3"/>
    <x v="417"/>
    <s v="abraidmancf@census.gov"/>
    <x v="0"/>
    <s v="Rob"/>
    <s v="M"/>
    <x v="1"/>
    <n v="5.97"/>
    <n v="17.91"/>
    <x v="0"/>
    <x v="0"/>
    <x v="1"/>
  </r>
  <r>
    <s v="XDU-05471-219"/>
    <x v="366"/>
    <s v="60308-06944-GS"/>
    <s v="R-L-0.5"/>
    <n v="1"/>
    <x v="418"/>
    <s v="pdurbancg@symantec.com"/>
    <x v="1"/>
    <s v="Rob"/>
    <s v="L"/>
    <x v="1"/>
    <n v="7.169999999999999"/>
    <n v="7.169999999999999"/>
    <x v="0"/>
    <x v="1"/>
    <x v="1"/>
  </r>
  <r>
    <s v="NID-20149-329"/>
    <x v="367"/>
    <s v="49888-39458-PF"/>
    <s v="R-D-0.2"/>
    <n v="2"/>
    <x v="419"/>
    <s v="aharroldch@miibeian.gov.cn"/>
    <x v="0"/>
    <s v="Rob"/>
    <s v="D"/>
    <x v="3"/>
    <n v="2.685"/>
    <n v="5.369999999999999"/>
    <x v="0"/>
    <x v="2"/>
    <x v="1"/>
  </r>
  <r>
    <s v="SVU-27222-213"/>
    <x v="142"/>
    <s v="60748-46813-DZ"/>
    <s v="L-L-0.2"/>
    <n v="5"/>
    <x v="420"/>
    <s v="spamphilonci@mlb.com"/>
    <x v="1"/>
    <s v="Lib"/>
    <s v="L"/>
    <x v="3"/>
    <n v="4.755"/>
    <n v="23.775"/>
    <x v="3"/>
    <x v="1"/>
    <x v="1"/>
  </r>
  <r>
    <s v="RWI-84131-848"/>
    <x v="368"/>
    <s v="16385-11286-NX"/>
    <s v="R-D-2.5"/>
    <n v="2"/>
    <x v="421"/>
    <s v="mspurdencj@exblog.jp"/>
    <x v="0"/>
    <s v="Rob"/>
    <s v="D"/>
    <x v="2"/>
    <n v="20.585"/>
    <n v="41.16999999999999"/>
    <x v="0"/>
    <x v="2"/>
    <x v="0"/>
  </r>
  <r>
    <s v="GUU-40666-525"/>
    <x v="31"/>
    <s v="68555-89840-GZ"/>
    <s v="A-L-0.2"/>
    <n v="3"/>
    <x v="408"/>
    <s v="msesonck@census.gov"/>
    <x v="0"/>
    <s v="Ara"/>
    <s v="L"/>
    <x v="3"/>
    <n v="3.885"/>
    <n v="11.655"/>
    <x v="2"/>
    <x v="1"/>
    <x v="1"/>
  </r>
  <r>
    <s v="SCN-51395-066"/>
    <x v="369"/>
    <s v="72164-90254-EJ"/>
    <s v="L-L-0.5"/>
    <n v="4"/>
    <x v="422"/>
    <s v="npirronecl@weibo.com"/>
    <x v="0"/>
    <s v="Lib"/>
    <s v="L"/>
    <x v="1"/>
    <n v="9.51"/>
    <n v="38.04"/>
    <x v="3"/>
    <x v="1"/>
    <x v="1"/>
  </r>
  <r>
    <s v="ULA-24644-321"/>
    <x v="370"/>
    <s v="67010-92988-CT"/>
    <s v="R-D-2.5"/>
    <n v="4"/>
    <x v="423"/>
    <s v="rcawleycm@yellowbook.com"/>
    <x v="1"/>
    <s v="Rob"/>
    <s v="D"/>
    <x v="2"/>
    <n v="20.585"/>
    <n v="82.33999999999999"/>
    <x v="0"/>
    <x v="2"/>
    <x v="0"/>
  </r>
  <r>
    <s v="EOL-92666-762"/>
    <x v="371"/>
    <s v="15776-91507-GT"/>
    <s v="L-L-0.2"/>
    <n v="2"/>
    <x v="424"/>
    <s v="sbarribalcn@microsoft.com"/>
    <x v="1"/>
    <s v="Lib"/>
    <s v="L"/>
    <x v="3"/>
    <n v="4.755"/>
    <n v="9.51"/>
    <x v="3"/>
    <x v="1"/>
    <x v="0"/>
  </r>
  <r>
    <s v="AJV-18231-334"/>
    <x v="372"/>
    <s v="23473-41001-CD"/>
    <s v="R-D-2.5"/>
    <n v="2"/>
    <x v="425"/>
    <s v="aadamidesco@bizjournals.com"/>
    <x v="2"/>
    <s v="Rob"/>
    <s v="D"/>
    <x v="2"/>
    <n v="20.585"/>
    <n v="41.16999999999999"/>
    <x v="0"/>
    <x v="2"/>
    <x v="1"/>
  </r>
  <r>
    <s v="ZQI-47236-301"/>
    <x v="373"/>
    <s v="23446-47798-ID"/>
    <s v="L-L-0.5"/>
    <n v="5"/>
    <x v="426"/>
    <s v="cthowescp@craigslist.org"/>
    <x v="0"/>
    <s v="Lib"/>
    <s v="L"/>
    <x v="1"/>
    <n v="9.51"/>
    <n v="47.55"/>
    <x v="3"/>
    <x v="1"/>
    <x v="1"/>
  </r>
  <r>
    <s v="ZCR-15721-658"/>
    <x v="374"/>
    <s v="28327-84469-ND"/>
    <s v="A-M-1"/>
    <n v="4"/>
    <x v="427"/>
    <s v="rwillowaycq@admin.ch"/>
    <x v="0"/>
    <s v="Ara"/>
    <s v="M"/>
    <x v="0"/>
    <n v="11.25"/>
    <n v="45"/>
    <x v="2"/>
    <x v="0"/>
    <x v="1"/>
  </r>
  <r>
    <s v="QEW-47945-682"/>
    <x v="319"/>
    <s v="42466-87067-DT"/>
    <s v="L-L-0.2"/>
    <n v="5"/>
    <x v="428"/>
    <s v="aelwincr@privacy.gov.au"/>
    <x v="0"/>
    <s v="Lib"/>
    <s v="L"/>
    <x v="3"/>
    <n v="4.755"/>
    <n v="23.775"/>
    <x v="3"/>
    <x v="1"/>
    <x v="1"/>
  </r>
  <r>
    <s v="PSY-45485-542"/>
    <x v="375"/>
    <s v="62246-99443-HF"/>
    <s v="R-D-0.5"/>
    <n v="3"/>
    <x v="429"/>
    <s v="abilbrookcs@booking.com"/>
    <x v="1"/>
    <s v="Rob"/>
    <s v="D"/>
    <x v="1"/>
    <n v="5.369999999999999"/>
    <n v="16.11"/>
    <x v="0"/>
    <x v="2"/>
    <x v="0"/>
  </r>
  <r>
    <s v="BAQ-74241-156"/>
    <x v="376"/>
    <s v="99869-55718-UU"/>
    <s v="R-D-0.2"/>
    <n v="4"/>
    <x v="430"/>
    <s v="rmckallct@sakura.ne.jp"/>
    <x v="2"/>
    <s v="Rob"/>
    <s v="D"/>
    <x v="3"/>
    <n v="2.685"/>
    <n v="10.74"/>
    <x v="0"/>
    <x v="2"/>
    <x v="0"/>
  </r>
  <r>
    <s v="BVU-77367-451"/>
    <x v="377"/>
    <s v="77421-46059-RY"/>
    <s v="A-D-1"/>
    <n v="5"/>
    <x v="431"/>
    <s v="bdailecu@vistaprint.com"/>
    <x v="0"/>
    <s v="Ara"/>
    <s v="D"/>
    <x v="0"/>
    <n v="9.949999999999999"/>
    <n v="49.75"/>
    <x v="2"/>
    <x v="2"/>
    <x v="0"/>
  </r>
  <r>
    <s v="TJE-91516-344"/>
    <x v="378"/>
    <s v="49894-06550-OQ"/>
    <s v="E-M-1"/>
    <n v="2"/>
    <x v="432"/>
    <s v="atrehernecv@state.tx.us"/>
    <x v="1"/>
    <s v="Exc"/>
    <s v="M"/>
    <x v="0"/>
    <n v="13.75"/>
    <n v="27.5"/>
    <x v="1"/>
    <x v="0"/>
    <x v="1"/>
  </r>
  <r>
    <s v="LIS-96202-702"/>
    <x v="277"/>
    <s v="72028-63343-SU"/>
    <s v="L-D-2.5"/>
    <n v="4"/>
    <x v="433"/>
    <s v="abrentnallcw@biglobe.ne.jp"/>
    <x v="2"/>
    <s v="Lib"/>
    <s v="D"/>
    <x v="2"/>
    <n v="29.785"/>
    <n v="119.14"/>
    <x v="3"/>
    <x v="2"/>
    <x v="1"/>
  </r>
  <r>
    <s v="VIO-27668-766"/>
    <x v="379"/>
    <s v="10074-20104-NN"/>
    <s v="R-D-2.5"/>
    <n v="1"/>
    <x v="434"/>
    <s v="ddrinkallcx@psu.edu"/>
    <x v="0"/>
    <s v="Rob"/>
    <s v="D"/>
    <x v="2"/>
    <n v="20.585"/>
    <n v="20.585"/>
    <x v="0"/>
    <x v="2"/>
    <x v="0"/>
  </r>
  <r>
    <s v="ZVG-20473-043"/>
    <x v="86"/>
    <s v="71769-10219-IM"/>
    <s v="A-D-0.2"/>
    <n v="3"/>
    <x v="435"/>
    <s v="dkornelcy@cyberchimps.com"/>
    <x v="0"/>
    <s v="Ara"/>
    <s v="D"/>
    <x v="3"/>
    <n v="2.985"/>
    <n v="8.955"/>
    <x v="2"/>
    <x v="2"/>
    <x v="0"/>
  </r>
  <r>
    <s v="KGZ-56395-231"/>
    <x v="380"/>
    <s v="22221-71106-JD"/>
    <s v="A-D-0.5"/>
    <n v="1"/>
    <x v="436"/>
    <s v="rlequeuxcz@newyorker.com"/>
    <x v="0"/>
    <s v="Ara"/>
    <s v="D"/>
    <x v="1"/>
    <n v="5.97"/>
    <n v="5.97"/>
    <x v="2"/>
    <x v="2"/>
    <x v="1"/>
  </r>
  <r>
    <s v="CUU-92244-729"/>
    <x v="381"/>
    <s v="99735-44927-OL"/>
    <s v="E-M-1"/>
    <n v="3"/>
    <x v="437"/>
    <s v="jmccaulld0@parallels.com"/>
    <x v="0"/>
    <s v="Exc"/>
    <s v="M"/>
    <x v="0"/>
    <n v="13.75"/>
    <n v="41.25"/>
    <x v="1"/>
    <x v="0"/>
    <x v="0"/>
  </r>
  <r>
    <s v="EHE-94714-312"/>
    <x v="382"/>
    <s v="27132-68907-RC"/>
    <s v="E-L-0.2"/>
    <n v="5"/>
    <x v="438"/>
    <s v="abrashda@plala.or.jp"/>
    <x v="0"/>
    <s v="Exc"/>
    <s v="L"/>
    <x v="3"/>
    <n v="4.455"/>
    <n v="22.275"/>
    <x v="1"/>
    <x v="1"/>
    <x v="0"/>
  </r>
  <r>
    <s v="RTL-16205-161"/>
    <x v="11"/>
    <s v="90440-62727-HI"/>
    <s v="A-M-0.5"/>
    <n v="1"/>
    <x v="439"/>
    <s v="ahutchinsond2@imgur.com"/>
    <x v="0"/>
    <s v="Ara"/>
    <s v="M"/>
    <x v="1"/>
    <n v="6.75"/>
    <n v="6.75"/>
    <x v="2"/>
    <x v="0"/>
    <x v="0"/>
  </r>
  <r>
    <s v="GTS-22482-014"/>
    <x v="167"/>
    <s v="36769-16558-SX"/>
    <s v="L-M-2.5"/>
    <n v="4"/>
    <x v="440"/>
    <s v=""/>
    <x v="0"/>
    <s v="Lib"/>
    <s v="M"/>
    <x v="2"/>
    <n v="33.465"/>
    <n v="133.86"/>
    <x v="3"/>
    <x v="0"/>
    <x v="0"/>
  </r>
  <r>
    <s v="DYG-25473-881"/>
    <x v="383"/>
    <s v="10138-31681-SD"/>
    <s v="A-D-0.2"/>
    <n v="2"/>
    <x v="441"/>
    <s v="rdriversd4@hexun.com"/>
    <x v="0"/>
    <s v="Ara"/>
    <s v="D"/>
    <x v="3"/>
    <n v="2.985"/>
    <n v="5.97"/>
    <x v="2"/>
    <x v="2"/>
    <x v="1"/>
  </r>
  <r>
    <s v="HTR-21838-286"/>
    <x v="18"/>
    <s v="24669-76297-SF"/>
    <s v="A-L-1"/>
    <n v="2"/>
    <x v="442"/>
    <s v="hzeald5@google.de"/>
    <x v="0"/>
    <s v="Ara"/>
    <s v="L"/>
    <x v="0"/>
    <n v="12.95"/>
    <n v="25.9"/>
    <x v="2"/>
    <x v="1"/>
    <x v="1"/>
  </r>
  <r>
    <s v="KYG-28296-920"/>
    <x v="84"/>
    <s v="78050-20355-DI"/>
    <s v="E-M-2.5"/>
    <n v="1"/>
    <x v="443"/>
    <s v="gsmallcombed6@ucla.edu"/>
    <x v="1"/>
    <s v="Exc"/>
    <s v="M"/>
    <x v="2"/>
    <n v="31.625"/>
    <n v="31.625"/>
    <x v="1"/>
    <x v="0"/>
    <x v="0"/>
  </r>
  <r>
    <s v="NNB-20459-430"/>
    <x v="384"/>
    <s v="79825-17822-UH"/>
    <s v="L-M-0.2"/>
    <n v="2"/>
    <x v="444"/>
    <s v="ddibleyd7@feedburner.com"/>
    <x v="0"/>
    <s v="Lib"/>
    <s v="M"/>
    <x v="3"/>
    <n v="4.365"/>
    <n v="8.73"/>
    <x v="3"/>
    <x v="0"/>
    <x v="1"/>
  </r>
  <r>
    <s v="FEK-14025-351"/>
    <x v="385"/>
    <s v="03990-21586-MQ"/>
    <s v="E-L-0.2"/>
    <n v="6"/>
    <x v="445"/>
    <s v="gdimitrioud8@chronoengine.com"/>
    <x v="0"/>
    <s v="Exc"/>
    <s v="L"/>
    <x v="3"/>
    <n v="4.455"/>
    <n v="26.73"/>
    <x v="1"/>
    <x v="1"/>
    <x v="0"/>
  </r>
  <r>
    <s v="AWH-16980-469"/>
    <x v="386"/>
    <s v="27493-46921-TZ"/>
    <s v="L-M-0.2"/>
    <n v="6"/>
    <x v="446"/>
    <s v="fflanagand9@woothemes.com"/>
    <x v="0"/>
    <s v="Lib"/>
    <s v="M"/>
    <x v="3"/>
    <n v="4.365"/>
    <n v="26.19"/>
    <x v="3"/>
    <x v="0"/>
    <x v="1"/>
  </r>
  <r>
    <s v="ZPW-31329-741"/>
    <x v="387"/>
    <s v="27132-68907-RC"/>
    <s v="R-D-1"/>
    <n v="6"/>
    <x v="438"/>
    <s v="abrashda@plala.or.jp"/>
    <x v="0"/>
    <s v="Rob"/>
    <s v="D"/>
    <x v="0"/>
    <n v="8.949999999999999"/>
    <n v="53.7"/>
    <x v="0"/>
    <x v="2"/>
    <x v="0"/>
  </r>
  <r>
    <s v="ZPW-31329-741"/>
    <x v="387"/>
    <s v="27132-68907-RC"/>
    <s v="E-M-2.5"/>
    <n v="4"/>
    <x v="438"/>
    <s v="abrashda@plala.or.jp"/>
    <x v="0"/>
    <s v="Exc"/>
    <s v="M"/>
    <x v="2"/>
    <n v="31.625"/>
    <n v="126.5"/>
    <x v="1"/>
    <x v="0"/>
    <x v="0"/>
  </r>
  <r>
    <s v="ZPW-31329-741"/>
    <x v="387"/>
    <s v="27132-68907-RC"/>
    <s v="E-M-0.2"/>
    <n v="1"/>
    <x v="438"/>
    <s v="abrashda@plala.or.jp"/>
    <x v="0"/>
    <s v="Exc"/>
    <s v="M"/>
    <x v="3"/>
    <n v="4.125"/>
    <n v="4.125"/>
    <x v="1"/>
    <x v="0"/>
    <x v="0"/>
  </r>
  <r>
    <s v="UBI-83843-396"/>
    <x v="388"/>
    <s v="58816-74064-TF"/>
    <s v="R-L-1"/>
    <n v="2"/>
    <x v="447"/>
    <s v="nizhakovdd@aol.com"/>
    <x v="2"/>
    <s v="Rob"/>
    <s v="L"/>
    <x v="0"/>
    <n v="11.95"/>
    <n v="23.9"/>
    <x v="0"/>
    <x v="1"/>
    <x v="1"/>
  </r>
  <r>
    <s v="VID-40587-569"/>
    <x v="389"/>
    <s v="09818-59895-EH"/>
    <s v="E-D-2.5"/>
    <n v="5"/>
    <x v="448"/>
    <s v="skeetsde@answers.com"/>
    <x v="0"/>
    <s v="Exc"/>
    <s v="D"/>
    <x v="2"/>
    <n v="27.945"/>
    <n v="139.725"/>
    <x v="1"/>
    <x v="2"/>
    <x v="0"/>
  </r>
  <r>
    <s v="KBB-52530-416"/>
    <x v="229"/>
    <s v="06488-46303-IZ"/>
    <s v="L-D-2.5"/>
    <n v="2"/>
    <x v="449"/>
    <s v=""/>
    <x v="0"/>
    <s v="Lib"/>
    <s v="D"/>
    <x v="2"/>
    <n v="29.785"/>
    <n v="59.56999999999999"/>
    <x v="3"/>
    <x v="2"/>
    <x v="0"/>
  </r>
  <r>
    <s v="ISJ-48676-420"/>
    <x v="390"/>
    <s v="93046-67561-AY"/>
    <s v="L-L-0.5"/>
    <n v="6"/>
    <x v="450"/>
    <s v="kcakedg@huffingtonpost.com"/>
    <x v="0"/>
    <s v="Lib"/>
    <s v="L"/>
    <x v="1"/>
    <n v="9.51"/>
    <n v="57.06"/>
    <x v="3"/>
    <x v="1"/>
    <x v="1"/>
  </r>
  <r>
    <s v="MIF-17920-768"/>
    <x v="391"/>
    <s v="68946-40750-LK"/>
    <s v="R-L-0.2"/>
    <n v="6"/>
    <x v="451"/>
    <s v="mhanseddh@instagram.com"/>
    <x v="1"/>
    <s v="Rob"/>
    <s v="L"/>
    <x v="3"/>
    <n v="3.585"/>
    <n v="21.51"/>
    <x v="0"/>
    <x v="1"/>
    <x v="0"/>
  </r>
  <r>
    <s v="CPX-19312-088"/>
    <x v="117"/>
    <s v="38387-64959-WW"/>
    <s v="L-M-0.5"/>
    <n v="6"/>
    <x v="452"/>
    <s v="fkienleindi@trellian.com"/>
    <x v="1"/>
    <s v="Lib"/>
    <s v="M"/>
    <x v="1"/>
    <n v="8.73"/>
    <n v="52.38"/>
    <x v="3"/>
    <x v="0"/>
    <x v="0"/>
  </r>
  <r>
    <s v="RXI-67978-260"/>
    <x v="392"/>
    <s v="48418-60841-CC"/>
    <s v="E-D-1"/>
    <n v="6"/>
    <x v="453"/>
    <s v="kegglestonedj@sphinn.com"/>
    <x v="1"/>
    <s v="Exc"/>
    <s v="D"/>
    <x v="0"/>
    <n v="12.15"/>
    <n v="72.90000000000001"/>
    <x v="1"/>
    <x v="2"/>
    <x v="1"/>
  </r>
  <r>
    <s v="LKE-14821-285"/>
    <x v="393"/>
    <s v="13736-92418-JS"/>
    <s v="R-M-0.2"/>
    <n v="5"/>
    <x v="454"/>
    <s v="bsemkinsdk@unc.edu"/>
    <x v="1"/>
    <s v="Rob"/>
    <s v="M"/>
    <x v="3"/>
    <n v="2.985"/>
    <n v="14.925"/>
    <x v="0"/>
    <x v="0"/>
    <x v="0"/>
  </r>
  <r>
    <s v="LRK-97117-150"/>
    <x v="394"/>
    <s v="33000-22405-LO"/>
    <s v="L-L-1"/>
    <n v="6"/>
    <x v="455"/>
    <s v="slorenzettidl@is.gd"/>
    <x v="0"/>
    <s v="Lib"/>
    <s v="L"/>
    <x v="0"/>
    <n v="15.85"/>
    <n v="95.09999999999999"/>
    <x v="3"/>
    <x v="1"/>
    <x v="1"/>
  </r>
  <r>
    <s v="IGK-51227-573"/>
    <x v="137"/>
    <s v="46959-60474-LT"/>
    <s v="L-D-0.5"/>
    <n v="2"/>
    <x v="456"/>
    <s v="bgiannazzidm@apple.com"/>
    <x v="0"/>
    <s v="Lib"/>
    <s v="D"/>
    <x v="1"/>
    <n v="7.77"/>
    <n v="15.54"/>
    <x v="3"/>
    <x v="2"/>
    <x v="1"/>
  </r>
  <r>
    <s v="ZAY-43009-775"/>
    <x v="395"/>
    <s v="73431-39823-UP"/>
    <s v="L-D-0.2"/>
    <n v="6"/>
    <x v="457"/>
    <s v=""/>
    <x v="0"/>
    <s v="Lib"/>
    <s v="D"/>
    <x v="3"/>
    <n v="3.885"/>
    <n v="23.31"/>
    <x v="3"/>
    <x v="2"/>
    <x v="1"/>
  </r>
  <r>
    <s v="EMA-63190-618"/>
    <x v="396"/>
    <s v="90993-98984-JK"/>
    <s v="E-M-0.2"/>
    <n v="1"/>
    <x v="458"/>
    <s v="ulethbrigdo@hc360.com"/>
    <x v="0"/>
    <s v="Exc"/>
    <s v="M"/>
    <x v="3"/>
    <n v="4.125"/>
    <n v="4.125"/>
    <x v="1"/>
    <x v="0"/>
    <x v="0"/>
  </r>
  <r>
    <s v="FBI-35855-418"/>
    <x v="189"/>
    <s v="06552-04430-AG"/>
    <s v="R-M-0.5"/>
    <n v="6"/>
    <x v="459"/>
    <s v="sfarnishdp@dmoz.org"/>
    <x v="2"/>
    <s v="Rob"/>
    <s v="M"/>
    <x v="1"/>
    <n v="5.97"/>
    <n v="35.82"/>
    <x v="0"/>
    <x v="0"/>
    <x v="1"/>
  </r>
  <r>
    <s v="TXB-80533-417"/>
    <x v="8"/>
    <s v="54597-57004-QM"/>
    <s v="L-L-1"/>
    <n v="2"/>
    <x v="460"/>
    <s v="fjecockdq@unicef.org"/>
    <x v="0"/>
    <s v="Lib"/>
    <s v="L"/>
    <x v="0"/>
    <n v="15.85"/>
    <n v="31.7"/>
    <x v="3"/>
    <x v="1"/>
    <x v="1"/>
  </r>
  <r>
    <s v="MBM-00112-248"/>
    <x v="397"/>
    <s v="50238-24377-ZS"/>
    <s v="L-L-1"/>
    <n v="5"/>
    <x v="461"/>
    <s v=""/>
    <x v="0"/>
    <s v="Lib"/>
    <s v="L"/>
    <x v="0"/>
    <n v="15.85"/>
    <n v="79.25"/>
    <x v="3"/>
    <x v="1"/>
    <x v="0"/>
  </r>
  <r>
    <s v="EUO-69145-988"/>
    <x v="398"/>
    <s v="60370-41934-IF"/>
    <s v="E-D-0.2"/>
    <n v="3"/>
    <x v="462"/>
    <s v="hpallisterds@ning.com"/>
    <x v="0"/>
    <s v="Exc"/>
    <s v="D"/>
    <x v="3"/>
    <n v="3.645"/>
    <n v="10.935"/>
    <x v="1"/>
    <x v="2"/>
    <x v="1"/>
  </r>
  <r>
    <s v="GYA-80327-368"/>
    <x v="399"/>
    <s v="06899-54551-EH"/>
    <s v="A-D-1"/>
    <n v="4"/>
    <x v="463"/>
    <s v="cmershdt@drupal.org"/>
    <x v="1"/>
    <s v="Ara"/>
    <s v="D"/>
    <x v="0"/>
    <n v="9.949999999999999"/>
    <n v="39.8"/>
    <x v="2"/>
    <x v="2"/>
    <x v="1"/>
  </r>
  <r>
    <s v="TNW-41601-420"/>
    <x v="400"/>
    <s v="66458-91190-YC"/>
    <s v="R-M-1"/>
    <n v="5"/>
    <x v="464"/>
    <s v="murione5@alexa.com"/>
    <x v="1"/>
    <s v="Rob"/>
    <s v="M"/>
    <x v="0"/>
    <n v="9.949999999999999"/>
    <n v="49.75"/>
    <x v="0"/>
    <x v="0"/>
    <x v="0"/>
  </r>
  <r>
    <s v="ALR-62963-723"/>
    <x v="401"/>
    <s v="80463-43913-WZ"/>
    <s v="R-D-0.2"/>
    <n v="3"/>
    <x v="465"/>
    <s v=""/>
    <x v="1"/>
    <s v="Rob"/>
    <s v="D"/>
    <x v="3"/>
    <n v="2.685"/>
    <n v="8.055"/>
    <x v="0"/>
    <x v="2"/>
    <x v="0"/>
  </r>
  <r>
    <s v="JIG-27636-870"/>
    <x v="402"/>
    <s v="67204-04870-LG"/>
    <s v="R-L-1"/>
    <n v="4"/>
    <x v="466"/>
    <s v=""/>
    <x v="0"/>
    <s v="Rob"/>
    <s v="L"/>
    <x v="0"/>
    <n v="11.95"/>
    <n v="47.8"/>
    <x v="0"/>
    <x v="1"/>
    <x v="1"/>
  </r>
  <r>
    <s v="CTE-31437-326"/>
    <x v="6"/>
    <s v="22721-63196-UJ"/>
    <s v="R-M-0.2"/>
    <n v="4"/>
    <x v="467"/>
    <s v="gduckerdx@patch.com"/>
    <x v="2"/>
    <s v="Rob"/>
    <s v="M"/>
    <x v="3"/>
    <n v="2.985"/>
    <n v="11.94"/>
    <x v="0"/>
    <x v="0"/>
    <x v="1"/>
  </r>
  <r>
    <s v="CTE-31437-326"/>
    <x v="6"/>
    <s v="22721-63196-UJ"/>
    <s v="E-M-0.2"/>
    <n v="4"/>
    <x v="467"/>
    <s v="gduckerdx@patch.com"/>
    <x v="2"/>
    <s v="Exc"/>
    <s v="M"/>
    <x v="3"/>
    <n v="4.125"/>
    <n v="16.5"/>
    <x v="1"/>
    <x v="0"/>
    <x v="1"/>
  </r>
  <r>
    <s v="CTE-31437-326"/>
    <x v="6"/>
    <s v="22721-63196-UJ"/>
    <s v="L-D-1"/>
    <n v="4"/>
    <x v="467"/>
    <s v="gduckerdx@patch.com"/>
    <x v="2"/>
    <s v="Lib"/>
    <s v="D"/>
    <x v="0"/>
    <n v="12.95"/>
    <n v="51.8"/>
    <x v="3"/>
    <x v="2"/>
    <x v="1"/>
  </r>
  <r>
    <s v="CTE-31437-326"/>
    <x v="6"/>
    <s v="22721-63196-UJ"/>
    <s v="L-L-0.2"/>
    <n v="3"/>
    <x v="467"/>
    <s v="gduckerdx@patch.com"/>
    <x v="2"/>
    <s v="Lib"/>
    <s v="L"/>
    <x v="3"/>
    <n v="4.755"/>
    <n v="14.265"/>
    <x v="3"/>
    <x v="1"/>
    <x v="1"/>
  </r>
  <r>
    <s v="SLD-63003-334"/>
    <x v="403"/>
    <s v="55515-37571-RS"/>
    <s v="L-M-0.2"/>
    <n v="6"/>
    <x v="468"/>
    <s v="wstearleye1@census.gov"/>
    <x v="0"/>
    <s v="Lib"/>
    <s v="M"/>
    <x v="3"/>
    <n v="4.365"/>
    <n v="26.19"/>
    <x v="3"/>
    <x v="0"/>
    <x v="1"/>
  </r>
  <r>
    <s v="BXN-64230-789"/>
    <x v="404"/>
    <s v="25598-77476-CB"/>
    <s v="A-L-1"/>
    <n v="2"/>
    <x v="469"/>
    <s v="dwincere2@marriott.com"/>
    <x v="0"/>
    <s v="Ara"/>
    <s v="L"/>
    <x v="0"/>
    <n v="12.95"/>
    <n v="25.9"/>
    <x v="2"/>
    <x v="1"/>
    <x v="0"/>
  </r>
  <r>
    <s v="XEE-37895-169"/>
    <x v="21"/>
    <s v="14888-85625-TM"/>
    <s v="A-L-2.5"/>
    <n v="3"/>
    <x v="470"/>
    <s v="plyfielde3@baidu.com"/>
    <x v="0"/>
    <s v="Ara"/>
    <s v="L"/>
    <x v="2"/>
    <n v="29.785"/>
    <n v="89.35499999999999"/>
    <x v="2"/>
    <x v="1"/>
    <x v="0"/>
  </r>
  <r>
    <s v="ZTX-80764-911"/>
    <x v="239"/>
    <s v="92793-68332-NR"/>
    <s v="L-D-0.5"/>
    <n v="6"/>
    <x v="471"/>
    <s v="hperrise4@studiopress.com"/>
    <x v="1"/>
    <s v="Lib"/>
    <s v="D"/>
    <x v="1"/>
    <n v="7.77"/>
    <n v="46.62"/>
    <x v="3"/>
    <x v="2"/>
    <x v="1"/>
  </r>
  <r>
    <s v="WVT-88135-549"/>
    <x v="405"/>
    <s v="66458-91190-YC"/>
    <s v="A-D-1"/>
    <n v="3"/>
    <x v="464"/>
    <s v="murione5@alexa.com"/>
    <x v="1"/>
    <s v="Ara"/>
    <s v="D"/>
    <x v="0"/>
    <n v="9.949999999999999"/>
    <n v="29.85"/>
    <x v="2"/>
    <x v="2"/>
    <x v="0"/>
  </r>
  <r>
    <s v="IPA-94170-889"/>
    <x v="292"/>
    <s v="64439-27325-LG"/>
    <s v="R-L-0.2"/>
    <n v="3"/>
    <x v="472"/>
    <s v="ckide6@narod.ru"/>
    <x v="1"/>
    <s v="Rob"/>
    <s v="L"/>
    <x v="3"/>
    <n v="3.585"/>
    <n v="10.755"/>
    <x v="0"/>
    <x v="1"/>
    <x v="0"/>
  </r>
  <r>
    <s v="YQL-63755-365"/>
    <x v="117"/>
    <s v="78570-76770-LB"/>
    <s v="A-M-0.2"/>
    <n v="4"/>
    <x v="473"/>
    <s v="cbeinee7@xinhuanet.com"/>
    <x v="0"/>
    <s v="Ara"/>
    <s v="M"/>
    <x v="3"/>
    <n v="3.375"/>
    <n v="13.5"/>
    <x v="2"/>
    <x v="0"/>
    <x v="0"/>
  </r>
  <r>
    <s v="RKW-81145-984"/>
    <x v="406"/>
    <s v="98661-69719-VI"/>
    <s v="L-L-1"/>
    <n v="3"/>
    <x v="474"/>
    <s v="cbakeupe8@globo.com"/>
    <x v="0"/>
    <s v="Lib"/>
    <s v="L"/>
    <x v="0"/>
    <n v="15.85"/>
    <n v="47.55"/>
    <x v="3"/>
    <x v="1"/>
    <x v="1"/>
  </r>
  <r>
    <s v="MBT-23379-866"/>
    <x v="407"/>
    <s v="82990-92703-IX"/>
    <s v="L-L-1"/>
    <n v="5"/>
    <x v="475"/>
    <s v="nhelkine9@example.com"/>
    <x v="0"/>
    <s v="Lib"/>
    <s v="L"/>
    <x v="0"/>
    <n v="15.85"/>
    <n v="79.25"/>
    <x v="3"/>
    <x v="1"/>
    <x v="1"/>
  </r>
  <r>
    <s v="GEJ-39834-935"/>
    <x v="408"/>
    <s v="49412-86877-VY"/>
    <s v="L-M-0.2"/>
    <n v="6"/>
    <x v="476"/>
    <s v="pwitheringtonea@networkadvertising.org"/>
    <x v="0"/>
    <s v="Lib"/>
    <s v="M"/>
    <x v="3"/>
    <n v="4.365"/>
    <n v="26.19"/>
    <x v="3"/>
    <x v="0"/>
    <x v="0"/>
  </r>
  <r>
    <s v="KRW-91640-596"/>
    <x v="409"/>
    <s v="70879-00984-FJ"/>
    <s v="R-L-0.5"/>
    <n v="3"/>
    <x v="477"/>
    <s v="ttilzeyeb@hostgator.com"/>
    <x v="0"/>
    <s v="Rob"/>
    <s v="L"/>
    <x v="1"/>
    <n v="7.169999999999999"/>
    <n v="21.51"/>
    <x v="0"/>
    <x v="1"/>
    <x v="1"/>
  </r>
  <r>
    <s v="AOT-70449-651"/>
    <x v="410"/>
    <s v="53414-73391-CR"/>
    <s v="R-D-2.5"/>
    <n v="5"/>
    <x v="478"/>
    <s v=""/>
    <x v="0"/>
    <s v="Rob"/>
    <s v="D"/>
    <x v="2"/>
    <n v="20.585"/>
    <n v="102.925"/>
    <x v="0"/>
    <x v="2"/>
    <x v="0"/>
  </r>
  <r>
    <s v="DGC-21813-731"/>
    <x v="127"/>
    <s v="43606-83072-OA"/>
    <s v="L-D-0.2"/>
    <n v="2"/>
    <x v="479"/>
    <s v=""/>
    <x v="0"/>
    <s v="Lib"/>
    <s v="D"/>
    <x v="3"/>
    <n v="3.885"/>
    <n v="7.77"/>
    <x v="3"/>
    <x v="2"/>
    <x v="1"/>
  </r>
  <r>
    <s v="JBE-92943-643"/>
    <x v="411"/>
    <s v="84466-22864-CE"/>
    <s v="E-D-2.5"/>
    <n v="5"/>
    <x v="480"/>
    <s v="kimortsee@alexa.com"/>
    <x v="0"/>
    <s v="Exc"/>
    <s v="D"/>
    <x v="2"/>
    <n v="27.945"/>
    <n v="139.725"/>
    <x v="1"/>
    <x v="2"/>
    <x v="1"/>
  </r>
  <r>
    <s v="ZIL-34948-499"/>
    <x v="112"/>
    <s v="66458-91190-YC"/>
    <s v="A-D-0.5"/>
    <n v="2"/>
    <x v="464"/>
    <s v="murione5@alexa.com"/>
    <x v="1"/>
    <s v="Ara"/>
    <s v="D"/>
    <x v="1"/>
    <n v="5.97"/>
    <n v="11.94"/>
    <x v="2"/>
    <x v="2"/>
    <x v="0"/>
  </r>
  <r>
    <s v="JSU-23781-256"/>
    <x v="412"/>
    <s v="76499-89100-JQ"/>
    <s v="L-D-0.2"/>
    <n v="1"/>
    <x v="481"/>
    <s v="marmisteadeg@blogtalkradio.com"/>
    <x v="0"/>
    <s v="Lib"/>
    <s v="D"/>
    <x v="3"/>
    <n v="3.885"/>
    <n v="3.885"/>
    <x v="3"/>
    <x v="2"/>
    <x v="1"/>
  </r>
  <r>
    <s v="JSU-23781-256"/>
    <x v="412"/>
    <s v="76499-89100-JQ"/>
    <s v="R-M-1"/>
    <n v="4"/>
    <x v="481"/>
    <s v="marmisteadeg@blogtalkradio.com"/>
    <x v="0"/>
    <s v="Rob"/>
    <s v="M"/>
    <x v="0"/>
    <n v="9.949999999999999"/>
    <n v="39.8"/>
    <x v="0"/>
    <x v="0"/>
    <x v="1"/>
  </r>
  <r>
    <s v="VPX-44956-367"/>
    <x v="413"/>
    <s v="39582-35773-ZJ"/>
    <s v="R-M-0.5"/>
    <n v="5"/>
    <x v="482"/>
    <s v="vupstoneei@google.pl"/>
    <x v="0"/>
    <s v="Rob"/>
    <s v="M"/>
    <x v="1"/>
    <n v="5.97"/>
    <n v="29.85"/>
    <x v="0"/>
    <x v="0"/>
    <x v="1"/>
  </r>
  <r>
    <s v="VTB-46451-959"/>
    <x v="414"/>
    <s v="66240-46962-IO"/>
    <s v="L-D-2.5"/>
    <n v="1"/>
    <x v="483"/>
    <s v="bbeelbyej@rediff.com"/>
    <x v="1"/>
    <s v="Lib"/>
    <s v="D"/>
    <x v="2"/>
    <n v="29.785"/>
    <n v="29.785"/>
    <x v="3"/>
    <x v="2"/>
    <x v="1"/>
  </r>
  <r>
    <s v="DNZ-11665-950"/>
    <x v="415"/>
    <s v="10637-45522-ID"/>
    <s v="L-L-2.5"/>
    <n v="2"/>
    <x v="484"/>
    <s v=""/>
    <x v="0"/>
    <s v="Lib"/>
    <s v="L"/>
    <x v="2"/>
    <n v="36.455"/>
    <n v="72.91"/>
    <x v="3"/>
    <x v="1"/>
    <x v="1"/>
  </r>
  <r>
    <s v="ITR-54735-364"/>
    <x v="416"/>
    <s v="92599-58687-CS"/>
    <s v="R-D-0.2"/>
    <n v="5"/>
    <x v="485"/>
    <s v=""/>
    <x v="0"/>
    <s v="Rob"/>
    <s v="D"/>
    <x v="3"/>
    <n v="2.685"/>
    <n v="13.425"/>
    <x v="0"/>
    <x v="2"/>
    <x v="0"/>
  </r>
  <r>
    <s v="YDS-02797-307"/>
    <x v="417"/>
    <s v="06058-48844-PI"/>
    <s v="E-M-2.5"/>
    <n v="4"/>
    <x v="486"/>
    <s v="wspeechlyem@amazon.com"/>
    <x v="0"/>
    <s v="Exc"/>
    <s v="M"/>
    <x v="2"/>
    <n v="31.625"/>
    <n v="126.5"/>
    <x v="1"/>
    <x v="0"/>
    <x v="0"/>
  </r>
  <r>
    <s v="BPG-68988-842"/>
    <x v="418"/>
    <s v="53631-24432-SY"/>
    <s v="E-M-0.5"/>
    <n v="5"/>
    <x v="487"/>
    <s v="iphillpoten@buzzfeed.com"/>
    <x v="2"/>
    <s v="Exc"/>
    <s v="M"/>
    <x v="1"/>
    <n v="8.25"/>
    <n v="41.25"/>
    <x v="1"/>
    <x v="0"/>
    <x v="1"/>
  </r>
  <r>
    <s v="XZG-51938-658"/>
    <x v="419"/>
    <s v="18275-73980-KL"/>
    <s v="E-L-0.5"/>
    <n v="6"/>
    <x v="488"/>
    <s v="lpennaccieo@statcounter.com"/>
    <x v="0"/>
    <s v="Exc"/>
    <s v="L"/>
    <x v="1"/>
    <n v="8.91"/>
    <n v="53.46"/>
    <x v="1"/>
    <x v="1"/>
    <x v="1"/>
  </r>
  <r>
    <s v="KAR-24978-271"/>
    <x v="420"/>
    <s v="23187-65750-HZ"/>
    <s v="R-M-1"/>
    <n v="6"/>
    <x v="489"/>
    <s v="sarpinep@moonfruit.com"/>
    <x v="0"/>
    <s v="Rob"/>
    <s v="M"/>
    <x v="0"/>
    <n v="9.949999999999999"/>
    <n v="59.7"/>
    <x v="0"/>
    <x v="0"/>
    <x v="1"/>
  </r>
  <r>
    <s v="FQK-28730-361"/>
    <x v="421"/>
    <s v="22725-79522-GP"/>
    <s v="R-M-1"/>
    <n v="6"/>
    <x v="490"/>
    <s v="dfrieseq@cargocollective.com"/>
    <x v="0"/>
    <s v="Rob"/>
    <s v="M"/>
    <x v="0"/>
    <n v="9.949999999999999"/>
    <n v="59.7"/>
    <x v="0"/>
    <x v="0"/>
    <x v="1"/>
  </r>
  <r>
    <s v="BGB-67996-089"/>
    <x v="422"/>
    <s v="06279-72603-JE"/>
    <s v="R-D-1"/>
    <n v="5"/>
    <x v="491"/>
    <s v="rsharerer@flavors.me"/>
    <x v="0"/>
    <s v="Rob"/>
    <s v="D"/>
    <x v="0"/>
    <n v="8.949999999999999"/>
    <n v="44.75"/>
    <x v="0"/>
    <x v="2"/>
    <x v="1"/>
  </r>
  <r>
    <s v="XMC-20620-809"/>
    <x v="423"/>
    <s v="83543-79246-ON"/>
    <s v="E-M-0.5"/>
    <n v="2"/>
    <x v="492"/>
    <s v="nnasebyes@umich.edu"/>
    <x v="0"/>
    <s v="Exc"/>
    <s v="M"/>
    <x v="1"/>
    <n v="8.25"/>
    <n v="16.5"/>
    <x v="1"/>
    <x v="0"/>
    <x v="0"/>
  </r>
  <r>
    <s v="ZSO-58292-191"/>
    <x v="109"/>
    <s v="66794-66795-VW"/>
    <s v="R-D-0.5"/>
    <n v="4"/>
    <x v="493"/>
    <s v=""/>
    <x v="0"/>
    <s v="Rob"/>
    <s v="D"/>
    <x v="1"/>
    <n v="5.369999999999999"/>
    <n v="21.48"/>
    <x v="0"/>
    <x v="2"/>
    <x v="1"/>
  </r>
  <r>
    <s v="LWJ-06793-303"/>
    <x v="204"/>
    <s v="95424-67020-AP"/>
    <s v="R-M-2.5"/>
    <n v="2"/>
    <x v="494"/>
    <s v="koculleneu@ca.gov"/>
    <x v="1"/>
    <s v="Rob"/>
    <s v="M"/>
    <x v="2"/>
    <n v="22.885"/>
    <n v="45.77"/>
    <x v="0"/>
    <x v="0"/>
    <x v="0"/>
  </r>
  <r>
    <s v="FLM-82229-989"/>
    <x v="424"/>
    <s v="73017-69644-MS"/>
    <s v="L-L-0.2"/>
    <n v="2"/>
    <x v="495"/>
    <s v=""/>
    <x v="1"/>
    <s v="Lib"/>
    <s v="L"/>
    <x v="3"/>
    <n v="4.755"/>
    <n v="9.51"/>
    <x v="3"/>
    <x v="1"/>
    <x v="1"/>
  </r>
  <r>
    <s v="CPV-90280-133"/>
    <x v="13"/>
    <s v="66458-91190-YC"/>
    <s v="R-D-0.2"/>
    <n v="3"/>
    <x v="464"/>
    <s v="murione5@alexa.com"/>
    <x v="1"/>
    <s v="Rob"/>
    <s v="D"/>
    <x v="3"/>
    <n v="2.685"/>
    <n v="8.055"/>
    <x v="0"/>
    <x v="2"/>
    <x v="0"/>
  </r>
  <r>
    <s v="OGW-60685-912"/>
    <x v="224"/>
    <s v="67423-10113-LM"/>
    <s v="E-D-2.5"/>
    <n v="4"/>
    <x v="496"/>
    <s v="hbranganex@woothemes.com"/>
    <x v="0"/>
    <s v="Exc"/>
    <s v="D"/>
    <x v="2"/>
    <n v="27.945"/>
    <n v="111.78"/>
    <x v="1"/>
    <x v="2"/>
    <x v="0"/>
  </r>
  <r>
    <s v="DEC-11160-362"/>
    <x v="220"/>
    <s v="48582-05061-RY"/>
    <s v="R-D-0.2"/>
    <n v="4"/>
    <x v="497"/>
    <s v="agallyoney@engadget.com"/>
    <x v="0"/>
    <s v="Rob"/>
    <s v="D"/>
    <x v="3"/>
    <n v="2.685"/>
    <n v="10.74"/>
    <x v="0"/>
    <x v="2"/>
    <x v="0"/>
  </r>
  <r>
    <s v="WCT-07869-499"/>
    <x v="91"/>
    <s v="32031-49093-KE"/>
    <s v="R-D-0.5"/>
    <n v="5"/>
    <x v="498"/>
    <s v="bdomangeez@yahoo.co.jp"/>
    <x v="0"/>
    <s v="Rob"/>
    <s v="D"/>
    <x v="1"/>
    <n v="5.369999999999999"/>
    <n v="26.84999999999999"/>
    <x v="0"/>
    <x v="2"/>
    <x v="1"/>
  </r>
  <r>
    <s v="FHD-89872-325"/>
    <x v="425"/>
    <s v="31715-98714-OO"/>
    <s v="L-L-1"/>
    <n v="4"/>
    <x v="499"/>
    <s v="koslerf0@gmpg.org"/>
    <x v="0"/>
    <s v="Lib"/>
    <s v="L"/>
    <x v="0"/>
    <n v="15.85"/>
    <n v="63.4"/>
    <x v="3"/>
    <x v="1"/>
    <x v="0"/>
  </r>
  <r>
    <s v="AZF-45991-584"/>
    <x v="426"/>
    <s v="73759-17258-KA"/>
    <s v="A-D-2.5"/>
    <n v="1"/>
    <x v="500"/>
    <s v=""/>
    <x v="1"/>
    <s v="Ara"/>
    <s v="D"/>
    <x v="2"/>
    <n v="22.885"/>
    <n v="22.885"/>
    <x v="2"/>
    <x v="2"/>
    <x v="0"/>
  </r>
  <r>
    <s v="MDG-14481-513"/>
    <x v="427"/>
    <s v="64897-79178-MH"/>
    <s v="A-M-2.5"/>
    <n v="4"/>
    <x v="501"/>
    <s v="zpellettf2@dailymotion.com"/>
    <x v="0"/>
    <s v="Ara"/>
    <s v="M"/>
    <x v="2"/>
    <n v="25.875"/>
    <n v="103.5"/>
    <x v="2"/>
    <x v="0"/>
    <x v="1"/>
  </r>
  <r>
    <s v="OFN-49424-848"/>
    <x v="428"/>
    <s v="73346-85564-JB"/>
    <s v="R-L-2.5"/>
    <n v="2"/>
    <x v="502"/>
    <s v="isprakesf3@spiegel.de"/>
    <x v="0"/>
    <s v="Rob"/>
    <s v="L"/>
    <x v="2"/>
    <n v="27.485"/>
    <n v="54.96999999999999"/>
    <x v="0"/>
    <x v="1"/>
    <x v="1"/>
  </r>
  <r>
    <s v="NFA-03411-746"/>
    <x v="383"/>
    <s v="07476-13102-NJ"/>
    <s v="A-L-0.5"/>
    <n v="2"/>
    <x v="503"/>
    <s v="hfromantf4@ucsd.edu"/>
    <x v="0"/>
    <s v="Ara"/>
    <s v="L"/>
    <x v="1"/>
    <n v="7.77"/>
    <n v="15.54"/>
    <x v="2"/>
    <x v="1"/>
    <x v="1"/>
  </r>
  <r>
    <s v="CYM-74988-450"/>
    <x v="156"/>
    <s v="87223-37422-SK"/>
    <s v="L-D-0.2"/>
    <n v="4"/>
    <x v="504"/>
    <s v="rflearf5@artisteer.com"/>
    <x v="2"/>
    <s v="Lib"/>
    <s v="D"/>
    <x v="3"/>
    <n v="3.885"/>
    <n v="15.54"/>
    <x v="3"/>
    <x v="2"/>
    <x v="1"/>
  </r>
  <r>
    <s v="WTV-24996-658"/>
    <x v="429"/>
    <s v="57837-15577-YK"/>
    <s v="E-D-2.5"/>
    <n v="3"/>
    <x v="505"/>
    <s v=""/>
    <x v="1"/>
    <s v="Exc"/>
    <s v="D"/>
    <x v="2"/>
    <n v="27.945"/>
    <n v="83.83500000000001"/>
    <x v="1"/>
    <x v="2"/>
    <x v="1"/>
  </r>
  <r>
    <s v="DSL-69915-544"/>
    <x v="103"/>
    <s v="10142-55267-YO"/>
    <s v="R-L-0.2"/>
    <n v="3"/>
    <x v="506"/>
    <s v="wlightollersf9@baidu.com"/>
    <x v="0"/>
    <s v="Rob"/>
    <s v="L"/>
    <x v="3"/>
    <n v="3.585"/>
    <n v="10.755"/>
    <x v="0"/>
    <x v="1"/>
    <x v="0"/>
  </r>
  <r>
    <s v="NBT-35757-542"/>
    <x v="361"/>
    <s v="73647-66148-VM"/>
    <s v="E-L-0.2"/>
    <n v="3"/>
    <x v="507"/>
    <s v="bmundenf8@elpais.com"/>
    <x v="0"/>
    <s v="Exc"/>
    <s v="L"/>
    <x v="3"/>
    <n v="4.455"/>
    <n v="13.365"/>
    <x v="1"/>
    <x v="1"/>
    <x v="0"/>
  </r>
  <r>
    <s v="OYU-25085-528"/>
    <x v="120"/>
    <s v="10142-55267-YO"/>
    <s v="E-L-0.2"/>
    <n v="4"/>
    <x v="506"/>
    <s v="wlightollersf9@baidu.com"/>
    <x v="0"/>
    <s v="Exc"/>
    <s v="L"/>
    <x v="3"/>
    <n v="4.455"/>
    <n v="17.82"/>
    <x v="1"/>
    <x v="1"/>
    <x v="0"/>
  </r>
  <r>
    <s v="XCG-07109-195"/>
    <x v="430"/>
    <s v="92976-19453-DT"/>
    <s v="L-D-0.2"/>
    <n v="6"/>
    <x v="508"/>
    <s v="nbrakespearfa@rediff.com"/>
    <x v="0"/>
    <s v="Lib"/>
    <s v="D"/>
    <x v="3"/>
    <n v="3.885"/>
    <n v="23.31"/>
    <x v="3"/>
    <x v="2"/>
    <x v="0"/>
  </r>
  <r>
    <s v="YZA-25234-630"/>
    <x v="125"/>
    <s v="89757-51438-HX"/>
    <s v="E-D-0.2"/>
    <n v="2"/>
    <x v="509"/>
    <s v="mglawsopfb@reverbnation.com"/>
    <x v="0"/>
    <s v="Exc"/>
    <s v="D"/>
    <x v="3"/>
    <n v="3.645"/>
    <n v="7.29"/>
    <x v="1"/>
    <x v="2"/>
    <x v="1"/>
  </r>
  <r>
    <s v="OKU-29966-417"/>
    <x v="431"/>
    <s v="76192-13390-HZ"/>
    <s v="E-L-0.2"/>
    <n v="4"/>
    <x v="510"/>
    <s v="galbertsfc@etsy.com"/>
    <x v="2"/>
    <s v="Exc"/>
    <s v="L"/>
    <x v="3"/>
    <n v="4.455"/>
    <n v="17.82"/>
    <x v="1"/>
    <x v="1"/>
    <x v="0"/>
  </r>
  <r>
    <s v="MEX-29350-659"/>
    <x v="40"/>
    <s v="02009-87294-SY"/>
    <s v="E-M-1"/>
    <n v="5"/>
    <x v="511"/>
    <s v="vpolglasefd@about.me"/>
    <x v="0"/>
    <s v="Exc"/>
    <s v="M"/>
    <x v="0"/>
    <n v="13.75"/>
    <n v="68.75"/>
    <x v="1"/>
    <x v="0"/>
    <x v="1"/>
  </r>
  <r>
    <s v="NOY-99738-977"/>
    <x v="432"/>
    <s v="82872-34456-LJ"/>
    <s v="R-L-2.5"/>
    <n v="2"/>
    <x v="512"/>
    <s v=""/>
    <x v="2"/>
    <s v="Rob"/>
    <s v="L"/>
    <x v="2"/>
    <n v="27.485"/>
    <n v="54.96999999999999"/>
    <x v="0"/>
    <x v="1"/>
    <x v="0"/>
  </r>
  <r>
    <s v="TCR-01064-030"/>
    <x v="254"/>
    <s v="13181-04387-LI"/>
    <s v="E-M-1"/>
    <n v="6"/>
    <x v="513"/>
    <s v="sbuschff@so-net.ne.jp"/>
    <x v="1"/>
    <s v="Exc"/>
    <s v="M"/>
    <x v="0"/>
    <n v="13.75"/>
    <n v="82.5"/>
    <x v="1"/>
    <x v="0"/>
    <x v="1"/>
  </r>
  <r>
    <s v="YUL-42750-776"/>
    <x v="219"/>
    <s v="24845-36117-TI"/>
    <s v="L-M-0.2"/>
    <n v="2"/>
    <x v="514"/>
    <s v="craisbeckfg@webnode.com"/>
    <x v="0"/>
    <s v="Lib"/>
    <s v="M"/>
    <x v="3"/>
    <n v="4.365"/>
    <n v="8.73"/>
    <x v="3"/>
    <x v="0"/>
    <x v="0"/>
  </r>
  <r>
    <s v="XQJ-86887-506"/>
    <x v="433"/>
    <s v="66458-91190-YC"/>
    <s v="E-L-1"/>
    <n v="4"/>
    <x v="464"/>
    <s v="murione5@alexa.com"/>
    <x v="1"/>
    <s v="Exc"/>
    <s v="L"/>
    <x v="0"/>
    <n v="14.85"/>
    <n v="59.4"/>
    <x v="1"/>
    <x v="1"/>
    <x v="0"/>
  </r>
  <r>
    <s v="CUN-90044-279"/>
    <x v="434"/>
    <s v="86646-65810-TD"/>
    <s v="L-D-0.2"/>
    <n v="4"/>
    <x v="515"/>
    <s v=""/>
    <x v="0"/>
    <s v="Lib"/>
    <s v="D"/>
    <x v="3"/>
    <n v="3.885"/>
    <n v="15.54"/>
    <x v="3"/>
    <x v="2"/>
    <x v="0"/>
  </r>
  <r>
    <s v="ICC-73030-502"/>
    <x v="435"/>
    <s v="59480-02795-IU"/>
    <s v="A-L-1"/>
    <n v="3"/>
    <x v="516"/>
    <s v="raynoldfj@ustream.tv"/>
    <x v="0"/>
    <s v="Ara"/>
    <s v="L"/>
    <x v="0"/>
    <n v="12.95"/>
    <n v="38.84999999999999"/>
    <x v="2"/>
    <x v="1"/>
    <x v="0"/>
  </r>
  <r>
    <s v="ADP-04506-084"/>
    <x v="436"/>
    <s v="61809-87758-LJ"/>
    <s v="E-M-2.5"/>
    <n v="6"/>
    <x v="517"/>
    <s v=""/>
    <x v="0"/>
    <s v="Exc"/>
    <s v="M"/>
    <x v="2"/>
    <n v="31.625"/>
    <n v="189.75"/>
    <x v="1"/>
    <x v="0"/>
    <x v="0"/>
  </r>
  <r>
    <s v="PNU-22150-408"/>
    <x v="437"/>
    <s v="77408-43873-RS"/>
    <s v="A-D-0.2"/>
    <n v="6"/>
    <x v="518"/>
    <s v=""/>
    <x v="1"/>
    <s v="Ara"/>
    <s v="D"/>
    <x v="3"/>
    <n v="2.985"/>
    <n v="17.91"/>
    <x v="2"/>
    <x v="2"/>
    <x v="0"/>
  </r>
  <r>
    <s v="VSQ-07182-513"/>
    <x v="438"/>
    <s v="18366-65239-WF"/>
    <s v="L-L-0.2"/>
    <n v="6"/>
    <x v="519"/>
    <s v="bgrecefm@naver.com"/>
    <x v="2"/>
    <s v="Lib"/>
    <s v="L"/>
    <x v="3"/>
    <n v="4.755"/>
    <n v="28.53"/>
    <x v="3"/>
    <x v="1"/>
    <x v="1"/>
  </r>
  <r>
    <s v="SPF-31673-217"/>
    <x v="439"/>
    <s v="19485-98072-PS"/>
    <s v="E-M-1"/>
    <n v="6"/>
    <x v="520"/>
    <s v="dflintiffg1@e-recht24.de"/>
    <x v="2"/>
    <s v="Exc"/>
    <s v="M"/>
    <x v="0"/>
    <n v="13.75"/>
    <n v="82.5"/>
    <x v="1"/>
    <x v="0"/>
    <x v="1"/>
  </r>
  <r>
    <s v="NEX-63825-598"/>
    <x v="175"/>
    <s v="72072-33025-SD"/>
    <s v="R-L-0.5"/>
    <n v="2"/>
    <x v="521"/>
    <s v="athysfo@cdc.gov"/>
    <x v="0"/>
    <s v="Rob"/>
    <s v="L"/>
    <x v="1"/>
    <n v="7.169999999999999"/>
    <n v="14.34"/>
    <x v="0"/>
    <x v="1"/>
    <x v="1"/>
  </r>
  <r>
    <s v="XPG-66112-335"/>
    <x v="440"/>
    <s v="58118-22461-GC"/>
    <s v="R-D-2.5"/>
    <n v="4"/>
    <x v="522"/>
    <s v="jchuggfp@about.me"/>
    <x v="0"/>
    <s v="Rob"/>
    <s v="D"/>
    <x v="2"/>
    <n v="20.585"/>
    <n v="82.33999999999999"/>
    <x v="0"/>
    <x v="2"/>
    <x v="1"/>
  </r>
  <r>
    <s v="NSQ-72210-345"/>
    <x v="441"/>
    <s v="90940-63327-DJ"/>
    <s v="A-M-0.2"/>
    <n v="6"/>
    <x v="523"/>
    <s v="akelstonfq@sakura.ne.jp"/>
    <x v="0"/>
    <s v="Ara"/>
    <s v="M"/>
    <x v="3"/>
    <n v="3.375"/>
    <n v="20.25"/>
    <x v="2"/>
    <x v="0"/>
    <x v="0"/>
  </r>
  <r>
    <s v="XRR-28376-277"/>
    <x v="442"/>
    <s v="64481-42546-II"/>
    <s v="R-L-2.5"/>
    <n v="6"/>
    <x v="524"/>
    <s v=""/>
    <x v="1"/>
    <s v="Rob"/>
    <s v="L"/>
    <x v="2"/>
    <n v="27.485"/>
    <n v="164.91"/>
    <x v="0"/>
    <x v="1"/>
    <x v="1"/>
  </r>
  <r>
    <s v="WHQ-25197-475"/>
    <x v="443"/>
    <s v="27536-28463-NJ"/>
    <s v="L-L-0.2"/>
    <n v="4"/>
    <x v="525"/>
    <s v="cmottramfs@harvard.edu"/>
    <x v="0"/>
    <s v="Lib"/>
    <s v="L"/>
    <x v="3"/>
    <n v="4.755"/>
    <n v="19.02"/>
    <x v="3"/>
    <x v="1"/>
    <x v="0"/>
  </r>
  <r>
    <s v="HMB-30634-745"/>
    <x v="216"/>
    <s v="19485-98072-PS"/>
    <s v="A-D-2.5"/>
    <n v="6"/>
    <x v="520"/>
    <s v="dflintiffg1@e-recht24.de"/>
    <x v="2"/>
    <s v="Ara"/>
    <s v="D"/>
    <x v="2"/>
    <n v="22.885"/>
    <n v="137.31"/>
    <x v="2"/>
    <x v="2"/>
    <x v="1"/>
  </r>
  <r>
    <s v="XTL-68000-371"/>
    <x v="444"/>
    <s v="70140-82812-KD"/>
    <s v="A-M-0.5"/>
    <n v="4"/>
    <x v="526"/>
    <s v="dsangwinfu@weebly.com"/>
    <x v="0"/>
    <s v="Ara"/>
    <s v="M"/>
    <x v="1"/>
    <n v="6.75"/>
    <n v="27"/>
    <x v="2"/>
    <x v="0"/>
    <x v="1"/>
  </r>
  <r>
    <s v="YES-51109-625"/>
    <x v="37"/>
    <s v="91895-55605-LS"/>
    <s v="E-L-0.5"/>
    <n v="4"/>
    <x v="527"/>
    <s v="eaizikowitzfv@virginia.edu"/>
    <x v="2"/>
    <s v="Exc"/>
    <s v="L"/>
    <x v="1"/>
    <n v="8.91"/>
    <n v="35.64"/>
    <x v="1"/>
    <x v="1"/>
    <x v="1"/>
  </r>
  <r>
    <s v="EAY-89850-211"/>
    <x v="445"/>
    <s v="43155-71724-XP"/>
    <s v="A-D-0.2"/>
    <n v="2"/>
    <x v="528"/>
    <s v=""/>
    <x v="0"/>
    <s v="Ara"/>
    <s v="D"/>
    <x v="3"/>
    <n v="2.985"/>
    <n v="5.97"/>
    <x v="2"/>
    <x v="2"/>
    <x v="0"/>
  </r>
  <r>
    <s v="IOQ-84840-827"/>
    <x v="446"/>
    <s v="32038-81174-JF"/>
    <s v="A-M-1"/>
    <n v="6"/>
    <x v="529"/>
    <s v="cvenourfx@ask.com"/>
    <x v="0"/>
    <s v="Ara"/>
    <s v="M"/>
    <x v="0"/>
    <n v="11.25"/>
    <n v="67.5"/>
    <x v="2"/>
    <x v="0"/>
    <x v="1"/>
  </r>
  <r>
    <s v="FBD-56220-430"/>
    <x v="245"/>
    <s v="59205-20324-NB"/>
    <s v="R-L-0.2"/>
    <n v="6"/>
    <x v="530"/>
    <s v="mharbyfy@163.com"/>
    <x v="0"/>
    <s v="Rob"/>
    <s v="L"/>
    <x v="3"/>
    <n v="3.585"/>
    <n v="21.51"/>
    <x v="0"/>
    <x v="1"/>
    <x v="0"/>
  </r>
  <r>
    <s v="COV-52659-202"/>
    <x v="447"/>
    <s v="99899-54612-NX"/>
    <s v="L-M-2.5"/>
    <n v="2"/>
    <x v="531"/>
    <s v="rthickpennyfz@cafepress.com"/>
    <x v="0"/>
    <s v="Lib"/>
    <s v="M"/>
    <x v="2"/>
    <n v="33.465"/>
    <n v="66.92999999999999"/>
    <x v="3"/>
    <x v="0"/>
    <x v="1"/>
  </r>
  <r>
    <s v="YUO-76652-814"/>
    <x v="448"/>
    <s v="26248-84194-FI"/>
    <s v="A-D-0.2"/>
    <n v="6"/>
    <x v="532"/>
    <s v="pormerodg0@redcross.org"/>
    <x v="0"/>
    <s v="Ara"/>
    <s v="D"/>
    <x v="3"/>
    <n v="2.985"/>
    <n v="17.91"/>
    <x v="2"/>
    <x v="2"/>
    <x v="1"/>
  </r>
  <r>
    <s v="PBT-36926-102"/>
    <x v="344"/>
    <s v="19485-98072-PS"/>
    <s v="L-M-1"/>
    <n v="4"/>
    <x v="520"/>
    <s v="dflintiffg1@e-recht24.de"/>
    <x v="2"/>
    <s v="Lib"/>
    <s v="M"/>
    <x v="0"/>
    <n v="14.55"/>
    <n v="58.2"/>
    <x v="3"/>
    <x v="0"/>
    <x v="1"/>
  </r>
  <r>
    <s v="BLV-60087-454"/>
    <x v="152"/>
    <s v="84493-71314-WX"/>
    <s v="E-L-0.2"/>
    <n v="3"/>
    <x v="533"/>
    <s v="tzanettig2@gravatar.com"/>
    <x v="1"/>
    <s v="Exc"/>
    <s v="L"/>
    <x v="3"/>
    <n v="4.455"/>
    <n v="13.365"/>
    <x v="1"/>
    <x v="1"/>
    <x v="1"/>
  </r>
  <r>
    <s v="BLV-60087-454"/>
    <x v="152"/>
    <s v="84493-71314-WX"/>
    <s v="A-M-0.5"/>
    <n v="5"/>
    <x v="533"/>
    <s v="tzanettig2@gravatar.com"/>
    <x v="1"/>
    <s v="Ara"/>
    <s v="M"/>
    <x v="1"/>
    <n v="6.75"/>
    <n v="33.75"/>
    <x v="2"/>
    <x v="0"/>
    <x v="1"/>
  </r>
  <r>
    <s v="QYC-63914-195"/>
    <x v="449"/>
    <s v="39789-43945-IV"/>
    <s v="E-L-1"/>
    <n v="3"/>
    <x v="534"/>
    <s v="rkirtleyg4@hatena.ne.jp"/>
    <x v="0"/>
    <s v="Exc"/>
    <s v="L"/>
    <x v="0"/>
    <n v="14.85"/>
    <n v="44.55"/>
    <x v="1"/>
    <x v="1"/>
    <x v="0"/>
  </r>
  <r>
    <s v="OIB-77163-890"/>
    <x v="450"/>
    <s v="38972-89678-ZM"/>
    <s v="E-L-0.5"/>
    <n v="5"/>
    <x v="535"/>
    <s v="cclemencetg5@weather.com"/>
    <x v="2"/>
    <s v="Exc"/>
    <s v="L"/>
    <x v="1"/>
    <n v="8.91"/>
    <n v="44.55"/>
    <x v="1"/>
    <x v="1"/>
    <x v="0"/>
  </r>
  <r>
    <s v="SGS-87525-238"/>
    <x v="451"/>
    <s v="91465-84526-IJ"/>
    <s v="E-D-1"/>
    <n v="5"/>
    <x v="536"/>
    <s v="rdonetg6@oakley.com"/>
    <x v="0"/>
    <s v="Exc"/>
    <s v="D"/>
    <x v="0"/>
    <n v="12.15"/>
    <n v="60.75"/>
    <x v="1"/>
    <x v="2"/>
    <x v="1"/>
  </r>
  <r>
    <s v="GQR-12490-152"/>
    <x v="83"/>
    <s v="22832-98538-RB"/>
    <s v="R-L-0.2"/>
    <n v="1"/>
    <x v="537"/>
    <s v="sgaweng7@creativecommons.org"/>
    <x v="0"/>
    <s v="Rob"/>
    <s v="L"/>
    <x v="3"/>
    <n v="3.585"/>
    <n v="3.585"/>
    <x v="0"/>
    <x v="1"/>
    <x v="0"/>
  </r>
  <r>
    <s v="UOJ-28238-299"/>
    <x v="452"/>
    <s v="30844-91890-ZA"/>
    <s v="R-L-0.2"/>
    <n v="6"/>
    <x v="538"/>
    <s v="rreadieg8@guardian.co.uk"/>
    <x v="0"/>
    <s v="Rob"/>
    <s v="L"/>
    <x v="3"/>
    <n v="3.585"/>
    <n v="21.51"/>
    <x v="0"/>
    <x v="1"/>
    <x v="1"/>
  </r>
  <r>
    <s v="ETD-58130-674"/>
    <x v="453"/>
    <s v="05325-97750-WP"/>
    <s v="E-M-0.5"/>
    <n v="2"/>
    <x v="539"/>
    <s v="cverissimogh@theglobeandmail.com"/>
    <x v="2"/>
    <s v="Exc"/>
    <s v="M"/>
    <x v="1"/>
    <n v="8.25"/>
    <n v="16.5"/>
    <x v="1"/>
    <x v="0"/>
    <x v="0"/>
  </r>
  <r>
    <s v="UPF-60123-025"/>
    <x v="454"/>
    <s v="88992-49081-AT"/>
    <s v="R-L-2.5"/>
    <n v="3"/>
    <x v="540"/>
    <s v=""/>
    <x v="0"/>
    <s v="Rob"/>
    <s v="L"/>
    <x v="2"/>
    <n v="27.485"/>
    <n v="82.45499999999998"/>
    <x v="0"/>
    <x v="1"/>
    <x v="1"/>
  </r>
  <r>
    <s v="NQS-01613-687"/>
    <x v="455"/>
    <s v="10204-31464-SA"/>
    <s v="L-D-0.5"/>
    <n v="1"/>
    <x v="541"/>
    <s v="bogb@elpais.com"/>
    <x v="0"/>
    <s v="Lib"/>
    <s v="D"/>
    <x v="1"/>
    <n v="7.77"/>
    <n v="7.77"/>
    <x v="3"/>
    <x v="2"/>
    <x v="0"/>
  </r>
  <r>
    <s v="MGH-36050-573"/>
    <x v="456"/>
    <s v="75156-80911-YT"/>
    <s v="R-M-0.5"/>
    <n v="2"/>
    <x v="542"/>
    <s v="vstansburygc@unblog.fr"/>
    <x v="0"/>
    <s v="Rob"/>
    <s v="M"/>
    <x v="1"/>
    <n v="5.97"/>
    <n v="11.94"/>
    <x v="0"/>
    <x v="0"/>
    <x v="0"/>
  </r>
  <r>
    <s v="UVF-59322-459"/>
    <x v="373"/>
    <s v="53971-49906-PZ"/>
    <s v="E-L-2.5"/>
    <n v="6"/>
    <x v="543"/>
    <s v="dheinonengd@printfriendly.com"/>
    <x v="0"/>
    <s v="Exc"/>
    <s v="L"/>
    <x v="2"/>
    <n v="34.15499999999999"/>
    <n v="204.9299999999999"/>
    <x v="1"/>
    <x v="1"/>
    <x v="1"/>
  </r>
  <r>
    <s v="VET-41158-896"/>
    <x v="457"/>
    <s v="10728-17633-ST"/>
    <s v="E-M-2.5"/>
    <n v="2"/>
    <x v="544"/>
    <s v="jshentonge@google.com.hk"/>
    <x v="0"/>
    <s v="Exc"/>
    <s v="M"/>
    <x v="2"/>
    <n v="31.625"/>
    <n v="63.24999999999999"/>
    <x v="1"/>
    <x v="0"/>
    <x v="0"/>
  </r>
  <r>
    <s v="XYL-52196-459"/>
    <x v="458"/>
    <s v="13549-65017-VE"/>
    <s v="R-D-0.2"/>
    <n v="3"/>
    <x v="545"/>
    <s v="jwilkissongf@nba.com"/>
    <x v="0"/>
    <s v="Rob"/>
    <s v="D"/>
    <x v="3"/>
    <n v="2.685"/>
    <n v="8.055"/>
    <x v="0"/>
    <x v="2"/>
    <x v="0"/>
  </r>
  <r>
    <s v="BPZ-51283-916"/>
    <x v="264"/>
    <s v="87688-42420-TO"/>
    <s v="A-M-2.5"/>
    <n v="2"/>
    <x v="546"/>
    <s v=""/>
    <x v="0"/>
    <s v="Ara"/>
    <s v="M"/>
    <x v="2"/>
    <n v="25.875"/>
    <n v="51.74999999999999"/>
    <x v="2"/>
    <x v="0"/>
    <x v="1"/>
  </r>
  <r>
    <s v="VQW-91903-926"/>
    <x v="459"/>
    <s v="05325-97750-WP"/>
    <s v="E-D-2.5"/>
    <n v="1"/>
    <x v="539"/>
    <s v="cverissimogh@theglobeandmail.com"/>
    <x v="2"/>
    <s v="Exc"/>
    <s v="D"/>
    <x v="2"/>
    <n v="27.945"/>
    <n v="27.945"/>
    <x v="1"/>
    <x v="2"/>
    <x v="0"/>
  </r>
  <r>
    <s v="OLF-77983-457"/>
    <x v="460"/>
    <s v="51901-35210-UI"/>
    <s v="A-L-2.5"/>
    <n v="2"/>
    <x v="547"/>
    <s v="gstarcksgi@abc.net.au"/>
    <x v="0"/>
    <s v="Ara"/>
    <s v="L"/>
    <x v="2"/>
    <n v="29.785"/>
    <n v="59.56999999999999"/>
    <x v="2"/>
    <x v="1"/>
    <x v="1"/>
  </r>
  <r>
    <s v="MVI-04946-827"/>
    <x v="461"/>
    <s v="62483-50867-OM"/>
    <s v="E-L-1"/>
    <n v="1"/>
    <x v="548"/>
    <s v=""/>
    <x v="2"/>
    <s v="Exc"/>
    <s v="L"/>
    <x v="0"/>
    <n v="14.85"/>
    <n v="14.85"/>
    <x v="1"/>
    <x v="1"/>
    <x v="1"/>
  </r>
  <r>
    <s v="UOG-94188-104"/>
    <x v="219"/>
    <s v="92753-50029-SD"/>
    <s v="A-M-0.5"/>
    <n v="5"/>
    <x v="549"/>
    <s v="kscholardgk@sbwire.com"/>
    <x v="0"/>
    <s v="Ara"/>
    <s v="M"/>
    <x v="1"/>
    <n v="6.75"/>
    <n v="33.75"/>
    <x v="2"/>
    <x v="0"/>
    <x v="1"/>
  </r>
  <r>
    <s v="DSN-15872-519"/>
    <x v="462"/>
    <s v="53809-98498-SN"/>
    <s v="L-L-2.5"/>
    <n v="4"/>
    <x v="550"/>
    <s v="bkindleygl@wikimedia.org"/>
    <x v="0"/>
    <s v="Lib"/>
    <s v="L"/>
    <x v="2"/>
    <n v="36.455"/>
    <n v="145.82"/>
    <x v="3"/>
    <x v="1"/>
    <x v="0"/>
  </r>
  <r>
    <s v="OUQ-73954-002"/>
    <x v="463"/>
    <s v="66308-13503-KD"/>
    <s v="R-M-0.2"/>
    <n v="4"/>
    <x v="551"/>
    <s v="khammettgm@dmoz.org"/>
    <x v="0"/>
    <s v="Rob"/>
    <s v="M"/>
    <x v="3"/>
    <n v="2.985"/>
    <n v="11.94"/>
    <x v="0"/>
    <x v="0"/>
    <x v="0"/>
  </r>
  <r>
    <s v="LGL-16843-667"/>
    <x v="464"/>
    <s v="82458-87830-JE"/>
    <s v="A-D-0.2"/>
    <n v="4"/>
    <x v="552"/>
    <s v="ahulburtgn@fda.gov"/>
    <x v="0"/>
    <s v="Ara"/>
    <s v="D"/>
    <x v="3"/>
    <n v="2.985"/>
    <n v="11.94"/>
    <x v="2"/>
    <x v="2"/>
    <x v="0"/>
  </r>
  <r>
    <s v="TCC-89722-031"/>
    <x v="465"/>
    <s v="41611-34336-WT"/>
    <s v="L-D-0.5"/>
    <n v="1"/>
    <x v="553"/>
    <s v="plauritzengo@photobucket.com"/>
    <x v="0"/>
    <s v="Lib"/>
    <s v="D"/>
    <x v="1"/>
    <n v="7.77"/>
    <n v="7.77"/>
    <x v="3"/>
    <x v="2"/>
    <x v="1"/>
  </r>
  <r>
    <s v="TRA-79507-007"/>
    <x v="466"/>
    <s v="70089-27418-UJ"/>
    <s v="R-L-2.5"/>
    <n v="4"/>
    <x v="554"/>
    <s v="aburgwingp@redcross.org"/>
    <x v="0"/>
    <s v="Rob"/>
    <s v="L"/>
    <x v="2"/>
    <n v="27.485"/>
    <n v="109.94"/>
    <x v="0"/>
    <x v="1"/>
    <x v="0"/>
  </r>
  <r>
    <s v="MZJ-77284-941"/>
    <x v="467"/>
    <s v="99978-56910-BN"/>
    <s v="E-L-0.2"/>
    <n v="5"/>
    <x v="555"/>
    <s v="erolingq@google.fr"/>
    <x v="0"/>
    <s v="Exc"/>
    <s v="L"/>
    <x v="3"/>
    <n v="4.455"/>
    <n v="22.275"/>
    <x v="1"/>
    <x v="1"/>
    <x v="0"/>
  </r>
  <r>
    <s v="AXN-57779-891"/>
    <x v="468"/>
    <s v="09668-23340-IC"/>
    <s v="R-M-0.2"/>
    <n v="3"/>
    <x v="556"/>
    <s v="dfowlegr@epa.gov"/>
    <x v="0"/>
    <s v="Rob"/>
    <s v="M"/>
    <x v="3"/>
    <n v="2.985"/>
    <n v="8.955"/>
    <x v="0"/>
    <x v="0"/>
    <x v="1"/>
  </r>
  <r>
    <s v="PJB-15659-994"/>
    <x v="469"/>
    <s v="39457-62611-YK"/>
    <s v="L-D-2.5"/>
    <n v="4"/>
    <x v="557"/>
    <s v=""/>
    <x v="1"/>
    <s v="Lib"/>
    <s v="D"/>
    <x v="2"/>
    <n v="29.785"/>
    <n v="119.14"/>
    <x v="3"/>
    <x v="2"/>
    <x v="1"/>
  </r>
  <r>
    <s v="LTS-03470-353"/>
    <x v="470"/>
    <s v="90985-89807-RW"/>
    <s v="A-L-2.5"/>
    <n v="5"/>
    <x v="558"/>
    <s v="wpowleslandgt@soundcloud.com"/>
    <x v="0"/>
    <s v="Ara"/>
    <s v="L"/>
    <x v="2"/>
    <n v="29.785"/>
    <n v="148.925"/>
    <x v="2"/>
    <x v="1"/>
    <x v="0"/>
  </r>
  <r>
    <s v="UMM-28497-689"/>
    <x v="471"/>
    <s v="05325-97750-WP"/>
    <s v="L-L-2.5"/>
    <n v="3"/>
    <x v="539"/>
    <s v="cverissimogh@theglobeandmail.com"/>
    <x v="2"/>
    <s v="Lib"/>
    <s v="L"/>
    <x v="2"/>
    <n v="36.455"/>
    <n v="109.365"/>
    <x v="3"/>
    <x v="1"/>
    <x v="0"/>
  </r>
  <r>
    <s v="MJZ-93232-402"/>
    <x v="472"/>
    <s v="17816-67941-ZS"/>
    <s v="E-D-0.2"/>
    <n v="1"/>
    <x v="559"/>
    <s v="lellinghamgv@sciencedaily.com"/>
    <x v="0"/>
    <s v="Exc"/>
    <s v="D"/>
    <x v="3"/>
    <n v="3.645"/>
    <n v="3.645"/>
    <x v="1"/>
    <x v="2"/>
    <x v="0"/>
  </r>
  <r>
    <s v="UHW-74617-126"/>
    <x v="173"/>
    <s v="90816-65619-LM"/>
    <s v="E-D-2.5"/>
    <n v="2"/>
    <x v="560"/>
    <s v=""/>
    <x v="0"/>
    <s v="Exc"/>
    <s v="D"/>
    <x v="2"/>
    <n v="27.945"/>
    <n v="55.89"/>
    <x v="1"/>
    <x v="2"/>
    <x v="1"/>
  </r>
  <r>
    <s v="RIK-61730-794"/>
    <x v="473"/>
    <s v="69761-61146-KD"/>
    <s v="L-M-0.2"/>
    <n v="6"/>
    <x v="561"/>
    <s v="afendtgx@forbes.com"/>
    <x v="0"/>
    <s v="Lib"/>
    <s v="M"/>
    <x v="3"/>
    <n v="4.365"/>
    <n v="26.19"/>
    <x v="3"/>
    <x v="0"/>
    <x v="0"/>
  </r>
  <r>
    <s v="IDJ-55379-750"/>
    <x v="474"/>
    <s v="24040-20817-QB"/>
    <s v="R-M-1"/>
    <n v="4"/>
    <x v="562"/>
    <s v="acleyburngy@lycos.com"/>
    <x v="0"/>
    <s v="Rob"/>
    <s v="M"/>
    <x v="0"/>
    <n v="9.949999999999999"/>
    <n v="39.8"/>
    <x v="0"/>
    <x v="0"/>
    <x v="1"/>
  </r>
  <r>
    <s v="OHX-11953-965"/>
    <x v="475"/>
    <s v="19524-21432-XP"/>
    <s v="E-L-2.5"/>
    <n v="2"/>
    <x v="563"/>
    <s v="tcastiglionegz@xing.com"/>
    <x v="0"/>
    <s v="Exc"/>
    <s v="L"/>
    <x v="2"/>
    <n v="34.15499999999999"/>
    <n v="68.30999999999999"/>
    <x v="1"/>
    <x v="1"/>
    <x v="1"/>
  </r>
  <r>
    <s v="TVV-42245-088"/>
    <x v="476"/>
    <s v="14398-43114-RV"/>
    <s v="A-M-0.2"/>
    <n v="4"/>
    <x v="564"/>
    <s v=""/>
    <x v="1"/>
    <s v="Ara"/>
    <s v="M"/>
    <x v="3"/>
    <n v="3.375"/>
    <n v="13.5"/>
    <x v="2"/>
    <x v="0"/>
    <x v="1"/>
  </r>
  <r>
    <s v="DYP-74337-787"/>
    <x v="431"/>
    <s v="41486-52502-QQ"/>
    <s v="R-M-0.5"/>
    <n v="1"/>
    <x v="565"/>
    <s v=""/>
    <x v="0"/>
    <s v="Rob"/>
    <s v="M"/>
    <x v="1"/>
    <n v="5.97"/>
    <n v="5.97"/>
    <x v="0"/>
    <x v="0"/>
    <x v="1"/>
  </r>
  <r>
    <s v="OKA-93124-100"/>
    <x v="477"/>
    <s v="05325-97750-WP"/>
    <s v="R-M-0.5"/>
    <n v="5"/>
    <x v="539"/>
    <s v="cverissimogh@theglobeandmail.com"/>
    <x v="2"/>
    <s v="Rob"/>
    <s v="M"/>
    <x v="1"/>
    <n v="5.97"/>
    <n v="29.85"/>
    <x v="0"/>
    <x v="0"/>
    <x v="0"/>
  </r>
  <r>
    <s v="IXW-20780-268"/>
    <x v="478"/>
    <s v="20236-64364-QL"/>
    <s v="L-L-2.5"/>
    <n v="2"/>
    <x v="566"/>
    <s v="scouronneh3@mozilla.org"/>
    <x v="0"/>
    <s v="Lib"/>
    <s v="L"/>
    <x v="2"/>
    <n v="36.455"/>
    <n v="72.91"/>
    <x v="3"/>
    <x v="1"/>
    <x v="0"/>
  </r>
  <r>
    <s v="NGG-24006-937"/>
    <x v="45"/>
    <s v="29102-40100-TZ"/>
    <s v="E-M-2.5"/>
    <n v="4"/>
    <x v="567"/>
    <s v="lflippellih4@github.io"/>
    <x v="2"/>
    <s v="Exc"/>
    <s v="M"/>
    <x v="2"/>
    <n v="31.625"/>
    <n v="126.5"/>
    <x v="1"/>
    <x v="0"/>
    <x v="1"/>
  </r>
  <r>
    <s v="JZC-31180-557"/>
    <x v="444"/>
    <s v="09171-42203-EB"/>
    <s v="L-M-2.5"/>
    <n v="1"/>
    <x v="568"/>
    <s v="relizabethh5@live.com"/>
    <x v="0"/>
    <s v="Lib"/>
    <s v="M"/>
    <x v="2"/>
    <n v="33.465"/>
    <n v="33.465"/>
    <x v="3"/>
    <x v="0"/>
    <x v="1"/>
  </r>
  <r>
    <s v="ZMU-63715-204"/>
    <x v="479"/>
    <s v="29060-75856-UI"/>
    <s v="E-D-1"/>
    <n v="6"/>
    <x v="569"/>
    <s v="irenhardh6@i2i.jp"/>
    <x v="0"/>
    <s v="Exc"/>
    <s v="D"/>
    <x v="0"/>
    <n v="12.15"/>
    <n v="72.90000000000001"/>
    <x v="1"/>
    <x v="2"/>
    <x v="0"/>
  </r>
  <r>
    <s v="GND-08192-056"/>
    <x v="480"/>
    <s v="17088-16989-PL"/>
    <s v="L-D-0.5"/>
    <n v="2"/>
    <x v="570"/>
    <s v="wrocheh7@xinhuanet.com"/>
    <x v="0"/>
    <s v="Lib"/>
    <s v="D"/>
    <x v="1"/>
    <n v="7.77"/>
    <n v="15.54"/>
    <x v="3"/>
    <x v="2"/>
    <x v="0"/>
  </r>
  <r>
    <s v="RYY-38961-093"/>
    <x v="481"/>
    <s v="14756-18321-CL"/>
    <s v="A-M-0.2"/>
    <n v="6"/>
    <x v="571"/>
    <s v="lalawayhh@weather.com"/>
    <x v="0"/>
    <s v="Ara"/>
    <s v="M"/>
    <x v="3"/>
    <n v="3.375"/>
    <n v="20.25"/>
    <x v="2"/>
    <x v="0"/>
    <x v="1"/>
  </r>
  <r>
    <s v="CVA-64996-969"/>
    <x v="478"/>
    <s v="13324-78688-MI"/>
    <s v="A-L-1"/>
    <n v="6"/>
    <x v="572"/>
    <s v="codgaardh9@nsw.gov.au"/>
    <x v="0"/>
    <s v="Ara"/>
    <s v="L"/>
    <x v="0"/>
    <n v="12.95"/>
    <n v="77.69999999999999"/>
    <x v="2"/>
    <x v="1"/>
    <x v="1"/>
  </r>
  <r>
    <s v="XTH-67276-442"/>
    <x v="482"/>
    <s v="73799-04749-BM"/>
    <s v="L-M-2.5"/>
    <n v="4"/>
    <x v="573"/>
    <s v="bbyrdha@4shared.com"/>
    <x v="0"/>
    <s v="Lib"/>
    <s v="M"/>
    <x v="2"/>
    <n v="33.465"/>
    <n v="133.86"/>
    <x v="3"/>
    <x v="0"/>
    <x v="1"/>
  </r>
  <r>
    <s v="PVU-02950-470"/>
    <x v="353"/>
    <s v="01927-46702-YT"/>
    <s v="E-D-1"/>
    <n v="1"/>
    <x v="574"/>
    <s v=""/>
    <x v="2"/>
    <s v="Exc"/>
    <s v="D"/>
    <x v="0"/>
    <n v="12.15"/>
    <n v="12.15"/>
    <x v="1"/>
    <x v="2"/>
    <x v="1"/>
  </r>
  <r>
    <s v="XSN-26809-910"/>
    <x v="199"/>
    <s v="80467-17137-TO"/>
    <s v="E-M-2.5"/>
    <n v="2"/>
    <x v="575"/>
    <s v="dchardinhc@nhs.uk"/>
    <x v="1"/>
    <s v="Exc"/>
    <s v="M"/>
    <x v="2"/>
    <n v="31.625"/>
    <n v="63.24999999999999"/>
    <x v="1"/>
    <x v="0"/>
    <x v="0"/>
  </r>
  <r>
    <s v="UDN-88321-005"/>
    <x v="372"/>
    <s v="14640-87215-BK"/>
    <s v="R-L-0.5"/>
    <n v="5"/>
    <x v="576"/>
    <s v="hradbonehd@newsvine.com"/>
    <x v="0"/>
    <s v="Rob"/>
    <s v="L"/>
    <x v="1"/>
    <n v="7.169999999999999"/>
    <n v="35.84999999999999"/>
    <x v="0"/>
    <x v="1"/>
    <x v="1"/>
  </r>
  <r>
    <s v="EXP-21628-670"/>
    <x v="267"/>
    <s v="94447-35885-HK"/>
    <s v="A-M-2.5"/>
    <n v="3"/>
    <x v="577"/>
    <s v="wbernthhe@miitbeian.gov.cn"/>
    <x v="0"/>
    <s v="Ara"/>
    <s v="M"/>
    <x v="2"/>
    <n v="25.875"/>
    <n v="77.62499999999999"/>
    <x v="2"/>
    <x v="0"/>
    <x v="1"/>
  </r>
  <r>
    <s v="VGM-24161-361"/>
    <x v="480"/>
    <s v="71034-49694-CS"/>
    <s v="E-M-2.5"/>
    <n v="2"/>
    <x v="578"/>
    <s v="bacarsonhf@cnn.com"/>
    <x v="0"/>
    <s v="Exc"/>
    <s v="M"/>
    <x v="2"/>
    <n v="31.625"/>
    <n v="63.24999999999999"/>
    <x v="1"/>
    <x v="0"/>
    <x v="0"/>
  </r>
  <r>
    <s v="PKN-19556-918"/>
    <x v="483"/>
    <s v="00445-42781-KX"/>
    <s v="E-L-0.2"/>
    <n v="6"/>
    <x v="579"/>
    <s v="fbrighamhg@blog.com"/>
    <x v="1"/>
    <s v="Exc"/>
    <s v="L"/>
    <x v="3"/>
    <n v="4.455"/>
    <n v="26.73"/>
    <x v="1"/>
    <x v="1"/>
    <x v="0"/>
  </r>
  <r>
    <s v="PKN-19556-918"/>
    <x v="483"/>
    <s v="00445-42781-KX"/>
    <s v="L-D-0.5"/>
    <n v="4"/>
    <x v="579"/>
    <s v="fbrighamhg@blog.com"/>
    <x v="1"/>
    <s v="Lib"/>
    <s v="D"/>
    <x v="1"/>
    <n v="7.77"/>
    <n v="31.08"/>
    <x v="3"/>
    <x v="2"/>
    <x v="0"/>
  </r>
  <r>
    <s v="PKN-19556-918"/>
    <x v="483"/>
    <s v="00445-42781-KX"/>
    <s v="A-D-0.2"/>
    <n v="1"/>
    <x v="579"/>
    <s v="fbrighamhg@blog.com"/>
    <x v="1"/>
    <s v="Ara"/>
    <s v="D"/>
    <x v="3"/>
    <n v="2.985"/>
    <n v="2.985"/>
    <x v="2"/>
    <x v="2"/>
    <x v="0"/>
  </r>
  <r>
    <s v="PKN-19556-918"/>
    <x v="483"/>
    <s v="00445-42781-KX"/>
    <s v="R-D-2.5"/>
    <n v="5"/>
    <x v="579"/>
    <s v="fbrighamhg@blog.com"/>
    <x v="1"/>
    <s v="Rob"/>
    <s v="D"/>
    <x v="2"/>
    <n v="20.585"/>
    <n v="102.925"/>
    <x v="0"/>
    <x v="2"/>
    <x v="0"/>
  </r>
  <r>
    <s v="DXQ-44537-297"/>
    <x v="484"/>
    <s v="96116-24737-LV"/>
    <s v="E-L-0.5"/>
    <n v="4"/>
    <x v="580"/>
    <s v="myoxenhk@google.com"/>
    <x v="0"/>
    <s v="Exc"/>
    <s v="L"/>
    <x v="1"/>
    <n v="8.91"/>
    <n v="35.64"/>
    <x v="1"/>
    <x v="1"/>
    <x v="1"/>
  </r>
  <r>
    <s v="BPC-54727-307"/>
    <x v="485"/>
    <s v="18684-73088-YL"/>
    <s v="R-L-1"/>
    <n v="4"/>
    <x v="581"/>
    <s v="gmcgavinhl@histats.com"/>
    <x v="0"/>
    <s v="Rob"/>
    <s v="L"/>
    <x v="0"/>
    <n v="11.95"/>
    <n v="47.8"/>
    <x v="0"/>
    <x v="1"/>
    <x v="1"/>
  </r>
  <r>
    <s v="KSH-47717-456"/>
    <x v="486"/>
    <s v="74671-55639-TU"/>
    <s v="L-M-1"/>
    <n v="3"/>
    <x v="582"/>
    <s v="luttermarehm@engadget.com"/>
    <x v="0"/>
    <s v="Lib"/>
    <s v="M"/>
    <x v="0"/>
    <n v="14.55"/>
    <n v="43.65000000000001"/>
    <x v="3"/>
    <x v="0"/>
    <x v="1"/>
  </r>
  <r>
    <s v="ANK-59436-446"/>
    <x v="487"/>
    <s v="17488-65879-XL"/>
    <s v="E-L-0.5"/>
    <n v="4"/>
    <x v="583"/>
    <s v="edambrogiohn@techcrunch.com"/>
    <x v="0"/>
    <s v="Exc"/>
    <s v="L"/>
    <x v="1"/>
    <n v="8.91"/>
    <n v="35.64"/>
    <x v="1"/>
    <x v="1"/>
    <x v="0"/>
  </r>
  <r>
    <s v="AYY-83051-752"/>
    <x v="488"/>
    <s v="46431-09298-OU"/>
    <s v="L-L-1"/>
    <n v="6"/>
    <x v="584"/>
    <s v="cwinchcombeho@jiathis.com"/>
    <x v="0"/>
    <s v="Lib"/>
    <s v="L"/>
    <x v="0"/>
    <n v="15.85"/>
    <n v="95.09999999999999"/>
    <x v="3"/>
    <x v="1"/>
    <x v="0"/>
  </r>
  <r>
    <s v="CSW-59644-267"/>
    <x v="489"/>
    <s v="60378-26473-FE"/>
    <s v="E-M-2.5"/>
    <n v="1"/>
    <x v="585"/>
    <s v="bpaumierhp@umn.edu"/>
    <x v="1"/>
    <s v="Exc"/>
    <s v="M"/>
    <x v="2"/>
    <n v="31.625"/>
    <n v="31.625"/>
    <x v="1"/>
    <x v="0"/>
    <x v="0"/>
  </r>
  <r>
    <s v="ITY-92466-909"/>
    <x v="162"/>
    <s v="34927-68586-ZV"/>
    <s v="A-M-2.5"/>
    <n v="3"/>
    <x v="586"/>
    <s v=""/>
    <x v="1"/>
    <s v="Ara"/>
    <s v="M"/>
    <x v="2"/>
    <n v="25.875"/>
    <n v="77.62499999999999"/>
    <x v="2"/>
    <x v="0"/>
    <x v="0"/>
  </r>
  <r>
    <s v="IGW-04801-466"/>
    <x v="490"/>
    <s v="29051-27555-GD"/>
    <s v="L-D-0.2"/>
    <n v="1"/>
    <x v="587"/>
    <s v="jcapeyhr@bravesites.com"/>
    <x v="0"/>
    <s v="Lib"/>
    <s v="D"/>
    <x v="3"/>
    <n v="3.885"/>
    <n v="3.885"/>
    <x v="3"/>
    <x v="2"/>
    <x v="0"/>
  </r>
  <r>
    <s v="LJN-34281-921"/>
    <x v="491"/>
    <s v="52143-35672-JF"/>
    <s v="R-L-2.5"/>
    <n v="5"/>
    <x v="588"/>
    <s v="tmathonneti0@google.co.jp"/>
    <x v="0"/>
    <s v="Rob"/>
    <s v="L"/>
    <x v="2"/>
    <n v="27.485"/>
    <n v="137.425"/>
    <x v="0"/>
    <x v="1"/>
    <x v="1"/>
  </r>
  <r>
    <s v="BWZ-46364-547"/>
    <x v="301"/>
    <s v="64918-67725-MN"/>
    <s v="R-L-1"/>
    <n v="3"/>
    <x v="589"/>
    <s v="ybasillht@theguardian.com"/>
    <x v="0"/>
    <s v="Rob"/>
    <s v="L"/>
    <x v="0"/>
    <n v="11.95"/>
    <n v="35.84999999999999"/>
    <x v="0"/>
    <x v="1"/>
    <x v="0"/>
  </r>
  <r>
    <s v="SBC-95710-706"/>
    <x v="194"/>
    <s v="85634-61759-ND"/>
    <s v="E-M-0.2"/>
    <n v="2"/>
    <x v="590"/>
    <s v="mbaistowhu@i2i.jp"/>
    <x v="2"/>
    <s v="Exc"/>
    <s v="M"/>
    <x v="3"/>
    <n v="4.125"/>
    <n v="8.25"/>
    <x v="1"/>
    <x v="0"/>
    <x v="0"/>
  </r>
  <r>
    <s v="WRN-55114-031"/>
    <x v="26"/>
    <s v="40180-22940-QB"/>
    <s v="E-L-2.5"/>
    <n v="3"/>
    <x v="591"/>
    <s v="cpallanthv@typepad.com"/>
    <x v="0"/>
    <s v="Exc"/>
    <s v="L"/>
    <x v="2"/>
    <n v="34.15499999999999"/>
    <n v="102.465"/>
    <x v="1"/>
    <x v="1"/>
    <x v="0"/>
  </r>
  <r>
    <s v="TZU-64255-831"/>
    <x v="125"/>
    <s v="34666-76738-SQ"/>
    <s v="R-D-2.5"/>
    <n v="2"/>
    <x v="592"/>
    <s v=""/>
    <x v="0"/>
    <s v="Rob"/>
    <s v="D"/>
    <x v="2"/>
    <n v="20.585"/>
    <n v="41.16999999999999"/>
    <x v="0"/>
    <x v="2"/>
    <x v="1"/>
  </r>
  <r>
    <s v="JVF-91003-729"/>
    <x v="492"/>
    <s v="98536-88616-FF"/>
    <s v="A-D-2.5"/>
    <n v="3"/>
    <x v="593"/>
    <s v="dohx@redcross.org"/>
    <x v="0"/>
    <s v="Ara"/>
    <s v="D"/>
    <x v="2"/>
    <n v="22.885"/>
    <n v="68.655"/>
    <x v="2"/>
    <x v="2"/>
    <x v="0"/>
  </r>
  <r>
    <s v="MVB-22135-665"/>
    <x v="462"/>
    <s v="55621-06130-SA"/>
    <s v="A-D-1"/>
    <n v="1"/>
    <x v="594"/>
    <s v="drallinhy@howstuffworks.com"/>
    <x v="0"/>
    <s v="Ara"/>
    <s v="D"/>
    <x v="0"/>
    <n v="9.949999999999999"/>
    <n v="9.949999999999999"/>
    <x v="2"/>
    <x v="2"/>
    <x v="0"/>
  </r>
  <r>
    <s v="CKS-47815-571"/>
    <x v="493"/>
    <s v="45666-86771-EH"/>
    <s v="L-L-0.5"/>
    <n v="3"/>
    <x v="595"/>
    <s v="achillhz@epa.gov"/>
    <x v="2"/>
    <s v="Lib"/>
    <s v="L"/>
    <x v="1"/>
    <n v="9.51"/>
    <n v="28.53"/>
    <x v="3"/>
    <x v="1"/>
    <x v="0"/>
  </r>
  <r>
    <s v="OAW-17338-101"/>
    <x v="494"/>
    <s v="52143-35672-JF"/>
    <s v="R-D-0.2"/>
    <n v="6"/>
    <x v="588"/>
    <s v="tmathonneti0@google.co.jp"/>
    <x v="0"/>
    <s v="Rob"/>
    <s v="D"/>
    <x v="3"/>
    <n v="2.685"/>
    <n v="16.11"/>
    <x v="0"/>
    <x v="2"/>
    <x v="1"/>
  </r>
  <r>
    <s v="ALP-37623-536"/>
    <x v="495"/>
    <s v="24689-69376-XX"/>
    <s v="L-L-1"/>
    <n v="6"/>
    <x v="596"/>
    <s v="cdenysi1@is.gd"/>
    <x v="2"/>
    <s v="Lib"/>
    <s v="L"/>
    <x v="0"/>
    <n v="15.85"/>
    <n v="95.09999999999999"/>
    <x v="3"/>
    <x v="1"/>
    <x v="1"/>
  </r>
  <r>
    <s v="WMU-87639-108"/>
    <x v="496"/>
    <s v="71891-51101-VQ"/>
    <s v="R-D-0.5"/>
    <n v="1"/>
    <x v="597"/>
    <s v="cstebbingsi2@drupal.org"/>
    <x v="0"/>
    <s v="Rob"/>
    <s v="D"/>
    <x v="1"/>
    <n v="5.369999999999999"/>
    <n v="5.369999999999999"/>
    <x v="0"/>
    <x v="2"/>
    <x v="0"/>
  </r>
  <r>
    <s v="USN-44968-231"/>
    <x v="497"/>
    <s v="71749-05400-CN"/>
    <s v="R-L-1"/>
    <n v="4"/>
    <x v="598"/>
    <s v=""/>
    <x v="0"/>
    <s v="Rob"/>
    <s v="L"/>
    <x v="0"/>
    <n v="11.95"/>
    <n v="47.8"/>
    <x v="0"/>
    <x v="1"/>
    <x v="1"/>
  </r>
  <r>
    <s v="YZG-20575-451"/>
    <x v="498"/>
    <s v="64845-00270-NO"/>
    <s v="L-L-1"/>
    <n v="4"/>
    <x v="599"/>
    <s v="rzywickii4@ifeng.com"/>
    <x v="1"/>
    <s v="Lib"/>
    <s v="L"/>
    <x v="0"/>
    <n v="15.85"/>
    <n v="63.4"/>
    <x v="3"/>
    <x v="1"/>
    <x v="1"/>
  </r>
  <r>
    <s v="HTH-52867-812"/>
    <x v="382"/>
    <s v="29851-36402-UX"/>
    <s v="A-M-2.5"/>
    <n v="4"/>
    <x v="600"/>
    <s v="aburgetti5@moonfruit.com"/>
    <x v="0"/>
    <s v="Ara"/>
    <s v="M"/>
    <x v="2"/>
    <n v="25.875"/>
    <n v="103.5"/>
    <x v="2"/>
    <x v="0"/>
    <x v="1"/>
  </r>
  <r>
    <s v="FWU-44971-444"/>
    <x v="499"/>
    <s v="12190-25421-WM"/>
    <s v="A-D-2.5"/>
    <n v="3"/>
    <x v="601"/>
    <s v="mmalloyi6@seattletimes.com"/>
    <x v="0"/>
    <s v="Ara"/>
    <s v="D"/>
    <x v="2"/>
    <n v="22.885"/>
    <n v="68.655"/>
    <x v="2"/>
    <x v="2"/>
    <x v="1"/>
  </r>
  <r>
    <s v="EQI-82205-066"/>
    <x v="500"/>
    <s v="52316-30571-GD"/>
    <s v="R-M-2.5"/>
    <n v="2"/>
    <x v="602"/>
    <s v="mmcparlandi7@w3.org"/>
    <x v="0"/>
    <s v="Rob"/>
    <s v="M"/>
    <x v="2"/>
    <n v="22.885"/>
    <n v="45.77"/>
    <x v="0"/>
    <x v="0"/>
    <x v="0"/>
  </r>
  <r>
    <s v="NAR-00747-074"/>
    <x v="501"/>
    <s v="23243-92649-RY"/>
    <s v="L-D-1"/>
    <n v="4"/>
    <x v="603"/>
    <s v="sjennaroyi8@purevolume.com"/>
    <x v="0"/>
    <s v="Lib"/>
    <s v="D"/>
    <x v="0"/>
    <n v="12.95"/>
    <n v="51.8"/>
    <x v="3"/>
    <x v="2"/>
    <x v="1"/>
  </r>
  <r>
    <s v="JYR-22052-185"/>
    <x v="502"/>
    <s v="39528-19971-OR"/>
    <s v="A-M-0.5"/>
    <n v="2"/>
    <x v="604"/>
    <s v="wplacei9@wsj.com"/>
    <x v="0"/>
    <s v="Ara"/>
    <s v="M"/>
    <x v="1"/>
    <n v="6.75"/>
    <n v="13.5"/>
    <x v="2"/>
    <x v="0"/>
    <x v="0"/>
  </r>
  <r>
    <s v="XKO-54097-932"/>
    <x v="503"/>
    <s v="32743-78448-KT"/>
    <s v="E-M-0.5"/>
    <n v="3"/>
    <x v="605"/>
    <s v="jmillettik@addtoany.com"/>
    <x v="0"/>
    <s v="Exc"/>
    <s v="M"/>
    <x v="1"/>
    <n v="8.25"/>
    <n v="24.75"/>
    <x v="1"/>
    <x v="0"/>
    <x v="0"/>
  </r>
  <r>
    <s v="HXA-72415-025"/>
    <x v="504"/>
    <s v="93417-12322-YB"/>
    <s v="A-D-2.5"/>
    <n v="2"/>
    <x v="606"/>
    <s v="dgadsdenib@google.com.hk"/>
    <x v="1"/>
    <s v="Ara"/>
    <s v="D"/>
    <x v="2"/>
    <n v="22.885"/>
    <n v="45.77"/>
    <x v="2"/>
    <x v="2"/>
    <x v="0"/>
  </r>
  <r>
    <s v="MJF-20065-335"/>
    <x v="497"/>
    <s v="56891-86662-UY"/>
    <s v="E-L-0.5"/>
    <n v="6"/>
    <x v="607"/>
    <s v="vwakelinic@unesco.org"/>
    <x v="0"/>
    <s v="Exc"/>
    <s v="L"/>
    <x v="1"/>
    <n v="8.91"/>
    <n v="53.46"/>
    <x v="1"/>
    <x v="1"/>
    <x v="1"/>
  </r>
  <r>
    <s v="GFI-83300-059"/>
    <x v="501"/>
    <s v="40414-26467-VE"/>
    <s v="A-M-0.2"/>
    <n v="6"/>
    <x v="608"/>
    <s v="acampsallid@zimbio.com"/>
    <x v="0"/>
    <s v="Ara"/>
    <s v="M"/>
    <x v="3"/>
    <n v="3.375"/>
    <n v="20.25"/>
    <x v="2"/>
    <x v="0"/>
    <x v="0"/>
  </r>
  <r>
    <s v="WJR-51493-682"/>
    <x v="1"/>
    <s v="87858-83734-RK"/>
    <s v="L-D-2.5"/>
    <n v="5"/>
    <x v="609"/>
    <s v="smosebyie@stanford.edu"/>
    <x v="0"/>
    <s v="Lib"/>
    <s v="D"/>
    <x v="2"/>
    <n v="29.785"/>
    <n v="148.925"/>
    <x v="3"/>
    <x v="2"/>
    <x v="1"/>
  </r>
  <r>
    <s v="SHP-55648-472"/>
    <x v="505"/>
    <s v="46818-20198-GB"/>
    <s v="A-M-1"/>
    <n v="6"/>
    <x v="610"/>
    <s v="cwassif@prweb.com"/>
    <x v="0"/>
    <s v="Ara"/>
    <s v="M"/>
    <x v="0"/>
    <n v="11.25"/>
    <n v="67.5"/>
    <x v="2"/>
    <x v="0"/>
    <x v="1"/>
  </r>
  <r>
    <s v="HYR-03455-684"/>
    <x v="506"/>
    <s v="29808-89098-XD"/>
    <s v="E-D-1"/>
    <n v="6"/>
    <x v="611"/>
    <s v="isjostromig@pbs.org"/>
    <x v="0"/>
    <s v="Exc"/>
    <s v="D"/>
    <x v="0"/>
    <n v="12.15"/>
    <n v="72.90000000000001"/>
    <x v="1"/>
    <x v="2"/>
    <x v="1"/>
  </r>
  <r>
    <s v="HYR-03455-684"/>
    <x v="506"/>
    <s v="29808-89098-XD"/>
    <s v="L-D-0.2"/>
    <n v="2"/>
    <x v="611"/>
    <s v="isjostromig@pbs.org"/>
    <x v="0"/>
    <s v="Lib"/>
    <s v="D"/>
    <x v="3"/>
    <n v="3.885"/>
    <n v="7.77"/>
    <x v="3"/>
    <x v="2"/>
    <x v="1"/>
  </r>
  <r>
    <s v="HUG-52766-375"/>
    <x v="507"/>
    <s v="78786-77449-RQ"/>
    <s v="A-D-2.5"/>
    <n v="4"/>
    <x v="612"/>
    <s v="jbranchettii@bravesites.com"/>
    <x v="0"/>
    <s v="Ara"/>
    <s v="D"/>
    <x v="2"/>
    <n v="22.885"/>
    <n v="91.53999999999999"/>
    <x v="2"/>
    <x v="2"/>
    <x v="1"/>
  </r>
  <r>
    <s v="DAH-46595-917"/>
    <x v="508"/>
    <s v="27878-42224-QF"/>
    <s v="A-D-1"/>
    <n v="6"/>
    <x v="613"/>
    <s v="nrudlandij@blogs.com"/>
    <x v="1"/>
    <s v="Ara"/>
    <s v="D"/>
    <x v="0"/>
    <n v="9.949999999999999"/>
    <n v="59.7"/>
    <x v="2"/>
    <x v="2"/>
    <x v="1"/>
  </r>
  <r>
    <s v="VEM-79839-466"/>
    <x v="509"/>
    <s v="32743-78448-KT"/>
    <s v="R-L-2.5"/>
    <n v="5"/>
    <x v="605"/>
    <s v="jmillettik@addtoany.com"/>
    <x v="0"/>
    <s v="Rob"/>
    <s v="L"/>
    <x v="2"/>
    <n v="27.485"/>
    <n v="137.425"/>
    <x v="0"/>
    <x v="1"/>
    <x v="0"/>
  </r>
  <r>
    <s v="OWH-11126-533"/>
    <x v="131"/>
    <s v="25331-13794-SB"/>
    <s v="L-M-2.5"/>
    <n v="2"/>
    <x v="614"/>
    <s v="ftourryil@google.de"/>
    <x v="0"/>
    <s v="Lib"/>
    <s v="M"/>
    <x v="2"/>
    <n v="33.465"/>
    <n v="66.92999999999999"/>
    <x v="3"/>
    <x v="0"/>
    <x v="1"/>
  </r>
  <r>
    <s v="UMT-26130-151"/>
    <x v="510"/>
    <s v="55864-37682-GQ"/>
    <s v="L-M-0.2"/>
    <n v="3"/>
    <x v="615"/>
    <s v="cweatherallim@toplist.cz"/>
    <x v="0"/>
    <s v="Lib"/>
    <s v="M"/>
    <x v="3"/>
    <n v="4.365"/>
    <n v="13.095"/>
    <x v="3"/>
    <x v="0"/>
    <x v="0"/>
  </r>
  <r>
    <s v="JKA-27899-806"/>
    <x v="511"/>
    <s v="97005-25609-CQ"/>
    <s v="R-L-1"/>
    <n v="5"/>
    <x v="616"/>
    <s v="gheindrickin@usda.gov"/>
    <x v="0"/>
    <s v="Rob"/>
    <s v="L"/>
    <x v="0"/>
    <n v="11.95"/>
    <n v="59.75"/>
    <x v="0"/>
    <x v="1"/>
    <x v="1"/>
  </r>
  <r>
    <s v="ULU-07744-724"/>
    <x v="512"/>
    <s v="94058-95794-IJ"/>
    <s v="L-M-0.5"/>
    <n v="5"/>
    <x v="617"/>
    <s v="limasonio@discuz.net"/>
    <x v="0"/>
    <s v="Lib"/>
    <s v="M"/>
    <x v="1"/>
    <n v="8.73"/>
    <n v="43.65000000000001"/>
    <x v="3"/>
    <x v="0"/>
    <x v="0"/>
  </r>
  <r>
    <s v="NOM-56457-507"/>
    <x v="513"/>
    <s v="40214-03678-GU"/>
    <s v="E-M-1"/>
    <n v="6"/>
    <x v="618"/>
    <s v="hsaillip@odnoklassniki.ru"/>
    <x v="0"/>
    <s v="Exc"/>
    <s v="M"/>
    <x v="0"/>
    <n v="13.75"/>
    <n v="82.5"/>
    <x v="1"/>
    <x v="0"/>
    <x v="0"/>
  </r>
  <r>
    <s v="NZN-71683-705"/>
    <x v="514"/>
    <s v="04921-85445-SL"/>
    <s v="A-L-2.5"/>
    <n v="6"/>
    <x v="619"/>
    <s v="hlarvoriq@last.fm"/>
    <x v="0"/>
    <s v="Ara"/>
    <s v="L"/>
    <x v="2"/>
    <n v="29.785"/>
    <n v="178.71"/>
    <x v="2"/>
    <x v="1"/>
    <x v="0"/>
  </r>
  <r>
    <s v="WMA-34232-850"/>
    <x v="7"/>
    <s v="53386-94266-LJ"/>
    <s v="L-D-2.5"/>
    <n v="4"/>
    <x v="620"/>
    <s v=""/>
    <x v="0"/>
    <s v="Lib"/>
    <s v="D"/>
    <x v="2"/>
    <n v="29.785"/>
    <n v="119.14"/>
    <x v="3"/>
    <x v="2"/>
    <x v="0"/>
  </r>
  <r>
    <s v="EZL-27919-704"/>
    <x v="481"/>
    <s v="49480-85909-DG"/>
    <s v="L-L-0.5"/>
    <n v="5"/>
    <x v="621"/>
    <s v=""/>
    <x v="0"/>
    <s v="Lib"/>
    <s v="L"/>
    <x v="1"/>
    <n v="9.51"/>
    <n v="47.55"/>
    <x v="3"/>
    <x v="1"/>
    <x v="1"/>
  </r>
  <r>
    <s v="ZYU-11345-774"/>
    <x v="515"/>
    <s v="18293-78136-MN"/>
    <s v="L-M-0.5"/>
    <n v="5"/>
    <x v="622"/>
    <s v="cpenwardenit@mlb.com"/>
    <x v="1"/>
    <s v="Lib"/>
    <s v="M"/>
    <x v="1"/>
    <n v="8.73"/>
    <n v="43.65000000000001"/>
    <x v="3"/>
    <x v="0"/>
    <x v="1"/>
  </r>
  <r>
    <s v="CPW-34587-459"/>
    <x v="516"/>
    <s v="84641-67384-TD"/>
    <s v="A-L-2.5"/>
    <n v="6"/>
    <x v="623"/>
    <s v="mmiddisiu@dmoz.org"/>
    <x v="0"/>
    <s v="Ara"/>
    <s v="L"/>
    <x v="2"/>
    <n v="29.785"/>
    <n v="178.71"/>
    <x v="2"/>
    <x v="1"/>
    <x v="0"/>
  </r>
  <r>
    <s v="NQZ-82067-394"/>
    <x v="517"/>
    <s v="72320-29738-EB"/>
    <s v="R-L-2.5"/>
    <n v="1"/>
    <x v="624"/>
    <s v="avairowiv@studiopress.com"/>
    <x v="2"/>
    <s v="Rob"/>
    <s v="L"/>
    <x v="2"/>
    <n v="27.485"/>
    <n v="27.485"/>
    <x v="0"/>
    <x v="1"/>
    <x v="1"/>
  </r>
  <r>
    <s v="JBW-95055-851"/>
    <x v="518"/>
    <s v="47355-97488-XS"/>
    <s v="A-M-1"/>
    <n v="5"/>
    <x v="625"/>
    <s v="agoldieiw@goo.gl"/>
    <x v="0"/>
    <s v="Ara"/>
    <s v="M"/>
    <x v="0"/>
    <n v="11.25"/>
    <n v="56.25"/>
    <x v="2"/>
    <x v="0"/>
    <x v="1"/>
  </r>
  <r>
    <s v="AHY-20324-088"/>
    <x v="519"/>
    <s v="63499-24884-PP"/>
    <s v="L-L-0.2"/>
    <n v="2"/>
    <x v="626"/>
    <s v="nayrisix@t-online.de"/>
    <x v="2"/>
    <s v="Lib"/>
    <s v="L"/>
    <x v="3"/>
    <n v="4.755"/>
    <n v="9.51"/>
    <x v="3"/>
    <x v="1"/>
    <x v="0"/>
  </r>
  <r>
    <s v="ZSL-66684-103"/>
    <x v="520"/>
    <s v="39193-51770-FM"/>
    <s v="E-M-0.2"/>
    <n v="2"/>
    <x v="627"/>
    <s v="lbenediktovichiy@wunderground.com"/>
    <x v="0"/>
    <s v="Exc"/>
    <s v="M"/>
    <x v="3"/>
    <n v="4.125"/>
    <n v="8.25"/>
    <x v="1"/>
    <x v="0"/>
    <x v="0"/>
  </r>
  <r>
    <s v="WNE-73911-475"/>
    <x v="521"/>
    <s v="61323-91967-GG"/>
    <s v="L-D-0.5"/>
    <n v="6"/>
    <x v="628"/>
    <s v="tjacobovitziz@cbc.ca"/>
    <x v="0"/>
    <s v="Lib"/>
    <s v="D"/>
    <x v="1"/>
    <n v="7.77"/>
    <n v="46.62"/>
    <x v="3"/>
    <x v="2"/>
    <x v="1"/>
  </r>
  <r>
    <s v="EZB-68383-559"/>
    <x v="418"/>
    <s v="90123-01967-KS"/>
    <s v="R-L-1"/>
    <n v="6"/>
    <x v="629"/>
    <s v=""/>
    <x v="0"/>
    <s v="Rob"/>
    <s v="L"/>
    <x v="0"/>
    <n v="11.95"/>
    <n v="71.69999999999999"/>
    <x v="0"/>
    <x v="1"/>
    <x v="1"/>
  </r>
  <r>
    <s v="OVO-01283-090"/>
    <x v="122"/>
    <s v="15958-25089-OS"/>
    <s v="L-L-2.5"/>
    <n v="2"/>
    <x v="630"/>
    <s v="jdruittj1@feedburner.com"/>
    <x v="0"/>
    <s v="Lib"/>
    <s v="L"/>
    <x v="2"/>
    <n v="36.455"/>
    <n v="72.91"/>
    <x v="3"/>
    <x v="1"/>
    <x v="0"/>
  </r>
  <r>
    <s v="TXH-78646-919"/>
    <x v="423"/>
    <s v="98430-37820-UV"/>
    <s v="R-D-0.2"/>
    <n v="3"/>
    <x v="631"/>
    <s v="dshortallj2@wikipedia.org"/>
    <x v="0"/>
    <s v="Rob"/>
    <s v="D"/>
    <x v="3"/>
    <n v="2.685"/>
    <n v="8.055"/>
    <x v="0"/>
    <x v="2"/>
    <x v="0"/>
  </r>
  <r>
    <s v="CYZ-37122-164"/>
    <x v="463"/>
    <s v="21798-04171-XC"/>
    <s v="E-M-0.5"/>
    <n v="2"/>
    <x v="632"/>
    <s v="wcottierj3@cafepress.com"/>
    <x v="0"/>
    <s v="Exc"/>
    <s v="M"/>
    <x v="1"/>
    <n v="8.25"/>
    <n v="16.5"/>
    <x v="1"/>
    <x v="0"/>
    <x v="1"/>
  </r>
  <r>
    <s v="AGQ-06534-750"/>
    <x v="273"/>
    <s v="52798-46508-HP"/>
    <s v="A-L-1"/>
    <n v="5"/>
    <x v="633"/>
    <s v="kgrinstedj4@google.com.br"/>
    <x v="1"/>
    <s v="Ara"/>
    <s v="L"/>
    <x v="0"/>
    <n v="12.95"/>
    <n v="64.75"/>
    <x v="2"/>
    <x v="1"/>
    <x v="1"/>
  </r>
  <r>
    <s v="QVL-32245-818"/>
    <x v="522"/>
    <s v="46478-42970-EM"/>
    <s v="A-M-0.5"/>
    <n v="5"/>
    <x v="634"/>
    <s v="dskynerj5@hubpages.com"/>
    <x v="0"/>
    <s v="Ara"/>
    <s v="M"/>
    <x v="1"/>
    <n v="6.75"/>
    <n v="33.75"/>
    <x v="2"/>
    <x v="0"/>
    <x v="1"/>
  </r>
  <r>
    <s v="LTD-96842-834"/>
    <x v="523"/>
    <s v="00246-15080-LE"/>
    <s v="L-D-2.5"/>
    <n v="6"/>
    <x v="635"/>
    <s v=""/>
    <x v="0"/>
    <s v="Lib"/>
    <s v="D"/>
    <x v="2"/>
    <n v="29.785"/>
    <n v="178.71"/>
    <x v="3"/>
    <x v="2"/>
    <x v="1"/>
  </r>
  <r>
    <s v="SEC-91807-425"/>
    <x v="260"/>
    <s v="94091-86957-HX"/>
    <s v="A-M-1"/>
    <n v="2"/>
    <x v="636"/>
    <s v="jdymokeje@prnewswire.com"/>
    <x v="1"/>
    <s v="Ara"/>
    <s v="M"/>
    <x v="0"/>
    <n v="11.25"/>
    <n v="22.5"/>
    <x v="2"/>
    <x v="0"/>
    <x v="1"/>
  </r>
  <r>
    <s v="MHM-44857-599"/>
    <x v="331"/>
    <s v="26295-44907-DK"/>
    <s v="L-D-1"/>
    <n v="1"/>
    <x v="637"/>
    <s v="aweinmannj8@shinystat.com"/>
    <x v="0"/>
    <s v="Lib"/>
    <s v="D"/>
    <x v="0"/>
    <n v="12.95"/>
    <n v="12.95"/>
    <x v="3"/>
    <x v="2"/>
    <x v="1"/>
  </r>
  <r>
    <s v="KGC-95046-911"/>
    <x v="524"/>
    <s v="95351-96177-QV"/>
    <s v="A-M-2.5"/>
    <n v="2"/>
    <x v="638"/>
    <s v="eandriessenj9@europa.eu"/>
    <x v="0"/>
    <s v="Ara"/>
    <s v="M"/>
    <x v="2"/>
    <n v="25.875"/>
    <n v="51.74999999999999"/>
    <x v="2"/>
    <x v="0"/>
    <x v="0"/>
  </r>
  <r>
    <s v="RZC-75150-413"/>
    <x v="525"/>
    <s v="92204-96636-BS"/>
    <s v="E-D-0.5"/>
    <n v="5"/>
    <x v="639"/>
    <s v="rdeaconsonja@archive.org"/>
    <x v="0"/>
    <s v="Exc"/>
    <s v="D"/>
    <x v="1"/>
    <n v="7.29"/>
    <n v="36.45"/>
    <x v="1"/>
    <x v="2"/>
    <x v="1"/>
  </r>
  <r>
    <s v="EYH-88288-452"/>
    <x v="526"/>
    <s v="03010-30348-UA"/>
    <s v="L-L-2.5"/>
    <n v="5"/>
    <x v="640"/>
    <s v="dcarojb@twitter.com"/>
    <x v="0"/>
    <s v="Lib"/>
    <s v="L"/>
    <x v="2"/>
    <n v="36.455"/>
    <n v="182.275"/>
    <x v="3"/>
    <x v="1"/>
    <x v="0"/>
  </r>
  <r>
    <s v="NYQ-24237-772"/>
    <x v="104"/>
    <s v="13441-34686-SW"/>
    <s v="L-D-0.5"/>
    <n v="4"/>
    <x v="641"/>
    <s v="jbluckjc@imageshack.us"/>
    <x v="0"/>
    <s v="Lib"/>
    <s v="D"/>
    <x v="1"/>
    <n v="7.77"/>
    <n v="31.08"/>
    <x v="3"/>
    <x v="2"/>
    <x v="1"/>
  </r>
  <r>
    <s v="WKB-21680-566"/>
    <x v="491"/>
    <s v="96612-41722-VJ"/>
    <s v="A-M-0.5"/>
    <n v="3"/>
    <x v="642"/>
    <s v=""/>
    <x v="1"/>
    <s v="Ara"/>
    <s v="M"/>
    <x v="1"/>
    <n v="6.75"/>
    <n v="20.25"/>
    <x v="2"/>
    <x v="0"/>
    <x v="1"/>
  </r>
  <r>
    <s v="THE-61147-027"/>
    <x v="157"/>
    <s v="94091-86957-HX"/>
    <s v="L-D-1"/>
    <n v="2"/>
    <x v="636"/>
    <s v="jdymokeje@prnewswire.com"/>
    <x v="1"/>
    <s v="Lib"/>
    <s v="D"/>
    <x v="0"/>
    <n v="12.95"/>
    <n v="25.9"/>
    <x v="3"/>
    <x v="2"/>
    <x v="1"/>
  </r>
  <r>
    <s v="PTY-86420-119"/>
    <x v="527"/>
    <s v="25504-41681-WA"/>
    <s v="A-D-0.5"/>
    <n v="4"/>
    <x v="643"/>
    <s v="otadmanjf@ft.com"/>
    <x v="0"/>
    <s v="Ara"/>
    <s v="D"/>
    <x v="1"/>
    <n v="5.97"/>
    <n v="23.88"/>
    <x v="2"/>
    <x v="2"/>
    <x v="0"/>
  </r>
  <r>
    <s v="QHL-27188-431"/>
    <x v="528"/>
    <s v="75443-07820-DZ"/>
    <s v="L-L-0.5"/>
    <n v="2"/>
    <x v="644"/>
    <s v="bguddejg@dailymotion.com"/>
    <x v="0"/>
    <s v="Lib"/>
    <s v="L"/>
    <x v="1"/>
    <n v="9.51"/>
    <n v="19.02"/>
    <x v="3"/>
    <x v="1"/>
    <x v="1"/>
  </r>
  <r>
    <s v="MIS-54381-047"/>
    <x v="99"/>
    <s v="39276-95489-XV"/>
    <s v="A-D-0.5"/>
    <n v="5"/>
    <x v="645"/>
    <s v="nsictornesjh@buzzfeed.com"/>
    <x v="1"/>
    <s v="Ara"/>
    <s v="D"/>
    <x v="1"/>
    <n v="5.97"/>
    <n v="29.85"/>
    <x v="2"/>
    <x v="2"/>
    <x v="0"/>
  </r>
  <r>
    <s v="TBB-29780-459"/>
    <x v="529"/>
    <s v="61437-83623-PZ"/>
    <s v="A-L-0.5"/>
    <n v="1"/>
    <x v="646"/>
    <s v="vdunningji@independent.co.uk"/>
    <x v="0"/>
    <s v="Ara"/>
    <s v="L"/>
    <x v="1"/>
    <n v="7.77"/>
    <n v="7.77"/>
    <x v="2"/>
    <x v="1"/>
    <x v="0"/>
  </r>
  <r>
    <s v="QLC-52637-305"/>
    <x v="530"/>
    <s v="34317-87258-HQ"/>
    <s v="L-D-2.5"/>
    <n v="4"/>
    <x v="647"/>
    <s v=""/>
    <x v="1"/>
    <s v="Lib"/>
    <s v="D"/>
    <x v="2"/>
    <n v="29.785"/>
    <n v="119.14"/>
    <x v="3"/>
    <x v="2"/>
    <x v="0"/>
  </r>
  <r>
    <s v="CWT-27056-328"/>
    <x v="531"/>
    <s v="18570-80998-ZS"/>
    <s v="E-D-0.2"/>
    <n v="6"/>
    <x v="648"/>
    <s v=""/>
    <x v="0"/>
    <s v="Exc"/>
    <s v="D"/>
    <x v="3"/>
    <n v="3.645"/>
    <n v="21.87"/>
    <x v="1"/>
    <x v="2"/>
    <x v="0"/>
  </r>
  <r>
    <s v="ASS-05878-128"/>
    <x v="210"/>
    <s v="66580-33745-OQ"/>
    <s v="E-L-0.5"/>
    <n v="2"/>
    <x v="649"/>
    <s v="sgehringjl@gnu.org"/>
    <x v="0"/>
    <s v="Exc"/>
    <s v="L"/>
    <x v="1"/>
    <n v="8.91"/>
    <n v="17.82"/>
    <x v="1"/>
    <x v="1"/>
    <x v="1"/>
  </r>
  <r>
    <s v="EGK-03027-418"/>
    <x v="532"/>
    <s v="19820-29285-FD"/>
    <s v="E-M-0.2"/>
    <n v="3"/>
    <x v="650"/>
    <s v="bfallowesjm@purevolume.com"/>
    <x v="0"/>
    <s v="Exc"/>
    <s v="M"/>
    <x v="3"/>
    <n v="4.125"/>
    <n v="12.375"/>
    <x v="1"/>
    <x v="0"/>
    <x v="1"/>
  </r>
  <r>
    <s v="KCY-61732-849"/>
    <x v="533"/>
    <s v="11349-55147-SN"/>
    <s v="L-D-1"/>
    <n v="2"/>
    <x v="651"/>
    <s v=""/>
    <x v="1"/>
    <s v="Lib"/>
    <s v="D"/>
    <x v="0"/>
    <n v="12.95"/>
    <n v="25.9"/>
    <x v="3"/>
    <x v="2"/>
    <x v="1"/>
  </r>
  <r>
    <s v="BLI-21697-702"/>
    <x v="534"/>
    <s v="21141-12455-VB"/>
    <s v="A-M-0.5"/>
    <n v="2"/>
    <x v="652"/>
    <s v="sdejo@newsvine.com"/>
    <x v="0"/>
    <s v="Ara"/>
    <s v="M"/>
    <x v="1"/>
    <n v="6.75"/>
    <n v="13.5"/>
    <x v="2"/>
    <x v="0"/>
    <x v="0"/>
  </r>
  <r>
    <s v="KFJ-46568-890"/>
    <x v="535"/>
    <s v="71003-85639-HB"/>
    <s v="E-L-0.5"/>
    <n v="2"/>
    <x v="653"/>
    <s v=""/>
    <x v="0"/>
    <s v="Exc"/>
    <s v="L"/>
    <x v="1"/>
    <n v="8.91"/>
    <n v="17.82"/>
    <x v="1"/>
    <x v="1"/>
    <x v="0"/>
  </r>
  <r>
    <s v="SOK-43535-680"/>
    <x v="536"/>
    <s v="58443-95866-YO"/>
    <s v="E-M-0.5"/>
    <n v="3"/>
    <x v="654"/>
    <s v="scountjq@nba.com"/>
    <x v="0"/>
    <s v="Exc"/>
    <s v="M"/>
    <x v="1"/>
    <n v="8.25"/>
    <n v="24.75"/>
    <x v="1"/>
    <x v="0"/>
    <x v="1"/>
  </r>
  <r>
    <s v="XUE-87260-201"/>
    <x v="537"/>
    <s v="89646-21249-OH"/>
    <s v="R-M-0.2"/>
    <n v="6"/>
    <x v="655"/>
    <s v="sraglesjr@blogtalkradio.com"/>
    <x v="0"/>
    <s v="Rob"/>
    <s v="M"/>
    <x v="3"/>
    <n v="2.985"/>
    <n v="17.91"/>
    <x v="0"/>
    <x v="0"/>
    <x v="1"/>
  </r>
  <r>
    <s v="CZF-40873-691"/>
    <x v="61"/>
    <s v="64988-20636-XQ"/>
    <s v="E-M-0.5"/>
    <n v="2"/>
    <x v="656"/>
    <s v=""/>
    <x v="2"/>
    <s v="Exc"/>
    <s v="M"/>
    <x v="1"/>
    <n v="8.25"/>
    <n v="16.5"/>
    <x v="1"/>
    <x v="0"/>
    <x v="1"/>
  </r>
  <r>
    <s v="AIA-98989-755"/>
    <x v="242"/>
    <s v="34704-83143-KS"/>
    <s v="R-M-0.2"/>
    <n v="1"/>
    <x v="657"/>
    <s v="sbruunjt@blogtalkradio.com"/>
    <x v="0"/>
    <s v="Rob"/>
    <s v="M"/>
    <x v="3"/>
    <n v="2.985"/>
    <n v="2.985"/>
    <x v="0"/>
    <x v="0"/>
    <x v="1"/>
  </r>
  <r>
    <s v="ITZ-21793-986"/>
    <x v="299"/>
    <s v="67388-17544-XX"/>
    <s v="E-D-0.2"/>
    <n v="4"/>
    <x v="658"/>
    <s v="aplluju@dagondesign.com"/>
    <x v="1"/>
    <s v="Exc"/>
    <s v="D"/>
    <x v="3"/>
    <n v="3.645"/>
    <n v="14.58"/>
    <x v="1"/>
    <x v="2"/>
    <x v="0"/>
  </r>
  <r>
    <s v="YOK-93322-608"/>
    <x v="343"/>
    <s v="69411-48470-ID"/>
    <s v="E-L-1"/>
    <n v="6"/>
    <x v="659"/>
    <s v="gcornierjv@techcrunch.com"/>
    <x v="0"/>
    <s v="Exc"/>
    <s v="L"/>
    <x v="0"/>
    <n v="14.85"/>
    <n v="89.09999999999999"/>
    <x v="1"/>
    <x v="1"/>
    <x v="1"/>
  </r>
  <r>
    <s v="LXK-00634-611"/>
    <x v="538"/>
    <s v="94091-86957-HX"/>
    <s v="R-L-1"/>
    <n v="3"/>
    <x v="636"/>
    <s v="jdymokeje@prnewswire.com"/>
    <x v="1"/>
    <s v="Rob"/>
    <s v="L"/>
    <x v="0"/>
    <n v="11.95"/>
    <n v="35.84999999999999"/>
    <x v="0"/>
    <x v="1"/>
    <x v="1"/>
  </r>
  <r>
    <s v="CQW-37388-302"/>
    <x v="539"/>
    <s v="97741-98924-KT"/>
    <s v="A-D-2.5"/>
    <n v="3"/>
    <x v="660"/>
    <s v="wharvisonjx@gizmodo.com"/>
    <x v="0"/>
    <s v="Ara"/>
    <s v="D"/>
    <x v="2"/>
    <n v="22.885"/>
    <n v="68.655"/>
    <x v="2"/>
    <x v="2"/>
    <x v="1"/>
  </r>
  <r>
    <s v="SPA-79365-334"/>
    <x v="27"/>
    <s v="79857-78167-KO"/>
    <s v="L-D-1"/>
    <n v="3"/>
    <x v="661"/>
    <s v="dheafordjy@twitpic.com"/>
    <x v="0"/>
    <s v="Lib"/>
    <s v="D"/>
    <x v="0"/>
    <n v="12.95"/>
    <n v="38.84999999999999"/>
    <x v="3"/>
    <x v="2"/>
    <x v="1"/>
  </r>
  <r>
    <s v="VPX-08817-517"/>
    <x v="540"/>
    <s v="46963-10322-ZA"/>
    <s v="L-L-1"/>
    <n v="5"/>
    <x v="662"/>
    <s v="gfanthamjz@hexun.com"/>
    <x v="0"/>
    <s v="Lib"/>
    <s v="L"/>
    <x v="0"/>
    <n v="15.85"/>
    <n v="79.25"/>
    <x v="3"/>
    <x v="1"/>
    <x v="0"/>
  </r>
  <r>
    <s v="PBP-87115-410"/>
    <x v="541"/>
    <s v="93812-74772-MV"/>
    <s v="E-D-0.5"/>
    <n v="5"/>
    <x v="663"/>
    <s v="rcrookshanksk0@unc.edu"/>
    <x v="0"/>
    <s v="Exc"/>
    <s v="D"/>
    <x v="1"/>
    <n v="7.29"/>
    <n v="36.45"/>
    <x v="1"/>
    <x v="2"/>
    <x v="0"/>
  </r>
  <r>
    <s v="SFB-93752-440"/>
    <x v="390"/>
    <s v="48203-23480-UB"/>
    <s v="R-M-0.2"/>
    <n v="3"/>
    <x v="664"/>
    <s v="nleakek1@cmu.edu"/>
    <x v="0"/>
    <s v="Rob"/>
    <s v="M"/>
    <x v="3"/>
    <n v="2.985"/>
    <n v="8.955"/>
    <x v="0"/>
    <x v="0"/>
    <x v="0"/>
  </r>
  <r>
    <s v="TBU-65158-068"/>
    <x v="396"/>
    <s v="60357-65386-RD"/>
    <s v="E-D-1"/>
    <n v="2"/>
    <x v="665"/>
    <s v=""/>
    <x v="0"/>
    <s v="Exc"/>
    <s v="D"/>
    <x v="0"/>
    <n v="12.15"/>
    <n v="24.3"/>
    <x v="1"/>
    <x v="2"/>
    <x v="1"/>
  </r>
  <r>
    <s v="TEH-08414-216"/>
    <x v="185"/>
    <s v="35099-13971-JI"/>
    <s v="E-M-2.5"/>
    <n v="2"/>
    <x v="666"/>
    <s v="geilhersenk3@networksolutions.com"/>
    <x v="0"/>
    <s v="Exc"/>
    <s v="M"/>
    <x v="2"/>
    <n v="31.625"/>
    <n v="63.24999999999999"/>
    <x v="1"/>
    <x v="0"/>
    <x v="1"/>
  </r>
  <r>
    <s v="MAY-77231-536"/>
    <x v="542"/>
    <s v="01304-59807-OB"/>
    <s v="A-M-0.2"/>
    <n v="2"/>
    <x v="667"/>
    <s v=""/>
    <x v="0"/>
    <s v="Ara"/>
    <s v="M"/>
    <x v="3"/>
    <n v="3.375"/>
    <n v="6.75"/>
    <x v="2"/>
    <x v="0"/>
    <x v="0"/>
  </r>
  <r>
    <s v="ATY-28980-884"/>
    <x v="117"/>
    <s v="50705-17295-NK"/>
    <s v="A-L-0.2"/>
    <n v="6"/>
    <x v="668"/>
    <s v="caleixok5@globo.com"/>
    <x v="0"/>
    <s v="Ara"/>
    <s v="L"/>
    <x v="3"/>
    <n v="3.885"/>
    <n v="23.31"/>
    <x v="2"/>
    <x v="1"/>
    <x v="1"/>
  </r>
  <r>
    <s v="SWP-88281-918"/>
    <x v="543"/>
    <s v="77657-61366-FY"/>
    <s v="L-L-2.5"/>
    <n v="4"/>
    <x v="669"/>
    <s v=""/>
    <x v="0"/>
    <s v="Lib"/>
    <s v="L"/>
    <x v="2"/>
    <n v="36.455"/>
    <n v="145.82"/>
    <x v="3"/>
    <x v="1"/>
    <x v="1"/>
  </r>
  <r>
    <s v="VCE-56531-986"/>
    <x v="544"/>
    <s v="57192-13428-PL"/>
    <s v="R-M-0.5"/>
    <n v="5"/>
    <x v="670"/>
    <s v="rtomkowiczk7@bravesites.com"/>
    <x v="1"/>
    <s v="Rob"/>
    <s v="M"/>
    <x v="1"/>
    <n v="5.97"/>
    <n v="29.85"/>
    <x v="0"/>
    <x v="0"/>
    <x v="0"/>
  </r>
  <r>
    <s v="FVV-75700-005"/>
    <x v="545"/>
    <s v="24891-77957-LU"/>
    <s v="E-D-0.5"/>
    <n v="3"/>
    <x v="671"/>
    <s v="rhuscroftk8@jimdo.com"/>
    <x v="0"/>
    <s v="Exc"/>
    <s v="D"/>
    <x v="1"/>
    <n v="7.29"/>
    <n v="21.87"/>
    <x v="1"/>
    <x v="2"/>
    <x v="0"/>
  </r>
  <r>
    <s v="CFZ-53492-600"/>
    <x v="546"/>
    <s v="64896-18468-BT"/>
    <s v="L-M-0.2"/>
    <n v="1"/>
    <x v="672"/>
    <s v="sscurrerk9@flavors.me"/>
    <x v="2"/>
    <s v="Lib"/>
    <s v="M"/>
    <x v="3"/>
    <n v="4.365"/>
    <n v="4.365"/>
    <x v="3"/>
    <x v="0"/>
    <x v="1"/>
  </r>
  <r>
    <s v="LDK-71031-121"/>
    <x v="420"/>
    <s v="84761-40784-SV"/>
    <s v="L-L-2.5"/>
    <n v="1"/>
    <x v="673"/>
    <s v="arudramka@prnewswire.com"/>
    <x v="0"/>
    <s v="Lib"/>
    <s v="L"/>
    <x v="2"/>
    <n v="36.455"/>
    <n v="36.455"/>
    <x v="3"/>
    <x v="1"/>
    <x v="1"/>
  </r>
  <r>
    <s v="EBA-82404-343"/>
    <x v="547"/>
    <s v="20236-42322-CM"/>
    <s v="L-D-0.2"/>
    <n v="4"/>
    <x v="674"/>
    <s v=""/>
    <x v="0"/>
    <s v="Lib"/>
    <s v="D"/>
    <x v="3"/>
    <n v="3.885"/>
    <n v="15.54"/>
    <x v="3"/>
    <x v="2"/>
    <x v="0"/>
  </r>
  <r>
    <s v="USA-42811-560"/>
    <x v="548"/>
    <s v="49671-11547-WG"/>
    <s v="E-L-0.2"/>
    <n v="2"/>
    <x v="675"/>
    <s v="jmahakc@cyberchimps.com"/>
    <x v="0"/>
    <s v="Exc"/>
    <s v="L"/>
    <x v="3"/>
    <n v="4.455"/>
    <n v="8.91"/>
    <x v="1"/>
    <x v="1"/>
    <x v="1"/>
  </r>
  <r>
    <s v="SNL-83703-516"/>
    <x v="549"/>
    <s v="57976-33535-WK"/>
    <s v="L-M-2.5"/>
    <n v="3"/>
    <x v="676"/>
    <s v="gclemonkd@networksolutions.com"/>
    <x v="0"/>
    <s v="Lib"/>
    <s v="M"/>
    <x v="2"/>
    <n v="33.465"/>
    <n v="100.395"/>
    <x v="3"/>
    <x v="0"/>
    <x v="0"/>
  </r>
  <r>
    <s v="SUZ-83036-175"/>
    <x v="550"/>
    <s v="55915-19477-MK"/>
    <s v="R-D-0.2"/>
    <n v="5"/>
    <x v="677"/>
    <s v=""/>
    <x v="0"/>
    <s v="Rob"/>
    <s v="D"/>
    <x v="3"/>
    <n v="2.685"/>
    <n v="13.425"/>
    <x v="0"/>
    <x v="2"/>
    <x v="1"/>
  </r>
  <r>
    <s v="RGM-01187-513"/>
    <x v="551"/>
    <s v="28121-11641-UA"/>
    <s v="E-D-0.2"/>
    <n v="6"/>
    <x v="678"/>
    <s v="bpollinskf@shinystat.com"/>
    <x v="0"/>
    <s v="Exc"/>
    <s v="D"/>
    <x v="3"/>
    <n v="3.645"/>
    <n v="21.87"/>
    <x v="1"/>
    <x v="2"/>
    <x v="1"/>
  </r>
  <r>
    <s v="CZG-01299-952"/>
    <x v="552"/>
    <s v="09540-70637-EV"/>
    <s v="L-D-1"/>
    <n v="2"/>
    <x v="679"/>
    <s v="jtoyekg@pinterest.com"/>
    <x v="1"/>
    <s v="Lib"/>
    <s v="D"/>
    <x v="0"/>
    <n v="12.95"/>
    <n v="25.9"/>
    <x v="3"/>
    <x v="2"/>
    <x v="0"/>
  </r>
  <r>
    <s v="KLD-88731-484"/>
    <x v="553"/>
    <s v="17775-77072-PP"/>
    <s v="A-M-1"/>
    <n v="5"/>
    <x v="680"/>
    <s v="clinskillkh@sphinn.com"/>
    <x v="0"/>
    <s v="Ara"/>
    <s v="M"/>
    <x v="0"/>
    <n v="11.25"/>
    <n v="56.25"/>
    <x v="2"/>
    <x v="0"/>
    <x v="1"/>
  </r>
  <r>
    <s v="BQK-38412-229"/>
    <x v="554"/>
    <s v="90392-73338-BC"/>
    <s v="R-L-0.2"/>
    <n v="3"/>
    <x v="681"/>
    <s v="nvigrasski@ezinearticles.com"/>
    <x v="2"/>
    <s v="Rob"/>
    <s v="L"/>
    <x v="3"/>
    <n v="3.585"/>
    <n v="10.755"/>
    <x v="0"/>
    <x v="1"/>
    <x v="1"/>
  </r>
  <r>
    <s v="TCX-76953-071"/>
    <x v="555"/>
    <s v="94091-86957-HX"/>
    <s v="E-D-0.2"/>
    <n v="5"/>
    <x v="636"/>
    <s v="jdymokeje@prnewswire.com"/>
    <x v="1"/>
    <s v="Exc"/>
    <s v="D"/>
    <x v="3"/>
    <n v="3.645"/>
    <n v="18.225"/>
    <x v="1"/>
    <x v="2"/>
    <x v="1"/>
  </r>
  <r>
    <s v="LIN-88046-551"/>
    <x v="150"/>
    <s v="10725-45724-CO"/>
    <s v="R-L-0.5"/>
    <n v="4"/>
    <x v="682"/>
    <s v="kcragellkk@google.com"/>
    <x v="1"/>
    <s v="Rob"/>
    <s v="L"/>
    <x v="1"/>
    <n v="7.169999999999999"/>
    <n v="28.68"/>
    <x v="0"/>
    <x v="1"/>
    <x v="1"/>
  </r>
  <r>
    <s v="PMV-54491-220"/>
    <x v="556"/>
    <s v="87242-18006-IR"/>
    <s v="L-M-0.2"/>
    <n v="2"/>
    <x v="683"/>
    <s v="libertkl@huffingtonpost.com"/>
    <x v="0"/>
    <s v="Lib"/>
    <s v="M"/>
    <x v="3"/>
    <n v="4.365"/>
    <n v="8.73"/>
    <x v="3"/>
    <x v="0"/>
    <x v="1"/>
  </r>
  <r>
    <s v="SKA-73676-005"/>
    <x v="327"/>
    <s v="36572-91896-PP"/>
    <s v="L-M-1"/>
    <n v="4"/>
    <x v="684"/>
    <s v="rlidgeykm@vimeo.com"/>
    <x v="0"/>
    <s v="Lib"/>
    <s v="M"/>
    <x v="0"/>
    <n v="14.55"/>
    <n v="58.2"/>
    <x v="3"/>
    <x v="0"/>
    <x v="1"/>
  </r>
  <r>
    <s v="TKH-62197-239"/>
    <x v="557"/>
    <s v="25181-97933-UX"/>
    <s v="A-D-0.5"/>
    <n v="3"/>
    <x v="685"/>
    <s v="tcastagnekn@wikia.com"/>
    <x v="0"/>
    <s v="Ara"/>
    <s v="D"/>
    <x v="1"/>
    <n v="5.97"/>
    <n v="17.91"/>
    <x v="2"/>
    <x v="2"/>
    <x v="1"/>
  </r>
  <r>
    <s v="YXF-57218-272"/>
    <x v="333"/>
    <s v="55374-03175-IA"/>
    <s v="R-M-0.2"/>
    <n v="6"/>
    <x v="686"/>
    <s v=""/>
    <x v="0"/>
    <s v="Rob"/>
    <s v="M"/>
    <x v="3"/>
    <n v="2.985"/>
    <n v="17.91"/>
    <x v="0"/>
    <x v="0"/>
    <x v="0"/>
  </r>
  <r>
    <s v="PKJ-30083-501"/>
    <x v="558"/>
    <s v="76948-43532-JS"/>
    <s v="E-D-0.5"/>
    <n v="2"/>
    <x v="687"/>
    <s v="jhaldenkp@comcast.net"/>
    <x v="1"/>
    <s v="Exc"/>
    <s v="D"/>
    <x v="1"/>
    <n v="7.29"/>
    <n v="14.58"/>
    <x v="1"/>
    <x v="2"/>
    <x v="1"/>
  </r>
  <r>
    <s v="WTT-91832-645"/>
    <x v="559"/>
    <s v="24344-88599-PP"/>
    <s v="A-M-1"/>
    <n v="3"/>
    <x v="688"/>
    <s v="holliffkq@sciencedirect.com"/>
    <x v="1"/>
    <s v="Ara"/>
    <s v="M"/>
    <x v="0"/>
    <n v="11.25"/>
    <n v="33.75"/>
    <x v="2"/>
    <x v="0"/>
    <x v="1"/>
  </r>
  <r>
    <s v="TRZ-94735-865"/>
    <x v="310"/>
    <s v="54462-58311-YF"/>
    <s v="L-M-0.5"/>
    <n v="4"/>
    <x v="689"/>
    <s v="tquadrikr@opensource.org"/>
    <x v="1"/>
    <s v="Lib"/>
    <s v="M"/>
    <x v="1"/>
    <n v="8.73"/>
    <n v="34.92"/>
    <x v="3"/>
    <x v="0"/>
    <x v="0"/>
  </r>
  <r>
    <s v="UDB-09651-780"/>
    <x v="560"/>
    <s v="90767-92589-LV"/>
    <s v="E-D-0.5"/>
    <n v="2"/>
    <x v="690"/>
    <s v="feshmadeks@umn.edu"/>
    <x v="0"/>
    <s v="Exc"/>
    <s v="D"/>
    <x v="1"/>
    <n v="7.29"/>
    <n v="14.58"/>
    <x v="1"/>
    <x v="2"/>
    <x v="1"/>
  </r>
  <r>
    <s v="EHJ-82097-549"/>
    <x v="561"/>
    <s v="27517-43747-YD"/>
    <s v="R-D-0.2"/>
    <n v="2"/>
    <x v="691"/>
    <s v="moilierkt@paginegialle.it"/>
    <x v="1"/>
    <s v="Rob"/>
    <s v="D"/>
    <x v="3"/>
    <n v="2.685"/>
    <n v="5.369999999999999"/>
    <x v="0"/>
    <x v="2"/>
    <x v="0"/>
  </r>
  <r>
    <s v="ZFR-79447-696"/>
    <x v="562"/>
    <s v="77828-66867-KH"/>
    <s v="R-M-0.5"/>
    <n v="1"/>
    <x v="692"/>
    <s v=""/>
    <x v="0"/>
    <s v="Rob"/>
    <s v="M"/>
    <x v="1"/>
    <n v="5.97"/>
    <n v="5.97"/>
    <x v="0"/>
    <x v="0"/>
    <x v="0"/>
  </r>
  <r>
    <s v="NUU-03893-975"/>
    <x v="563"/>
    <s v="41054-59693-XE"/>
    <s v="L-L-0.5"/>
    <n v="2"/>
    <x v="693"/>
    <s v="vshoebothamkv@redcross.org"/>
    <x v="0"/>
    <s v="Lib"/>
    <s v="L"/>
    <x v="1"/>
    <n v="9.51"/>
    <n v="19.02"/>
    <x v="3"/>
    <x v="1"/>
    <x v="1"/>
  </r>
  <r>
    <s v="GVG-59542-307"/>
    <x v="564"/>
    <s v="26314-66792-VP"/>
    <s v="E-M-1"/>
    <n v="2"/>
    <x v="694"/>
    <s v="bsterkekw@biblegateway.com"/>
    <x v="0"/>
    <s v="Exc"/>
    <s v="M"/>
    <x v="0"/>
    <n v="13.75"/>
    <n v="27.5"/>
    <x v="1"/>
    <x v="0"/>
    <x v="0"/>
  </r>
  <r>
    <s v="YLY-35287-172"/>
    <x v="565"/>
    <s v="69410-04668-MA"/>
    <s v="A-D-0.5"/>
    <n v="5"/>
    <x v="695"/>
    <s v="scaponkx@craigslist.org"/>
    <x v="0"/>
    <s v="Ara"/>
    <s v="D"/>
    <x v="1"/>
    <n v="5.97"/>
    <n v="29.85"/>
    <x v="2"/>
    <x v="2"/>
    <x v="1"/>
  </r>
  <r>
    <s v="DCI-96254-548"/>
    <x v="566"/>
    <s v="94091-86957-HX"/>
    <s v="A-D-0.2"/>
    <n v="6"/>
    <x v="636"/>
    <s v="jdymokeje@prnewswire.com"/>
    <x v="1"/>
    <s v="Ara"/>
    <s v="D"/>
    <x v="3"/>
    <n v="2.985"/>
    <n v="17.91"/>
    <x v="2"/>
    <x v="2"/>
    <x v="1"/>
  </r>
  <r>
    <s v="KHZ-26264-253"/>
    <x v="160"/>
    <s v="24972-55878-KX"/>
    <s v="L-L-0.2"/>
    <n v="6"/>
    <x v="696"/>
    <s v="fconstancekz@ifeng.com"/>
    <x v="0"/>
    <s v="Lib"/>
    <s v="L"/>
    <x v="3"/>
    <n v="4.755"/>
    <n v="28.53"/>
    <x v="3"/>
    <x v="1"/>
    <x v="1"/>
  </r>
  <r>
    <s v="AAQ-13644-699"/>
    <x v="567"/>
    <s v="46296-42617-OQ"/>
    <s v="R-D-1"/>
    <n v="4"/>
    <x v="697"/>
    <s v="fsulmanl0@washington.edu"/>
    <x v="0"/>
    <s v="Rob"/>
    <s v="D"/>
    <x v="0"/>
    <n v="8.949999999999999"/>
    <n v="35.8"/>
    <x v="0"/>
    <x v="2"/>
    <x v="0"/>
  </r>
  <r>
    <s v="LWL-68108-794"/>
    <x v="568"/>
    <s v="44494-89923-UW"/>
    <s v="A-D-0.5"/>
    <n v="3"/>
    <x v="698"/>
    <s v="dhollymanl1@ibm.com"/>
    <x v="0"/>
    <s v="Ara"/>
    <s v="D"/>
    <x v="1"/>
    <n v="5.97"/>
    <n v="17.91"/>
    <x v="2"/>
    <x v="2"/>
    <x v="0"/>
  </r>
  <r>
    <s v="JQT-14347-517"/>
    <x v="569"/>
    <s v="11621-09964-ID"/>
    <s v="R-D-1"/>
    <n v="1"/>
    <x v="699"/>
    <s v="lnardonil2@hao123.com"/>
    <x v="0"/>
    <s v="Rob"/>
    <s v="D"/>
    <x v="0"/>
    <n v="8.949999999999999"/>
    <n v="8.949999999999999"/>
    <x v="0"/>
    <x v="2"/>
    <x v="1"/>
  </r>
  <r>
    <s v="BMM-86471-923"/>
    <x v="570"/>
    <s v="76319-80715-II"/>
    <s v="L-D-2.5"/>
    <n v="1"/>
    <x v="700"/>
    <s v="dyarhaml3@moonfruit.com"/>
    <x v="0"/>
    <s v="Lib"/>
    <s v="D"/>
    <x v="2"/>
    <n v="29.785"/>
    <n v="29.785"/>
    <x v="3"/>
    <x v="2"/>
    <x v="0"/>
  </r>
  <r>
    <s v="IXU-67272-326"/>
    <x v="571"/>
    <s v="91654-79216-IC"/>
    <s v="E-L-0.5"/>
    <n v="5"/>
    <x v="701"/>
    <s v="aferreal4@wikia.com"/>
    <x v="0"/>
    <s v="Exc"/>
    <s v="L"/>
    <x v="1"/>
    <n v="8.91"/>
    <n v="44.55"/>
    <x v="1"/>
    <x v="1"/>
    <x v="1"/>
  </r>
  <r>
    <s v="ITE-28312-615"/>
    <x v="139"/>
    <s v="56450-21890-HK"/>
    <s v="E-L-1"/>
    <n v="6"/>
    <x v="702"/>
    <s v="ckendrickl5@webnode.com"/>
    <x v="0"/>
    <s v="Exc"/>
    <s v="L"/>
    <x v="0"/>
    <n v="14.85"/>
    <n v="89.09999999999999"/>
    <x v="1"/>
    <x v="1"/>
    <x v="0"/>
  </r>
  <r>
    <s v="ZHQ-30471-635"/>
    <x v="303"/>
    <s v="40600-58915-WZ"/>
    <s v="L-M-0.5"/>
    <n v="5"/>
    <x v="703"/>
    <s v="sdanilchikl6@mit.edu"/>
    <x v="2"/>
    <s v="Lib"/>
    <s v="M"/>
    <x v="1"/>
    <n v="8.73"/>
    <n v="43.65000000000001"/>
    <x v="3"/>
    <x v="0"/>
    <x v="1"/>
  </r>
  <r>
    <s v="LTP-31133-134"/>
    <x v="572"/>
    <s v="66527-94478-PB"/>
    <s v="A-L-0.5"/>
    <n v="3"/>
    <x v="704"/>
    <s v=""/>
    <x v="0"/>
    <s v="Ara"/>
    <s v="L"/>
    <x v="1"/>
    <n v="7.77"/>
    <n v="23.31"/>
    <x v="2"/>
    <x v="1"/>
    <x v="1"/>
  </r>
  <r>
    <s v="ZVQ-26122-859"/>
    <x v="573"/>
    <s v="77154-45038-IH"/>
    <s v="A-L-2.5"/>
    <n v="6"/>
    <x v="705"/>
    <s v="bfolomkinl8@yolasite.com"/>
    <x v="0"/>
    <s v="Ara"/>
    <s v="L"/>
    <x v="2"/>
    <n v="29.785"/>
    <n v="178.71"/>
    <x v="2"/>
    <x v="1"/>
    <x v="0"/>
  </r>
  <r>
    <s v="MIU-01481-194"/>
    <x v="574"/>
    <s v="08439-55669-AI"/>
    <s v="R-M-1"/>
    <n v="6"/>
    <x v="706"/>
    <s v="rpursglovel9@biblegateway.com"/>
    <x v="0"/>
    <s v="Rob"/>
    <s v="M"/>
    <x v="0"/>
    <n v="9.949999999999999"/>
    <n v="59.7"/>
    <x v="0"/>
    <x v="0"/>
    <x v="0"/>
  </r>
  <r>
    <s v="MIU-01481-194"/>
    <x v="574"/>
    <s v="08439-55669-AI"/>
    <s v="A-L-0.5"/>
    <n v="2"/>
    <x v="706"/>
    <s v="rpursglovel9@biblegateway.com"/>
    <x v="0"/>
    <s v="Ara"/>
    <s v="L"/>
    <x v="1"/>
    <n v="7.77"/>
    <n v="15.54"/>
    <x v="2"/>
    <x v="1"/>
    <x v="0"/>
  </r>
  <r>
    <s v="UEA-72681-629"/>
    <x v="455"/>
    <s v="24972-55878-KX"/>
    <s v="A-L-2.5"/>
    <n v="3"/>
    <x v="696"/>
    <s v="fconstancekz@ifeng.com"/>
    <x v="0"/>
    <s v="Ara"/>
    <s v="L"/>
    <x v="2"/>
    <n v="29.785"/>
    <n v="89.35499999999999"/>
    <x v="2"/>
    <x v="1"/>
    <x v="1"/>
  </r>
  <r>
    <s v="CVE-15042-481"/>
    <x v="575"/>
    <s v="24972-55878-KX"/>
    <s v="R-L-1"/>
    <n v="2"/>
    <x v="696"/>
    <s v="fconstancekz@ifeng.com"/>
    <x v="0"/>
    <s v="Rob"/>
    <s v="L"/>
    <x v="0"/>
    <n v="11.95"/>
    <n v="23.9"/>
    <x v="0"/>
    <x v="1"/>
    <x v="1"/>
  </r>
  <r>
    <s v="EJA-79176-833"/>
    <x v="576"/>
    <s v="91509-62250-GN"/>
    <s v="R-M-2.5"/>
    <n v="6"/>
    <x v="707"/>
    <s v="deburahld@google.co.jp"/>
    <x v="2"/>
    <s v="Rob"/>
    <s v="M"/>
    <x v="2"/>
    <n v="22.885"/>
    <n v="137.31"/>
    <x v="0"/>
    <x v="0"/>
    <x v="1"/>
  </r>
  <r>
    <s v="AHQ-40440-522"/>
    <x v="577"/>
    <s v="83833-46106-ZC"/>
    <s v="A-D-1"/>
    <n v="1"/>
    <x v="708"/>
    <s v="mbrimilcombele@cnn.com"/>
    <x v="0"/>
    <s v="Ara"/>
    <s v="D"/>
    <x v="0"/>
    <n v="9.949999999999999"/>
    <n v="9.949999999999999"/>
    <x v="2"/>
    <x v="2"/>
    <x v="1"/>
  </r>
  <r>
    <s v="TID-21626-411"/>
    <x v="578"/>
    <s v="19383-33606-PW"/>
    <s v="R-L-0.5"/>
    <n v="3"/>
    <x v="709"/>
    <s v="sbollamlf@list-manage.com"/>
    <x v="0"/>
    <s v="Rob"/>
    <s v="L"/>
    <x v="1"/>
    <n v="7.169999999999999"/>
    <n v="21.51"/>
    <x v="0"/>
    <x v="1"/>
    <x v="1"/>
  </r>
  <r>
    <s v="RSR-96390-187"/>
    <x v="579"/>
    <s v="67052-76184-CB"/>
    <s v="E-M-1"/>
    <n v="6"/>
    <x v="710"/>
    <s v=""/>
    <x v="0"/>
    <s v="Exc"/>
    <s v="M"/>
    <x v="0"/>
    <n v="13.75"/>
    <n v="82.5"/>
    <x v="1"/>
    <x v="0"/>
    <x v="1"/>
  </r>
  <r>
    <s v="BZE-96093-118"/>
    <x v="91"/>
    <s v="43452-18035-DH"/>
    <s v="L-M-0.2"/>
    <n v="2"/>
    <x v="711"/>
    <s v="afilipczaklh@ning.com"/>
    <x v="1"/>
    <s v="Lib"/>
    <s v="M"/>
    <x v="3"/>
    <n v="4.365"/>
    <n v="8.73"/>
    <x v="3"/>
    <x v="0"/>
    <x v="1"/>
  </r>
  <r>
    <s v="LOU-41819-242"/>
    <x v="272"/>
    <s v="88060-50676-MV"/>
    <s v="R-M-1"/>
    <n v="2"/>
    <x v="712"/>
    <s v=""/>
    <x v="0"/>
    <s v="Rob"/>
    <s v="M"/>
    <x v="0"/>
    <n v="9.949999999999999"/>
    <n v="19.9"/>
    <x v="0"/>
    <x v="0"/>
    <x v="0"/>
  </r>
  <r>
    <s v="FND-99527-640"/>
    <x v="65"/>
    <s v="89574-96203-EP"/>
    <s v="E-L-0.5"/>
    <n v="2"/>
    <x v="713"/>
    <s v="relnaughlj@comsenz.com"/>
    <x v="0"/>
    <s v="Exc"/>
    <s v="L"/>
    <x v="1"/>
    <n v="8.91"/>
    <n v="17.82"/>
    <x v="1"/>
    <x v="1"/>
    <x v="0"/>
  </r>
  <r>
    <s v="ASG-27179-958"/>
    <x v="580"/>
    <s v="12607-75113-UV"/>
    <s v="A-M-0.5"/>
    <n v="3"/>
    <x v="714"/>
    <s v="jdeehanlk@about.me"/>
    <x v="0"/>
    <s v="Ara"/>
    <s v="M"/>
    <x v="1"/>
    <n v="6.75"/>
    <n v="20.25"/>
    <x v="2"/>
    <x v="0"/>
    <x v="1"/>
  </r>
  <r>
    <s v="YKX-23510-272"/>
    <x v="581"/>
    <s v="56991-05510-PR"/>
    <s v="A-L-2.5"/>
    <n v="2"/>
    <x v="715"/>
    <s v="jedenll@e-recht24.de"/>
    <x v="0"/>
    <s v="Ara"/>
    <s v="L"/>
    <x v="2"/>
    <n v="29.785"/>
    <n v="59.56999999999999"/>
    <x v="2"/>
    <x v="1"/>
    <x v="1"/>
  </r>
  <r>
    <s v="FSA-98650-921"/>
    <x v="489"/>
    <s v="01841-48191-NL"/>
    <s v="L-L-0.5"/>
    <n v="2"/>
    <x v="716"/>
    <s v="cjewsterlu@moonfruit.com"/>
    <x v="0"/>
    <s v="Lib"/>
    <s v="L"/>
    <x v="1"/>
    <n v="9.51"/>
    <n v="19.02"/>
    <x v="3"/>
    <x v="1"/>
    <x v="0"/>
  </r>
  <r>
    <s v="ZUR-55774-294"/>
    <x v="234"/>
    <s v="33269-10023-CO"/>
    <s v="L-D-1"/>
    <n v="6"/>
    <x v="717"/>
    <s v="usoutherdenln@hao123.com"/>
    <x v="0"/>
    <s v="Lib"/>
    <s v="D"/>
    <x v="0"/>
    <n v="12.95"/>
    <n v="77.69999999999999"/>
    <x v="3"/>
    <x v="2"/>
    <x v="0"/>
  </r>
  <r>
    <s v="FUO-99821-974"/>
    <x v="175"/>
    <s v="31245-81098-PJ"/>
    <s v="E-M-1"/>
    <n v="3"/>
    <x v="718"/>
    <s v=""/>
    <x v="0"/>
    <s v="Exc"/>
    <s v="M"/>
    <x v="0"/>
    <n v="13.75"/>
    <n v="41.25"/>
    <x v="1"/>
    <x v="0"/>
    <x v="1"/>
  </r>
  <r>
    <s v="YVH-19865-819"/>
    <x v="582"/>
    <s v="08946-56610-IH"/>
    <s v="L-L-2.5"/>
    <n v="4"/>
    <x v="719"/>
    <s v="lburtenshawlp@shinystat.com"/>
    <x v="0"/>
    <s v="Lib"/>
    <s v="L"/>
    <x v="2"/>
    <n v="36.455"/>
    <n v="145.82"/>
    <x v="3"/>
    <x v="1"/>
    <x v="1"/>
  </r>
  <r>
    <s v="NNF-47422-501"/>
    <x v="583"/>
    <s v="20260-32948-EB"/>
    <s v="E-L-0.2"/>
    <n v="6"/>
    <x v="720"/>
    <s v="agregorattilq@vistaprint.com"/>
    <x v="1"/>
    <s v="Exc"/>
    <s v="L"/>
    <x v="3"/>
    <n v="4.455"/>
    <n v="26.73"/>
    <x v="1"/>
    <x v="1"/>
    <x v="1"/>
  </r>
  <r>
    <s v="RJI-71409-490"/>
    <x v="548"/>
    <s v="31613-41626-KX"/>
    <s v="L-M-0.5"/>
    <n v="5"/>
    <x v="721"/>
    <s v="ccrosterlr@gov.uk"/>
    <x v="0"/>
    <s v="Lib"/>
    <s v="M"/>
    <x v="1"/>
    <n v="8.73"/>
    <n v="43.65000000000001"/>
    <x v="3"/>
    <x v="0"/>
    <x v="0"/>
  </r>
  <r>
    <s v="UZL-46108-213"/>
    <x v="584"/>
    <s v="75961-20170-RD"/>
    <s v="L-L-1"/>
    <n v="2"/>
    <x v="722"/>
    <s v="gwhiteheadls@hp.com"/>
    <x v="0"/>
    <s v="Lib"/>
    <s v="L"/>
    <x v="0"/>
    <n v="15.85"/>
    <n v="31.7"/>
    <x v="3"/>
    <x v="1"/>
    <x v="1"/>
  </r>
  <r>
    <s v="AOX-44467-109"/>
    <x v="64"/>
    <s v="72524-06410-KD"/>
    <s v="A-D-2.5"/>
    <n v="1"/>
    <x v="723"/>
    <s v="hjodrellelt@samsung.com"/>
    <x v="0"/>
    <s v="Ara"/>
    <s v="D"/>
    <x v="2"/>
    <n v="22.885"/>
    <n v="22.885"/>
    <x v="2"/>
    <x v="2"/>
    <x v="1"/>
  </r>
  <r>
    <s v="TZD-67261-174"/>
    <x v="585"/>
    <s v="01841-48191-NL"/>
    <s v="E-D-2.5"/>
    <n v="1"/>
    <x v="716"/>
    <s v="cjewsterlu@moonfruit.com"/>
    <x v="0"/>
    <s v="Exc"/>
    <s v="D"/>
    <x v="2"/>
    <n v="27.945"/>
    <n v="27.945"/>
    <x v="1"/>
    <x v="2"/>
    <x v="0"/>
  </r>
  <r>
    <s v="TBU-64277-625"/>
    <x v="32"/>
    <s v="98918-34330-GY"/>
    <s v="E-M-1"/>
    <n v="6"/>
    <x v="724"/>
    <s v=""/>
    <x v="0"/>
    <s v="Exc"/>
    <s v="M"/>
    <x v="0"/>
    <n v="13.75"/>
    <n v="82.5"/>
    <x v="1"/>
    <x v="0"/>
    <x v="0"/>
  </r>
  <r>
    <s v="TYP-85767-944"/>
    <x v="586"/>
    <s v="51497-50894-WU"/>
    <s v="R-M-2.5"/>
    <n v="2"/>
    <x v="725"/>
    <s v="knottramlw@odnoklassniki.ru"/>
    <x v="1"/>
    <s v="Rob"/>
    <s v="M"/>
    <x v="2"/>
    <n v="22.885"/>
    <n v="45.77"/>
    <x v="0"/>
    <x v="0"/>
    <x v="0"/>
  </r>
  <r>
    <s v="GTT-73214-334"/>
    <x v="535"/>
    <s v="98636-90072-YE"/>
    <s v="A-L-1"/>
    <n v="6"/>
    <x v="726"/>
    <s v="nbuneylx@jugem.jp"/>
    <x v="0"/>
    <s v="Ara"/>
    <s v="L"/>
    <x v="0"/>
    <n v="12.95"/>
    <n v="77.69999999999999"/>
    <x v="2"/>
    <x v="1"/>
    <x v="1"/>
  </r>
  <r>
    <s v="WAI-89905-069"/>
    <x v="587"/>
    <s v="47011-57815-HJ"/>
    <s v="A-L-0.5"/>
    <n v="3"/>
    <x v="727"/>
    <s v="smcshealy@photobucket.com"/>
    <x v="0"/>
    <s v="Ara"/>
    <s v="L"/>
    <x v="1"/>
    <n v="7.77"/>
    <n v="23.31"/>
    <x v="2"/>
    <x v="1"/>
    <x v="1"/>
  </r>
  <r>
    <s v="OJL-96844-459"/>
    <x v="393"/>
    <s v="61253-98356-VD"/>
    <s v="L-L-0.2"/>
    <n v="5"/>
    <x v="728"/>
    <s v="khuddartlz@about.com"/>
    <x v="0"/>
    <s v="Lib"/>
    <s v="L"/>
    <x v="3"/>
    <n v="4.755"/>
    <n v="23.775"/>
    <x v="3"/>
    <x v="1"/>
    <x v="0"/>
  </r>
  <r>
    <s v="VGI-33205-360"/>
    <x v="588"/>
    <s v="96762-10814-DA"/>
    <s v="L-M-0.5"/>
    <n v="6"/>
    <x v="729"/>
    <s v="jgippesm0@cloudflare.com"/>
    <x v="2"/>
    <s v="Lib"/>
    <s v="M"/>
    <x v="1"/>
    <n v="8.73"/>
    <n v="52.38"/>
    <x v="3"/>
    <x v="0"/>
    <x v="0"/>
  </r>
  <r>
    <s v="PCA-14081-576"/>
    <x v="15"/>
    <s v="63112-10870-LC"/>
    <s v="R-L-0.2"/>
    <n v="5"/>
    <x v="730"/>
    <s v="lwhittleseem1@e-recht24.de"/>
    <x v="0"/>
    <s v="Rob"/>
    <s v="L"/>
    <x v="3"/>
    <n v="3.585"/>
    <n v="17.925"/>
    <x v="0"/>
    <x v="1"/>
    <x v="1"/>
  </r>
  <r>
    <s v="SCS-67069-962"/>
    <x v="507"/>
    <s v="21403-49423-PD"/>
    <s v="A-L-2.5"/>
    <n v="5"/>
    <x v="731"/>
    <s v="gtrengrovem2@elpais.com"/>
    <x v="0"/>
    <s v="Ara"/>
    <s v="L"/>
    <x v="2"/>
    <n v="29.785"/>
    <n v="148.925"/>
    <x v="2"/>
    <x v="1"/>
    <x v="1"/>
  </r>
  <r>
    <s v="BDM-03174-485"/>
    <x v="533"/>
    <s v="29581-13303-VB"/>
    <s v="R-L-0.5"/>
    <n v="4"/>
    <x v="732"/>
    <s v="wcalderom3@stumbleupon.com"/>
    <x v="0"/>
    <s v="Rob"/>
    <s v="L"/>
    <x v="1"/>
    <n v="7.169999999999999"/>
    <n v="28.68"/>
    <x v="0"/>
    <x v="1"/>
    <x v="1"/>
  </r>
  <r>
    <s v="UJV-32333-364"/>
    <x v="589"/>
    <s v="86110-83695-YS"/>
    <s v="L-L-0.5"/>
    <n v="1"/>
    <x v="733"/>
    <s v=""/>
    <x v="0"/>
    <s v="Lib"/>
    <s v="L"/>
    <x v="1"/>
    <n v="9.51"/>
    <n v="9.51"/>
    <x v="3"/>
    <x v="1"/>
    <x v="1"/>
  </r>
  <r>
    <s v="FLI-11493-954"/>
    <x v="590"/>
    <s v="80454-42225-FT"/>
    <s v="A-L-0.5"/>
    <n v="4"/>
    <x v="734"/>
    <s v="jkennicottm5@yahoo.co.jp"/>
    <x v="0"/>
    <s v="Ara"/>
    <s v="L"/>
    <x v="1"/>
    <n v="7.77"/>
    <n v="31.08"/>
    <x v="2"/>
    <x v="1"/>
    <x v="1"/>
  </r>
  <r>
    <s v="IWL-13117-537"/>
    <x v="457"/>
    <s v="29129-60664-KO"/>
    <s v="R-D-0.2"/>
    <n v="3"/>
    <x v="735"/>
    <s v="gruggenm6@nymag.com"/>
    <x v="0"/>
    <s v="Rob"/>
    <s v="D"/>
    <x v="3"/>
    <n v="2.685"/>
    <n v="8.055"/>
    <x v="0"/>
    <x v="2"/>
    <x v="0"/>
  </r>
  <r>
    <s v="OAM-76916-748"/>
    <x v="591"/>
    <s v="63025-62939-AN"/>
    <s v="E-D-1"/>
    <n v="3"/>
    <x v="736"/>
    <s v=""/>
    <x v="0"/>
    <s v="Exc"/>
    <s v="D"/>
    <x v="0"/>
    <n v="12.15"/>
    <n v="36.45"/>
    <x v="1"/>
    <x v="2"/>
    <x v="0"/>
  </r>
  <r>
    <s v="UMB-11223-710"/>
    <x v="592"/>
    <s v="49012-12987-QT"/>
    <s v="R-D-0.2"/>
    <n v="6"/>
    <x v="737"/>
    <s v="mfrightm8@harvard.edu"/>
    <x v="1"/>
    <s v="Rob"/>
    <s v="D"/>
    <x v="3"/>
    <n v="2.685"/>
    <n v="16.11"/>
    <x v="0"/>
    <x v="2"/>
    <x v="1"/>
  </r>
  <r>
    <s v="LXR-09892-726"/>
    <x v="402"/>
    <s v="50924-94200-SQ"/>
    <s v="R-D-2.5"/>
    <n v="2"/>
    <x v="738"/>
    <s v="btartem9@aol.com"/>
    <x v="0"/>
    <s v="Rob"/>
    <s v="D"/>
    <x v="2"/>
    <n v="20.585"/>
    <n v="41.16999999999999"/>
    <x v="0"/>
    <x v="2"/>
    <x v="0"/>
  </r>
  <r>
    <s v="QXX-89943-393"/>
    <x v="593"/>
    <s v="15673-18812-IU"/>
    <s v="R-D-0.2"/>
    <n v="4"/>
    <x v="739"/>
    <s v="ckrzysztofiakma@skyrock.com"/>
    <x v="0"/>
    <s v="Rob"/>
    <s v="D"/>
    <x v="3"/>
    <n v="2.685"/>
    <n v="10.74"/>
    <x v="0"/>
    <x v="2"/>
    <x v="1"/>
  </r>
  <r>
    <s v="WVS-57822-366"/>
    <x v="594"/>
    <s v="52151-75971-YY"/>
    <s v="E-M-2.5"/>
    <n v="4"/>
    <x v="740"/>
    <s v="dpenquetmb@diigo.com"/>
    <x v="0"/>
    <s v="Exc"/>
    <s v="M"/>
    <x v="2"/>
    <n v="31.625"/>
    <n v="126.5"/>
    <x v="1"/>
    <x v="0"/>
    <x v="1"/>
  </r>
  <r>
    <s v="CLJ-23403-689"/>
    <x v="77"/>
    <s v="19413-02045-CG"/>
    <s v="R-L-1"/>
    <n v="2"/>
    <x v="741"/>
    <s v=""/>
    <x v="2"/>
    <s v="Rob"/>
    <s v="L"/>
    <x v="0"/>
    <n v="11.95"/>
    <n v="23.9"/>
    <x v="0"/>
    <x v="1"/>
    <x v="1"/>
  </r>
  <r>
    <s v="XNU-83276-288"/>
    <x v="595"/>
    <s v="98185-92775-KT"/>
    <s v="R-M-0.5"/>
    <n v="1"/>
    <x v="742"/>
    <s v=""/>
    <x v="0"/>
    <s v="Rob"/>
    <s v="M"/>
    <x v="1"/>
    <n v="5.97"/>
    <n v="5.97"/>
    <x v="0"/>
    <x v="0"/>
    <x v="1"/>
  </r>
  <r>
    <s v="YOG-94666-679"/>
    <x v="596"/>
    <s v="86991-53901-AT"/>
    <s v="L-D-0.2"/>
    <n v="2"/>
    <x v="743"/>
    <s v=""/>
    <x v="2"/>
    <s v="Lib"/>
    <s v="D"/>
    <x v="3"/>
    <n v="3.885"/>
    <n v="7.77"/>
    <x v="3"/>
    <x v="2"/>
    <x v="0"/>
  </r>
  <r>
    <s v="KHG-33953-115"/>
    <x v="514"/>
    <s v="78226-97287-JI"/>
    <s v="L-D-0.5"/>
    <n v="3"/>
    <x v="744"/>
    <s v="kferrettimf@huffingtonpost.com"/>
    <x v="1"/>
    <s v="Lib"/>
    <s v="D"/>
    <x v="1"/>
    <n v="7.77"/>
    <n v="23.31"/>
    <x v="3"/>
    <x v="2"/>
    <x v="1"/>
  </r>
  <r>
    <s v="MHD-95615-696"/>
    <x v="54"/>
    <s v="27930-59250-JT"/>
    <s v="R-L-2.5"/>
    <n v="5"/>
    <x v="745"/>
    <s v=""/>
    <x v="0"/>
    <s v="Rob"/>
    <s v="L"/>
    <x v="2"/>
    <n v="27.485"/>
    <n v="137.425"/>
    <x v="0"/>
    <x v="1"/>
    <x v="1"/>
  </r>
  <r>
    <s v="HBH-64794-080"/>
    <x v="597"/>
    <s v="40560-18556-YE"/>
    <s v="R-D-0.2"/>
    <n v="3"/>
    <x v="746"/>
    <s v=""/>
    <x v="0"/>
    <s v="Rob"/>
    <s v="D"/>
    <x v="3"/>
    <n v="2.685"/>
    <n v="8.055"/>
    <x v="0"/>
    <x v="2"/>
    <x v="0"/>
  </r>
  <r>
    <s v="CNJ-56058-223"/>
    <x v="105"/>
    <s v="40780-22081-LX"/>
    <s v="L-L-0.5"/>
    <n v="3"/>
    <x v="747"/>
    <s v="abalsdonemi@toplist.cz"/>
    <x v="0"/>
    <s v="Lib"/>
    <s v="L"/>
    <x v="1"/>
    <n v="9.51"/>
    <n v="28.53"/>
    <x v="3"/>
    <x v="1"/>
    <x v="1"/>
  </r>
  <r>
    <s v="KHO-27106-786"/>
    <x v="210"/>
    <s v="01603-43789-TN"/>
    <s v="A-M-1"/>
    <n v="6"/>
    <x v="748"/>
    <s v="bromeramj@list-manage.com"/>
    <x v="1"/>
    <s v="Ara"/>
    <s v="M"/>
    <x v="0"/>
    <n v="11.25"/>
    <n v="67.5"/>
    <x v="2"/>
    <x v="0"/>
    <x v="0"/>
  </r>
  <r>
    <s v="KHO-27106-786"/>
    <x v="210"/>
    <s v="01603-43789-TN"/>
    <s v="L-D-2.5"/>
    <n v="6"/>
    <x v="748"/>
    <s v="bromeramj@list-manage.com"/>
    <x v="1"/>
    <s v="Lib"/>
    <s v="D"/>
    <x v="2"/>
    <n v="29.785"/>
    <n v="178.71"/>
    <x v="3"/>
    <x v="2"/>
    <x v="0"/>
  </r>
  <r>
    <s v="YAC-50329-982"/>
    <x v="598"/>
    <s v="75419-92838-TI"/>
    <s v="E-M-2.5"/>
    <n v="1"/>
    <x v="749"/>
    <s v="cbrydeml@tuttocitta.it"/>
    <x v="0"/>
    <s v="Exc"/>
    <s v="M"/>
    <x v="2"/>
    <n v="31.625"/>
    <n v="31.625"/>
    <x v="1"/>
    <x v="0"/>
    <x v="0"/>
  </r>
  <r>
    <s v="VVL-95291-039"/>
    <x v="360"/>
    <s v="96516-97464-MF"/>
    <s v="E-L-0.2"/>
    <n v="2"/>
    <x v="750"/>
    <s v="senefermm@blog.com"/>
    <x v="0"/>
    <s v="Exc"/>
    <s v="L"/>
    <x v="3"/>
    <n v="4.455"/>
    <n v="8.91"/>
    <x v="1"/>
    <x v="1"/>
    <x v="1"/>
  </r>
  <r>
    <s v="VUT-20974-364"/>
    <x v="62"/>
    <s v="90285-56295-PO"/>
    <s v="R-M-0.5"/>
    <n v="6"/>
    <x v="751"/>
    <s v="lhaggerstonemn@independent.co.uk"/>
    <x v="0"/>
    <s v="Rob"/>
    <s v="M"/>
    <x v="1"/>
    <n v="5.97"/>
    <n v="35.82"/>
    <x v="0"/>
    <x v="0"/>
    <x v="1"/>
  </r>
  <r>
    <s v="SFC-34054-213"/>
    <x v="599"/>
    <s v="08100-71102-HQ"/>
    <s v="L-L-0.5"/>
    <n v="4"/>
    <x v="752"/>
    <s v="mgundrymo@omniture.com"/>
    <x v="1"/>
    <s v="Lib"/>
    <s v="L"/>
    <x v="1"/>
    <n v="9.51"/>
    <n v="38.04"/>
    <x v="3"/>
    <x v="1"/>
    <x v="1"/>
  </r>
  <r>
    <s v="UDS-04807-593"/>
    <x v="600"/>
    <s v="84074-28110-OV"/>
    <s v="L-D-0.5"/>
    <n v="2"/>
    <x v="753"/>
    <s v="bwellanmp@cafepress.com"/>
    <x v="0"/>
    <s v="Lib"/>
    <s v="D"/>
    <x v="1"/>
    <n v="7.77"/>
    <n v="15.54"/>
    <x v="3"/>
    <x v="2"/>
    <x v="1"/>
  </r>
  <r>
    <s v="FWE-98471-488"/>
    <x v="601"/>
    <s v="27930-59250-JT"/>
    <s v="L-L-1"/>
    <n v="5"/>
    <x v="745"/>
    <s v=""/>
    <x v="0"/>
    <s v="Lib"/>
    <s v="L"/>
    <x v="0"/>
    <n v="15.85"/>
    <n v="79.25"/>
    <x v="3"/>
    <x v="1"/>
    <x v="1"/>
  </r>
  <r>
    <s v="RAU-17060-674"/>
    <x v="602"/>
    <s v="12747-63766-EU"/>
    <s v="L-L-0.2"/>
    <n v="1"/>
    <x v="754"/>
    <s v="catchesonmr@xinhuanet.com"/>
    <x v="0"/>
    <s v="Lib"/>
    <s v="L"/>
    <x v="3"/>
    <n v="4.755"/>
    <n v="4.755"/>
    <x v="3"/>
    <x v="1"/>
    <x v="0"/>
  </r>
  <r>
    <s v="AOL-13866-711"/>
    <x v="603"/>
    <s v="83490-88357-LJ"/>
    <s v="E-M-1"/>
    <n v="4"/>
    <x v="755"/>
    <s v="estentonms@google.it"/>
    <x v="0"/>
    <s v="Exc"/>
    <s v="M"/>
    <x v="0"/>
    <n v="13.75"/>
    <n v="55"/>
    <x v="1"/>
    <x v="0"/>
    <x v="0"/>
  </r>
  <r>
    <s v="NOA-79645-377"/>
    <x v="604"/>
    <s v="53729-30320-XZ"/>
    <s v="R-D-0.5"/>
    <n v="5"/>
    <x v="756"/>
    <s v="etrippmt@wp.com"/>
    <x v="0"/>
    <s v="Rob"/>
    <s v="D"/>
    <x v="1"/>
    <n v="5.369999999999999"/>
    <n v="26.84999999999999"/>
    <x v="0"/>
    <x v="2"/>
    <x v="1"/>
  </r>
  <r>
    <s v="KMS-49214-806"/>
    <x v="605"/>
    <s v="50384-52703-LA"/>
    <s v="E-L-2.5"/>
    <n v="4"/>
    <x v="757"/>
    <s v="lmacmanusmu@imdb.com"/>
    <x v="0"/>
    <s v="Exc"/>
    <s v="L"/>
    <x v="2"/>
    <n v="34.15499999999999"/>
    <n v="136.62"/>
    <x v="1"/>
    <x v="1"/>
    <x v="1"/>
  </r>
  <r>
    <s v="ABK-08091-531"/>
    <x v="606"/>
    <s v="53864-36201-FG"/>
    <s v="L-L-1"/>
    <n v="3"/>
    <x v="758"/>
    <s v="tbenediktovichmv@ebay.com"/>
    <x v="0"/>
    <s v="Lib"/>
    <s v="L"/>
    <x v="0"/>
    <n v="15.85"/>
    <n v="47.55"/>
    <x v="3"/>
    <x v="1"/>
    <x v="0"/>
  </r>
  <r>
    <s v="GPT-67705-953"/>
    <x v="446"/>
    <s v="70631-33225-MZ"/>
    <s v="A-M-0.2"/>
    <n v="5"/>
    <x v="759"/>
    <s v="cbournermw@chronoengine.com"/>
    <x v="0"/>
    <s v="Ara"/>
    <s v="M"/>
    <x v="3"/>
    <n v="3.375"/>
    <n v="16.875"/>
    <x v="2"/>
    <x v="0"/>
    <x v="0"/>
  </r>
  <r>
    <s v="JNA-21450-177"/>
    <x v="18"/>
    <s v="54798-14109-HC"/>
    <s v="A-D-1"/>
    <n v="3"/>
    <x v="760"/>
    <s v="oskermen3@hatena.ne.jp"/>
    <x v="0"/>
    <s v="Ara"/>
    <s v="D"/>
    <x v="0"/>
    <n v="9.949999999999999"/>
    <n v="29.85"/>
    <x v="2"/>
    <x v="2"/>
    <x v="0"/>
  </r>
  <r>
    <s v="MPQ-23421-608"/>
    <x v="180"/>
    <s v="08023-52962-ET"/>
    <s v="E-M-0.5"/>
    <n v="5"/>
    <x v="761"/>
    <s v="kheddanmy@icq.com"/>
    <x v="0"/>
    <s v="Exc"/>
    <s v="M"/>
    <x v="1"/>
    <n v="8.25"/>
    <n v="41.25"/>
    <x v="1"/>
    <x v="0"/>
    <x v="0"/>
  </r>
  <r>
    <s v="NLI-63891-565"/>
    <x v="580"/>
    <s v="41899-00283-VK"/>
    <s v="E-M-0.2"/>
    <n v="5"/>
    <x v="762"/>
    <s v="ichartersmz@abc.net.au"/>
    <x v="0"/>
    <s v="Exc"/>
    <s v="M"/>
    <x v="3"/>
    <n v="4.125"/>
    <n v="20.625"/>
    <x v="1"/>
    <x v="0"/>
    <x v="1"/>
  </r>
  <r>
    <s v="HHF-36647-854"/>
    <x v="453"/>
    <s v="39011-18412-GR"/>
    <s v="A-D-2.5"/>
    <n v="6"/>
    <x v="763"/>
    <s v="aroubertn0@tmall.com"/>
    <x v="0"/>
    <s v="Ara"/>
    <s v="D"/>
    <x v="2"/>
    <n v="22.885"/>
    <n v="137.31"/>
    <x v="2"/>
    <x v="2"/>
    <x v="0"/>
  </r>
  <r>
    <s v="SBN-16537-046"/>
    <x v="259"/>
    <s v="60255-12579-PZ"/>
    <s v="A-D-0.2"/>
    <n v="1"/>
    <x v="764"/>
    <s v="hmairsn1@so-net.ne.jp"/>
    <x v="0"/>
    <s v="Ara"/>
    <s v="D"/>
    <x v="3"/>
    <n v="2.985"/>
    <n v="2.985"/>
    <x v="2"/>
    <x v="2"/>
    <x v="1"/>
  </r>
  <r>
    <s v="XZD-44484-632"/>
    <x v="607"/>
    <s v="80541-38332-BP"/>
    <s v="E-M-1"/>
    <n v="2"/>
    <x v="765"/>
    <s v="hrainforthn2@blog.com"/>
    <x v="0"/>
    <s v="Exc"/>
    <s v="M"/>
    <x v="0"/>
    <n v="13.75"/>
    <n v="27.5"/>
    <x v="1"/>
    <x v="0"/>
    <x v="1"/>
  </r>
  <r>
    <s v="XZD-44484-632"/>
    <x v="607"/>
    <s v="80541-38332-BP"/>
    <s v="A-D-0.2"/>
    <n v="2"/>
    <x v="765"/>
    <s v="hrainforthn2@blog.com"/>
    <x v="0"/>
    <s v="Ara"/>
    <s v="D"/>
    <x v="3"/>
    <n v="2.985"/>
    <n v="5.97"/>
    <x v="2"/>
    <x v="2"/>
    <x v="1"/>
  </r>
  <r>
    <s v="IKQ-39946-768"/>
    <x v="385"/>
    <s v="72778-50968-UQ"/>
    <s v="R-M-1"/>
    <n v="6"/>
    <x v="766"/>
    <s v="ijespern4@theglobeandmail.com"/>
    <x v="0"/>
    <s v="Rob"/>
    <s v="M"/>
    <x v="0"/>
    <n v="9.949999999999999"/>
    <n v="59.7"/>
    <x v="0"/>
    <x v="0"/>
    <x v="1"/>
  </r>
  <r>
    <s v="KMB-95211-174"/>
    <x v="608"/>
    <s v="23941-30203-MO"/>
    <s v="R-D-2.5"/>
    <n v="4"/>
    <x v="767"/>
    <s v="ldwerryhousen5@gravatar.com"/>
    <x v="0"/>
    <s v="Rob"/>
    <s v="D"/>
    <x v="2"/>
    <n v="20.585"/>
    <n v="82.33999999999999"/>
    <x v="0"/>
    <x v="2"/>
    <x v="0"/>
  </r>
  <r>
    <s v="QWY-99467-368"/>
    <x v="609"/>
    <s v="96434-50068-DZ"/>
    <s v="A-D-2.5"/>
    <n v="1"/>
    <x v="768"/>
    <s v="nbroomern6@examiner.com"/>
    <x v="0"/>
    <s v="Ara"/>
    <s v="D"/>
    <x v="2"/>
    <n v="22.885"/>
    <n v="22.885"/>
    <x v="2"/>
    <x v="2"/>
    <x v="1"/>
  </r>
  <r>
    <s v="SRG-76791-614"/>
    <x v="147"/>
    <s v="11729-74102-XB"/>
    <s v="E-L-0.5"/>
    <n v="1"/>
    <x v="769"/>
    <s v="kthoumassonn7@bloglovin.com"/>
    <x v="0"/>
    <s v="Exc"/>
    <s v="L"/>
    <x v="1"/>
    <n v="8.91"/>
    <n v="8.91"/>
    <x v="1"/>
    <x v="1"/>
    <x v="0"/>
  </r>
  <r>
    <s v="VSN-94485-621"/>
    <x v="172"/>
    <s v="88116-12604-TE"/>
    <s v="A-D-0.2"/>
    <n v="4"/>
    <x v="770"/>
    <s v="fhabberghamn8@discovery.com"/>
    <x v="0"/>
    <s v="Ara"/>
    <s v="D"/>
    <x v="3"/>
    <n v="2.985"/>
    <n v="11.94"/>
    <x v="2"/>
    <x v="2"/>
    <x v="1"/>
  </r>
  <r>
    <s v="UFZ-24348-219"/>
    <x v="610"/>
    <s v="27930-59250-JT"/>
    <s v="L-M-2.5"/>
    <n v="3"/>
    <x v="745"/>
    <s v=""/>
    <x v="0"/>
    <s v="Lib"/>
    <s v="M"/>
    <x v="2"/>
    <n v="33.465"/>
    <n v="100.395"/>
    <x v="3"/>
    <x v="0"/>
    <x v="1"/>
  </r>
  <r>
    <s v="UKS-93055-397"/>
    <x v="611"/>
    <s v="13082-41034-PD"/>
    <s v="A-D-2.5"/>
    <n v="5"/>
    <x v="771"/>
    <s v="ravrashinna@tamu.edu"/>
    <x v="0"/>
    <s v="Ara"/>
    <s v="D"/>
    <x v="2"/>
    <n v="22.885"/>
    <n v="114.425"/>
    <x v="2"/>
    <x v="2"/>
    <x v="1"/>
  </r>
  <r>
    <s v="AVH-56062-335"/>
    <x v="612"/>
    <s v="18082-74419-QH"/>
    <s v="E-M-0.5"/>
    <n v="5"/>
    <x v="772"/>
    <s v="mdoidgenb@etsy.com"/>
    <x v="0"/>
    <s v="Exc"/>
    <s v="M"/>
    <x v="1"/>
    <n v="8.25"/>
    <n v="41.25"/>
    <x v="1"/>
    <x v="0"/>
    <x v="1"/>
  </r>
  <r>
    <s v="HGE-19842-613"/>
    <x v="613"/>
    <s v="49401-45041-ZU"/>
    <s v="R-L-0.5"/>
    <n v="4"/>
    <x v="773"/>
    <s v="jedinboronc@reverbnation.com"/>
    <x v="0"/>
    <s v="Rob"/>
    <s v="L"/>
    <x v="1"/>
    <n v="7.169999999999999"/>
    <n v="28.68"/>
    <x v="0"/>
    <x v="1"/>
    <x v="0"/>
  </r>
  <r>
    <s v="WBA-85905-175"/>
    <x v="611"/>
    <s v="41252-45992-VS"/>
    <s v="L-M-0.2"/>
    <n v="1"/>
    <x v="774"/>
    <s v="ttewelsonnd@cdbaby.com"/>
    <x v="0"/>
    <s v="Lib"/>
    <s v="M"/>
    <x v="3"/>
    <n v="4.365"/>
    <n v="4.365"/>
    <x v="3"/>
    <x v="0"/>
    <x v="1"/>
  </r>
  <r>
    <s v="DZI-35365-596"/>
    <x v="493"/>
    <s v="54798-14109-HC"/>
    <s v="E-M-0.2"/>
    <n v="2"/>
    <x v="760"/>
    <s v="oskermen3@hatena.ne.jp"/>
    <x v="0"/>
    <s v="Exc"/>
    <s v="M"/>
    <x v="3"/>
    <n v="4.125"/>
    <n v="8.25"/>
    <x v="1"/>
    <x v="0"/>
    <x v="0"/>
  </r>
  <r>
    <s v="XIR-88982-743"/>
    <x v="614"/>
    <s v="00852-54571-WP"/>
    <s v="E-M-0.2"/>
    <n v="2"/>
    <x v="775"/>
    <s v="ddrewittnf@mapquest.com"/>
    <x v="0"/>
    <s v="Exc"/>
    <s v="M"/>
    <x v="3"/>
    <n v="4.125"/>
    <n v="8.25"/>
    <x v="1"/>
    <x v="0"/>
    <x v="0"/>
  </r>
  <r>
    <s v="VUC-72395-865"/>
    <x v="151"/>
    <s v="13321-57602-GK"/>
    <s v="A-D-0.5"/>
    <n v="6"/>
    <x v="776"/>
    <s v="agladhillng@stanford.edu"/>
    <x v="0"/>
    <s v="Ara"/>
    <s v="D"/>
    <x v="1"/>
    <n v="5.97"/>
    <n v="35.82"/>
    <x v="2"/>
    <x v="2"/>
    <x v="0"/>
  </r>
  <r>
    <s v="BQJ-44755-910"/>
    <x v="489"/>
    <s v="75006-89922-VW"/>
    <s v="E-D-2.5"/>
    <n v="6"/>
    <x v="777"/>
    <s v="mlorineznh@whitehouse.gov"/>
    <x v="0"/>
    <s v="Exc"/>
    <s v="D"/>
    <x v="2"/>
    <n v="27.945"/>
    <n v="167.67"/>
    <x v="1"/>
    <x v="2"/>
    <x v="1"/>
  </r>
  <r>
    <s v="JKC-64636-831"/>
    <x v="615"/>
    <s v="52098-80103-FD"/>
    <s v="A-M-2.5"/>
    <n v="2"/>
    <x v="778"/>
    <s v=""/>
    <x v="0"/>
    <s v="Ara"/>
    <s v="M"/>
    <x v="2"/>
    <n v="25.875"/>
    <n v="51.74999999999999"/>
    <x v="2"/>
    <x v="0"/>
    <x v="0"/>
  </r>
  <r>
    <s v="ZKI-78561-066"/>
    <x v="616"/>
    <s v="60121-12432-VU"/>
    <s v="A-D-0.2"/>
    <n v="3"/>
    <x v="779"/>
    <s v="mvannj@wikipedia.org"/>
    <x v="0"/>
    <s v="Ara"/>
    <s v="D"/>
    <x v="3"/>
    <n v="2.985"/>
    <n v="8.955"/>
    <x v="2"/>
    <x v="2"/>
    <x v="0"/>
  </r>
  <r>
    <s v="IMP-12563-728"/>
    <x v="578"/>
    <s v="68346-14810-UA"/>
    <s v="E-L-0.5"/>
    <n v="6"/>
    <x v="780"/>
    <s v=""/>
    <x v="0"/>
    <s v="Exc"/>
    <s v="L"/>
    <x v="1"/>
    <n v="8.91"/>
    <n v="53.46"/>
    <x v="1"/>
    <x v="1"/>
    <x v="1"/>
  </r>
  <r>
    <s v="MZL-81126-390"/>
    <x v="617"/>
    <s v="48464-99723-HK"/>
    <s v="A-L-0.2"/>
    <n v="6"/>
    <x v="781"/>
    <s v="jethelstonnl@creativecommons.org"/>
    <x v="0"/>
    <s v="Ara"/>
    <s v="L"/>
    <x v="3"/>
    <n v="3.885"/>
    <n v="23.31"/>
    <x v="2"/>
    <x v="1"/>
    <x v="0"/>
  </r>
  <r>
    <s v="MZL-81126-390"/>
    <x v="617"/>
    <s v="48464-99723-HK"/>
    <s v="A-M-0.2"/>
    <n v="2"/>
    <x v="781"/>
    <s v="jethelstonnl@creativecommons.org"/>
    <x v="0"/>
    <s v="Ara"/>
    <s v="M"/>
    <x v="3"/>
    <n v="3.375"/>
    <n v="6.75"/>
    <x v="2"/>
    <x v="0"/>
    <x v="0"/>
  </r>
  <r>
    <s v="TVF-57766-608"/>
    <x v="155"/>
    <s v="88420-46464-XE"/>
    <s v="L-D-0.5"/>
    <n v="1"/>
    <x v="782"/>
    <s v="peberznn@woothemes.com"/>
    <x v="0"/>
    <s v="Lib"/>
    <s v="D"/>
    <x v="1"/>
    <n v="7.77"/>
    <n v="7.77"/>
    <x v="3"/>
    <x v="2"/>
    <x v="0"/>
  </r>
  <r>
    <s v="RUX-37995-892"/>
    <x v="461"/>
    <s v="37762-09530-MP"/>
    <s v="L-D-2.5"/>
    <n v="4"/>
    <x v="783"/>
    <s v="bgaishno@altervista.org"/>
    <x v="0"/>
    <s v="Lib"/>
    <s v="D"/>
    <x v="2"/>
    <n v="29.785"/>
    <n v="119.14"/>
    <x v="3"/>
    <x v="2"/>
    <x v="0"/>
  </r>
  <r>
    <s v="AVK-76526-953"/>
    <x v="87"/>
    <s v="47268-50127-XY"/>
    <s v="A-D-1"/>
    <n v="2"/>
    <x v="784"/>
    <s v="ldantonnp@miitbeian.gov.cn"/>
    <x v="0"/>
    <s v="Ara"/>
    <s v="D"/>
    <x v="0"/>
    <n v="9.949999999999999"/>
    <n v="19.9"/>
    <x v="2"/>
    <x v="2"/>
    <x v="1"/>
  </r>
  <r>
    <s v="RIU-02231-623"/>
    <x v="618"/>
    <s v="25544-84179-QC"/>
    <s v="R-L-0.5"/>
    <n v="5"/>
    <x v="785"/>
    <s v="smorrallnq@answers.com"/>
    <x v="0"/>
    <s v="Rob"/>
    <s v="L"/>
    <x v="1"/>
    <n v="7.169999999999999"/>
    <n v="35.84999999999999"/>
    <x v="0"/>
    <x v="1"/>
    <x v="0"/>
  </r>
  <r>
    <s v="WFK-99317-827"/>
    <x v="619"/>
    <s v="32058-76765-ZL"/>
    <s v="L-D-2.5"/>
    <n v="3"/>
    <x v="786"/>
    <s v="dcrownshawnr@photobucket.com"/>
    <x v="0"/>
    <s v="Lib"/>
    <s v="D"/>
    <x v="2"/>
    <n v="29.785"/>
    <n v="89.35499999999999"/>
    <x v="3"/>
    <x v="2"/>
    <x v="1"/>
  </r>
  <r>
    <s v="SFD-00372-284"/>
    <x v="440"/>
    <s v="54798-14109-HC"/>
    <s v="L-M-0.2"/>
    <n v="2"/>
    <x v="760"/>
    <s v="oskermen3@hatena.ne.jp"/>
    <x v="0"/>
    <s v="Lib"/>
    <s v="M"/>
    <x v="3"/>
    <n v="4.365"/>
    <n v="8.73"/>
    <x v="3"/>
    <x v="0"/>
    <x v="0"/>
  </r>
  <r>
    <s v="SXC-62166-515"/>
    <x v="489"/>
    <s v="69171-65646-UC"/>
    <s v="R-L-2.5"/>
    <n v="5"/>
    <x v="787"/>
    <s v="jreddochnt@sun.com"/>
    <x v="0"/>
    <s v="Rob"/>
    <s v="L"/>
    <x v="2"/>
    <n v="27.485"/>
    <n v="137.425"/>
    <x v="0"/>
    <x v="1"/>
    <x v="1"/>
  </r>
  <r>
    <s v="YIE-87008-621"/>
    <x v="620"/>
    <s v="22503-52799-MI"/>
    <s v="L-M-0.5"/>
    <n v="4"/>
    <x v="788"/>
    <s v="stitleynu@whitehouse.gov"/>
    <x v="0"/>
    <s v="Lib"/>
    <s v="M"/>
    <x v="1"/>
    <n v="8.73"/>
    <n v="34.92"/>
    <x v="3"/>
    <x v="0"/>
    <x v="1"/>
  </r>
  <r>
    <s v="HRM-94548-288"/>
    <x v="621"/>
    <s v="08934-65581-ZI"/>
    <s v="A-L-2.5"/>
    <n v="6"/>
    <x v="789"/>
    <s v="rsimaonv@simplemachines.org"/>
    <x v="0"/>
    <s v="Ara"/>
    <s v="L"/>
    <x v="2"/>
    <n v="29.785"/>
    <n v="178.71"/>
    <x v="2"/>
    <x v="1"/>
    <x v="1"/>
  </r>
  <r>
    <s v="UJG-34731-295"/>
    <x v="374"/>
    <s v="15764-22559-ZT"/>
    <s v="A-M-2.5"/>
    <n v="1"/>
    <x v="790"/>
    <s v=""/>
    <x v="0"/>
    <s v="Ara"/>
    <s v="M"/>
    <x v="2"/>
    <n v="25.875"/>
    <n v="25.875"/>
    <x v="2"/>
    <x v="0"/>
    <x v="1"/>
  </r>
  <r>
    <s v="TWD-70988-853"/>
    <x v="345"/>
    <s v="87519-68847-ZG"/>
    <s v="L-D-1"/>
    <n v="6"/>
    <x v="791"/>
    <s v="nchisholmnx@example.com"/>
    <x v="0"/>
    <s v="Lib"/>
    <s v="D"/>
    <x v="0"/>
    <n v="12.95"/>
    <n v="77.69999999999999"/>
    <x v="3"/>
    <x v="2"/>
    <x v="0"/>
  </r>
  <r>
    <s v="CIX-22904-641"/>
    <x v="622"/>
    <s v="78012-56878-UB"/>
    <s v="R-M-1"/>
    <n v="1"/>
    <x v="792"/>
    <s v="goatsny@live.com"/>
    <x v="0"/>
    <s v="Rob"/>
    <s v="M"/>
    <x v="0"/>
    <n v="9.949999999999999"/>
    <n v="9.949999999999999"/>
    <x v="0"/>
    <x v="0"/>
    <x v="0"/>
  </r>
  <r>
    <s v="DLV-65840-759"/>
    <x v="623"/>
    <s v="77192-72145-RG"/>
    <s v="L-M-1"/>
    <n v="2"/>
    <x v="793"/>
    <s v="mbirkinnz@java.com"/>
    <x v="0"/>
    <s v="Lib"/>
    <s v="M"/>
    <x v="0"/>
    <n v="14.55"/>
    <n v="29.1"/>
    <x v="3"/>
    <x v="0"/>
    <x v="0"/>
  </r>
  <r>
    <s v="RXN-55491-201"/>
    <x v="354"/>
    <s v="86071-79238-CX"/>
    <s v="R-L-0.2"/>
    <n v="6"/>
    <x v="794"/>
    <s v="rpysono0@constantcontact.com"/>
    <x v="1"/>
    <s v="Rob"/>
    <s v="L"/>
    <x v="3"/>
    <n v="3.585"/>
    <n v="21.51"/>
    <x v="0"/>
    <x v="1"/>
    <x v="1"/>
  </r>
  <r>
    <s v="UHK-63283-868"/>
    <x v="624"/>
    <s v="16809-16936-WF"/>
    <s v="A-M-0.5"/>
    <n v="1"/>
    <x v="795"/>
    <s v="mmacconnechieo9@reuters.com"/>
    <x v="0"/>
    <s v="Ara"/>
    <s v="M"/>
    <x v="1"/>
    <n v="6.75"/>
    <n v="6.75"/>
    <x v="2"/>
    <x v="0"/>
    <x v="0"/>
  </r>
  <r>
    <s v="PJC-31401-893"/>
    <x v="561"/>
    <s v="11212-69985-ZJ"/>
    <s v="A-D-0.5"/>
    <n v="3"/>
    <x v="796"/>
    <s v="rtreachero2@usa.gov"/>
    <x v="1"/>
    <s v="Ara"/>
    <s v="D"/>
    <x v="1"/>
    <n v="5.97"/>
    <n v="17.91"/>
    <x v="2"/>
    <x v="2"/>
    <x v="1"/>
  </r>
  <r>
    <s v="HHO-79903-185"/>
    <x v="42"/>
    <s v="53893-01719-CL"/>
    <s v="A-L-2.5"/>
    <n v="1"/>
    <x v="797"/>
    <s v="bfattorinio3@quantcast.com"/>
    <x v="1"/>
    <s v="Ara"/>
    <s v="L"/>
    <x v="2"/>
    <n v="29.785"/>
    <n v="29.785"/>
    <x v="2"/>
    <x v="1"/>
    <x v="0"/>
  </r>
  <r>
    <s v="YWM-07310-594"/>
    <x v="267"/>
    <s v="66028-99867-WJ"/>
    <s v="E-M-0.5"/>
    <n v="5"/>
    <x v="798"/>
    <s v="mpalleskeo4@nyu.edu"/>
    <x v="0"/>
    <s v="Exc"/>
    <s v="M"/>
    <x v="1"/>
    <n v="8.25"/>
    <n v="41.25"/>
    <x v="1"/>
    <x v="0"/>
    <x v="0"/>
  </r>
  <r>
    <s v="FHD-94983-982"/>
    <x v="625"/>
    <s v="62839-56723-CH"/>
    <s v="R-M-0.5"/>
    <n v="3"/>
    <x v="799"/>
    <s v=""/>
    <x v="0"/>
    <s v="Rob"/>
    <s v="M"/>
    <x v="1"/>
    <n v="5.97"/>
    <n v="17.91"/>
    <x v="0"/>
    <x v="0"/>
    <x v="0"/>
  </r>
  <r>
    <s v="WQK-10857-119"/>
    <x v="616"/>
    <s v="96849-52854-CR"/>
    <s v="E-D-0.5"/>
    <n v="1"/>
    <x v="800"/>
    <s v="fantcliffeo6@amazon.co.jp"/>
    <x v="1"/>
    <s v="Exc"/>
    <s v="D"/>
    <x v="1"/>
    <n v="7.29"/>
    <n v="7.29"/>
    <x v="1"/>
    <x v="2"/>
    <x v="0"/>
  </r>
  <r>
    <s v="DXA-50313-073"/>
    <x v="626"/>
    <s v="19755-55847-VW"/>
    <s v="E-L-1"/>
    <n v="2"/>
    <x v="801"/>
    <s v="pmatignono7@harvard.edu"/>
    <x v="2"/>
    <s v="Exc"/>
    <s v="L"/>
    <x v="0"/>
    <n v="14.85"/>
    <n v="29.7"/>
    <x v="1"/>
    <x v="1"/>
    <x v="0"/>
  </r>
  <r>
    <s v="ONW-00560-570"/>
    <x v="52"/>
    <s v="32900-82606-BO"/>
    <s v="A-M-1"/>
    <n v="2"/>
    <x v="802"/>
    <s v="cweondo8@theglobeandmail.com"/>
    <x v="0"/>
    <s v="Ara"/>
    <s v="M"/>
    <x v="0"/>
    <n v="11.25"/>
    <n v="22.5"/>
    <x v="2"/>
    <x v="0"/>
    <x v="1"/>
  </r>
  <r>
    <s v="BRJ-19414-277"/>
    <x v="622"/>
    <s v="16809-16936-WF"/>
    <s v="R-M-0.2"/>
    <n v="4"/>
    <x v="795"/>
    <s v="mmacconnechieo9@reuters.com"/>
    <x v="0"/>
    <s v="Rob"/>
    <s v="M"/>
    <x v="3"/>
    <n v="2.985"/>
    <n v="11.94"/>
    <x v="0"/>
    <x v="0"/>
    <x v="0"/>
  </r>
  <r>
    <s v="MIQ-16322-908"/>
    <x v="627"/>
    <s v="20118-28138-QD"/>
    <s v="A-L-1"/>
    <n v="2"/>
    <x v="803"/>
    <s v="jskentelberyoa@paypal.com"/>
    <x v="0"/>
    <s v="Ara"/>
    <s v="L"/>
    <x v="0"/>
    <n v="12.95"/>
    <n v="25.9"/>
    <x v="2"/>
    <x v="1"/>
    <x v="1"/>
  </r>
  <r>
    <s v="MVO-39328-830"/>
    <x v="628"/>
    <s v="84057-45461-AH"/>
    <s v="L-M-0.5"/>
    <n v="5"/>
    <x v="804"/>
    <s v="ocomberob@goo.gl"/>
    <x v="1"/>
    <s v="Lib"/>
    <s v="M"/>
    <x v="1"/>
    <n v="8.73"/>
    <n v="43.65000000000001"/>
    <x v="3"/>
    <x v="0"/>
    <x v="1"/>
  </r>
  <r>
    <s v="MVO-39328-830"/>
    <x v="628"/>
    <s v="84057-45461-AH"/>
    <s v="A-L-0.5"/>
    <n v="6"/>
    <x v="804"/>
    <s v="ocomberob@goo.gl"/>
    <x v="1"/>
    <s v="Ara"/>
    <s v="L"/>
    <x v="1"/>
    <n v="7.77"/>
    <n v="46.62"/>
    <x v="2"/>
    <x v="1"/>
    <x v="1"/>
  </r>
  <r>
    <s v="NTJ-88319-746"/>
    <x v="629"/>
    <s v="90882-88130-KQ"/>
    <s v="L-L-0.5"/>
    <n v="3"/>
    <x v="805"/>
    <s v="ztramelod@netlog.com"/>
    <x v="0"/>
    <s v="Lib"/>
    <s v="L"/>
    <x v="1"/>
    <n v="9.51"/>
    <n v="28.53"/>
    <x v="3"/>
    <x v="1"/>
    <x v="1"/>
  </r>
  <r>
    <s v="LCY-24377-948"/>
    <x v="630"/>
    <s v="21617-79890-DD"/>
    <s v="R-L-2.5"/>
    <n v="1"/>
    <x v="806"/>
    <s v=""/>
    <x v="0"/>
    <s v="Rob"/>
    <s v="L"/>
    <x v="2"/>
    <n v="27.485"/>
    <n v="27.485"/>
    <x v="0"/>
    <x v="1"/>
    <x v="0"/>
  </r>
  <r>
    <s v="FWD-85967-769"/>
    <x v="631"/>
    <s v="20256-54689-LO"/>
    <s v="E-D-0.2"/>
    <n v="3"/>
    <x v="807"/>
    <s v=""/>
    <x v="0"/>
    <s v="Exc"/>
    <s v="D"/>
    <x v="3"/>
    <n v="3.645"/>
    <n v="10.935"/>
    <x v="1"/>
    <x v="2"/>
    <x v="1"/>
  </r>
  <r>
    <s v="KTO-53793-109"/>
    <x v="229"/>
    <s v="17572-27091-AA"/>
    <s v="R-L-0.2"/>
    <n v="2"/>
    <x v="808"/>
    <s v="chatfullog@ebay.com"/>
    <x v="0"/>
    <s v="Rob"/>
    <s v="L"/>
    <x v="3"/>
    <n v="3.585"/>
    <n v="7.169999999999999"/>
    <x v="0"/>
    <x v="1"/>
    <x v="1"/>
  </r>
  <r>
    <s v="OCK-89033-348"/>
    <x v="632"/>
    <s v="82300-88786-UE"/>
    <s v="A-L-0.2"/>
    <n v="6"/>
    <x v="809"/>
    <s v=""/>
    <x v="0"/>
    <s v="Ara"/>
    <s v="L"/>
    <x v="3"/>
    <n v="3.885"/>
    <n v="23.31"/>
    <x v="2"/>
    <x v="1"/>
    <x v="0"/>
  </r>
  <r>
    <s v="GPZ-36017-366"/>
    <x v="633"/>
    <s v="65732-22589-OW"/>
    <s v="A-D-2.5"/>
    <n v="5"/>
    <x v="810"/>
    <s v="kmarrisonoq@dropbox.com"/>
    <x v="0"/>
    <s v="Ara"/>
    <s v="D"/>
    <x v="2"/>
    <n v="22.885"/>
    <n v="114.425"/>
    <x v="2"/>
    <x v="2"/>
    <x v="0"/>
  </r>
  <r>
    <s v="BZP-33213-637"/>
    <x v="95"/>
    <s v="77175-09826-SF"/>
    <s v="A-M-2.5"/>
    <n v="3"/>
    <x v="811"/>
    <s v="lagnolooj@pinterest.com"/>
    <x v="0"/>
    <s v="Ara"/>
    <s v="M"/>
    <x v="2"/>
    <n v="25.875"/>
    <n v="77.62499999999999"/>
    <x v="2"/>
    <x v="0"/>
    <x v="0"/>
  </r>
  <r>
    <s v="WFH-21507-708"/>
    <x v="521"/>
    <s v="07237-32539-NB"/>
    <s v="R-D-0.5"/>
    <n v="1"/>
    <x v="812"/>
    <s v="dkiddyok@fda.gov"/>
    <x v="0"/>
    <s v="Rob"/>
    <s v="D"/>
    <x v="1"/>
    <n v="5.369999999999999"/>
    <n v="5.369999999999999"/>
    <x v="0"/>
    <x v="2"/>
    <x v="0"/>
  </r>
  <r>
    <s v="HST-96923-073"/>
    <x v="76"/>
    <s v="54722-76431-EX"/>
    <s v="R-D-2.5"/>
    <n v="6"/>
    <x v="813"/>
    <s v="hpetroulisol@state.tx.us"/>
    <x v="1"/>
    <s v="Rob"/>
    <s v="D"/>
    <x v="2"/>
    <n v="20.585"/>
    <n v="123.51"/>
    <x v="0"/>
    <x v="2"/>
    <x v="1"/>
  </r>
  <r>
    <s v="ENN-79947-323"/>
    <x v="634"/>
    <s v="67847-82662-TE"/>
    <s v="L-M-0.5"/>
    <n v="2"/>
    <x v="814"/>
    <s v="mschollom@taobao.com"/>
    <x v="0"/>
    <s v="Lib"/>
    <s v="M"/>
    <x v="1"/>
    <n v="8.73"/>
    <n v="17.46"/>
    <x v="3"/>
    <x v="0"/>
    <x v="1"/>
  </r>
  <r>
    <s v="BHA-47429-889"/>
    <x v="635"/>
    <s v="51114-51191-EW"/>
    <s v="E-L-0.2"/>
    <n v="3"/>
    <x v="815"/>
    <s v="kfersonon@g.co"/>
    <x v="0"/>
    <s v="Exc"/>
    <s v="L"/>
    <x v="3"/>
    <n v="4.455"/>
    <n v="13.365"/>
    <x v="1"/>
    <x v="1"/>
    <x v="1"/>
  </r>
  <r>
    <s v="SZY-63017-318"/>
    <x v="636"/>
    <s v="91809-58808-TV"/>
    <s v="A-L-0.2"/>
    <n v="2"/>
    <x v="816"/>
    <s v="bkellowayoo@omniture.com"/>
    <x v="0"/>
    <s v="Ara"/>
    <s v="L"/>
    <x v="3"/>
    <n v="3.885"/>
    <n v="7.77"/>
    <x v="2"/>
    <x v="1"/>
    <x v="0"/>
  </r>
  <r>
    <s v="LCU-93317-340"/>
    <x v="637"/>
    <s v="84996-26826-DK"/>
    <s v="R-D-0.2"/>
    <n v="1"/>
    <x v="817"/>
    <s v="soliffeop@yellowbook.com"/>
    <x v="0"/>
    <s v="Rob"/>
    <s v="D"/>
    <x v="3"/>
    <n v="2.685"/>
    <n v="2.685"/>
    <x v="0"/>
    <x v="2"/>
    <x v="0"/>
  </r>
  <r>
    <s v="UOM-71431-481"/>
    <x v="182"/>
    <s v="65732-22589-OW"/>
    <s v="R-D-2.5"/>
    <n v="1"/>
    <x v="810"/>
    <s v="kmarrisonoq@dropbox.com"/>
    <x v="0"/>
    <s v="Rob"/>
    <s v="D"/>
    <x v="2"/>
    <n v="20.585"/>
    <n v="20.585"/>
    <x v="0"/>
    <x v="2"/>
    <x v="0"/>
  </r>
  <r>
    <s v="PJH-42618-877"/>
    <x v="479"/>
    <s v="93676-95250-XJ"/>
    <s v="A-D-2.5"/>
    <n v="5"/>
    <x v="818"/>
    <s v="cdolohuntyor@dailymail.co.uk"/>
    <x v="0"/>
    <s v="Ara"/>
    <s v="D"/>
    <x v="2"/>
    <n v="22.885"/>
    <n v="114.425"/>
    <x v="2"/>
    <x v="2"/>
    <x v="0"/>
  </r>
  <r>
    <s v="XED-90333-402"/>
    <x v="638"/>
    <s v="28300-14355-GF"/>
    <s v="E-M-0.2"/>
    <n v="5"/>
    <x v="819"/>
    <s v="pvasilenkoos@addtoany.com"/>
    <x v="2"/>
    <s v="Exc"/>
    <s v="M"/>
    <x v="3"/>
    <n v="4.125"/>
    <n v="20.625"/>
    <x v="1"/>
    <x v="0"/>
    <x v="1"/>
  </r>
  <r>
    <s v="IKK-62234-199"/>
    <x v="639"/>
    <s v="91190-84826-IQ"/>
    <s v="L-L-0.5"/>
    <n v="6"/>
    <x v="820"/>
    <s v="rschankelborgot@ameblo.jp"/>
    <x v="0"/>
    <s v="Lib"/>
    <s v="L"/>
    <x v="1"/>
    <n v="9.51"/>
    <n v="57.06"/>
    <x v="3"/>
    <x v="1"/>
    <x v="0"/>
  </r>
  <r>
    <s v="KAW-95195-329"/>
    <x v="640"/>
    <s v="34570-99384-AF"/>
    <s v="R-D-2.5"/>
    <n v="4"/>
    <x v="821"/>
    <s v=""/>
    <x v="1"/>
    <s v="Rob"/>
    <s v="D"/>
    <x v="2"/>
    <n v="20.585"/>
    <n v="82.33999999999999"/>
    <x v="0"/>
    <x v="2"/>
    <x v="0"/>
  </r>
  <r>
    <s v="QDO-57268-842"/>
    <x v="612"/>
    <s v="57808-90533-UE"/>
    <s v="E-M-2.5"/>
    <n v="5"/>
    <x v="822"/>
    <s v=""/>
    <x v="0"/>
    <s v="Exc"/>
    <s v="M"/>
    <x v="2"/>
    <n v="31.625"/>
    <n v="158.125"/>
    <x v="1"/>
    <x v="0"/>
    <x v="1"/>
  </r>
  <r>
    <s v="IIZ-24416-212"/>
    <x v="641"/>
    <s v="76060-30540-LB"/>
    <s v="R-D-0.5"/>
    <n v="6"/>
    <x v="823"/>
    <s v="bcargenow@geocities.jp"/>
    <x v="0"/>
    <s v="Rob"/>
    <s v="D"/>
    <x v="1"/>
    <n v="5.369999999999999"/>
    <n v="32.22"/>
    <x v="0"/>
    <x v="2"/>
    <x v="0"/>
  </r>
  <r>
    <s v="AWP-11469-510"/>
    <x v="36"/>
    <s v="76730-63769-ND"/>
    <s v="E-D-1"/>
    <n v="2"/>
    <x v="824"/>
    <s v="rsticklerox@printfriendly.com"/>
    <x v="2"/>
    <s v="Exc"/>
    <s v="D"/>
    <x v="0"/>
    <n v="12.15"/>
    <n v="24.3"/>
    <x v="1"/>
    <x v="2"/>
    <x v="1"/>
  </r>
  <r>
    <s v="KXA-27983-918"/>
    <x v="642"/>
    <s v="96042-27290-EQ"/>
    <s v="R-L-0.5"/>
    <n v="5"/>
    <x v="825"/>
    <s v=""/>
    <x v="0"/>
    <s v="Rob"/>
    <s v="L"/>
    <x v="1"/>
    <n v="7.169999999999999"/>
    <n v="35.84999999999999"/>
    <x v="0"/>
    <x v="1"/>
    <x v="1"/>
  </r>
  <r>
    <s v="VKQ-39009-292"/>
    <x v="219"/>
    <s v="57808-90533-UE"/>
    <s v="L-M-1"/>
    <n v="5"/>
    <x v="822"/>
    <s v=""/>
    <x v="0"/>
    <s v="Lib"/>
    <s v="M"/>
    <x v="0"/>
    <n v="14.55"/>
    <n v="72.75"/>
    <x v="3"/>
    <x v="0"/>
    <x v="1"/>
  </r>
  <r>
    <s v="PDB-98743-282"/>
    <x v="643"/>
    <s v="51940-02669-OR"/>
    <s v="L-L-1"/>
    <n v="3"/>
    <x v="826"/>
    <s v=""/>
    <x v="1"/>
    <s v="Lib"/>
    <s v="L"/>
    <x v="0"/>
    <n v="15.85"/>
    <n v="47.55"/>
    <x v="3"/>
    <x v="1"/>
    <x v="1"/>
  </r>
  <r>
    <s v="SXW-34014-556"/>
    <x v="644"/>
    <s v="99144-98314-GN"/>
    <s v="R-L-0.2"/>
    <n v="1"/>
    <x v="827"/>
    <s v="djevonp1@ibm.com"/>
    <x v="0"/>
    <s v="Rob"/>
    <s v="L"/>
    <x v="3"/>
    <n v="3.585"/>
    <n v="3.585"/>
    <x v="0"/>
    <x v="1"/>
    <x v="0"/>
  </r>
  <r>
    <s v="QOJ-38788-727"/>
    <x v="136"/>
    <s v="16358-63919-CE"/>
    <s v="E-M-2.5"/>
    <n v="5"/>
    <x v="828"/>
    <s v="hrannerp2@omniture.com"/>
    <x v="0"/>
    <s v="Exc"/>
    <s v="M"/>
    <x v="2"/>
    <n v="31.625"/>
    <n v="158.125"/>
    <x v="1"/>
    <x v="0"/>
    <x v="1"/>
  </r>
  <r>
    <s v="TGF-38649-658"/>
    <x v="645"/>
    <s v="67743-54817-UT"/>
    <s v="L-M-0.5"/>
    <n v="2"/>
    <x v="829"/>
    <s v="bimriep3@addtoany.com"/>
    <x v="0"/>
    <s v="Lib"/>
    <s v="M"/>
    <x v="1"/>
    <n v="8.73"/>
    <n v="17.46"/>
    <x v="3"/>
    <x v="0"/>
    <x v="1"/>
  </r>
  <r>
    <s v="EAI-25194-209"/>
    <x v="646"/>
    <s v="44601-51441-BH"/>
    <s v="A-L-2.5"/>
    <n v="5"/>
    <x v="830"/>
    <s v="dsopperp4@eventbrite.com"/>
    <x v="0"/>
    <s v="Ara"/>
    <s v="L"/>
    <x v="2"/>
    <n v="29.785"/>
    <n v="148.925"/>
    <x v="2"/>
    <x v="1"/>
    <x v="1"/>
  </r>
  <r>
    <s v="IJK-34441-720"/>
    <x v="647"/>
    <s v="97201-58870-WB"/>
    <s v="A-M-0.5"/>
    <n v="6"/>
    <x v="831"/>
    <s v=""/>
    <x v="0"/>
    <s v="Ara"/>
    <s v="M"/>
    <x v="1"/>
    <n v="6.75"/>
    <n v="40.5"/>
    <x v="2"/>
    <x v="0"/>
    <x v="0"/>
  </r>
  <r>
    <s v="ZMC-00336-619"/>
    <x v="591"/>
    <s v="19849-12926-QF"/>
    <s v="A-M-0.5"/>
    <n v="4"/>
    <x v="832"/>
    <s v="lledgleyp6@de.vu"/>
    <x v="0"/>
    <s v="Ara"/>
    <s v="M"/>
    <x v="1"/>
    <n v="6.75"/>
    <n v="27"/>
    <x v="2"/>
    <x v="0"/>
    <x v="0"/>
  </r>
  <r>
    <s v="UPX-54529-618"/>
    <x v="648"/>
    <s v="40535-56770-UM"/>
    <s v="L-D-1"/>
    <n v="3"/>
    <x v="833"/>
    <s v="tmenaryp7@phoca.cz"/>
    <x v="0"/>
    <s v="Lib"/>
    <s v="D"/>
    <x v="0"/>
    <n v="12.95"/>
    <n v="38.84999999999999"/>
    <x v="3"/>
    <x v="2"/>
    <x v="1"/>
  </r>
  <r>
    <s v="DLX-01059-899"/>
    <x v="191"/>
    <s v="74940-09646-MU"/>
    <s v="R-L-1"/>
    <n v="5"/>
    <x v="834"/>
    <s v="gciccottip8@so-net.ne.jp"/>
    <x v="0"/>
    <s v="Rob"/>
    <s v="L"/>
    <x v="0"/>
    <n v="11.95"/>
    <n v="59.75"/>
    <x v="0"/>
    <x v="1"/>
    <x v="1"/>
  </r>
  <r>
    <s v="MEK-85120-243"/>
    <x v="649"/>
    <s v="06623-54610-HC"/>
    <s v="R-L-0.2"/>
    <n v="3"/>
    <x v="835"/>
    <s v=""/>
    <x v="0"/>
    <s v="Rob"/>
    <s v="L"/>
    <x v="3"/>
    <n v="3.585"/>
    <n v="10.755"/>
    <x v="0"/>
    <x v="1"/>
    <x v="1"/>
  </r>
  <r>
    <s v="NFI-37188-246"/>
    <x v="553"/>
    <s v="89490-75361-AF"/>
    <s v="A-D-2.5"/>
    <n v="4"/>
    <x v="836"/>
    <s v="wjallinpa@pcworld.com"/>
    <x v="0"/>
    <s v="Ara"/>
    <s v="D"/>
    <x v="2"/>
    <n v="22.885"/>
    <n v="91.53999999999999"/>
    <x v="2"/>
    <x v="2"/>
    <x v="1"/>
  </r>
  <r>
    <s v="BXH-62195-013"/>
    <x v="584"/>
    <s v="94526-79230-GZ"/>
    <s v="A-M-1"/>
    <n v="4"/>
    <x v="837"/>
    <s v="mbogeypb@thetimes.co.uk"/>
    <x v="0"/>
    <s v="Ara"/>
    <s v="M"/>
    <x v="0"/>
    <n v="11.25"/>
    <n v="45"/>
    <x v="2"/>
    <x v="0"/>
    <x v="0"/>
  </r>
  <r>
    <s v="YLK-78851-470"/>
    <x v="650"/>
    <s v="58559-08254-UY"/>
    <s v="R-M-2.5"/>
    <n v="6"/>
    <x v="838"/>
    <s v=""/>
    <x v="0"/>
    <s v="Rob"/>
    <s v="M"/>
    <x v="2"/>
    <n v="22.885"/>
    <n v="137.31"/>
    <x v="0"/>
    <x v="0"/>
    <x v="0"/>
  </r>
  <r>
    <s v="DXY-76225-633"/>
    <x v="121"/>
    <s v="88574-37083-WX"/>
    <s v="A-M-0.5"/>
    <n v="1"/>
    <x v="839"/>
    <s v="mcobbledickpd@ucsd.edu"/>
    <x v="0"/>
    <s v="Ara"/>
    <s v="M"/>
    <x v="1"/>
    <n v="6.75"/>
    <n v="6.75"/>
    <x v="2"/>
    <x v="0"/>
    <x v="1"/>
  </r>
  <r>
    <s v="UHP-24614-199"/>
    <x v="472"/>
    <s v="67953-79896-AC"/>
    <s v="A-M-1"/>
    <n v="4"/>
    <x v="840"/>
    <s v="alewrype@whitehouse.gov"/>
    <x v="0"/>
    <s v="Ara"/>
    <s v="M"/>
    <x v="0"/>
    <n v="11.25"/>
    <n v="45"/>
    <x v="2"/>
    <x v="0"/>
    <x v="1"/>
  </r>
  <r>
    <s v="HBY-35655-049"/>
    <x v="594"/>
    <s v="69207-93422-CQ"/>
    <s v="E-D-2.5"/>
    <n v="3"/>
    <x v="841"/>
    <s v="ihesselpf@ox.ac.uk"/>
    <x v="0"/>
    <s v="Exc"/>
    <s v="D"/>
    <x v="2"/>
    <n v="27.945"/>
    <n v="83.83500000000001"/>
    <x v="1"/>
    <x v="2"/>
    <x v="0"/>
  </r>
  <r>
    <s v="DCE-22886-861"/>
    <x v="89"/>
    <s v="56060-17602-RG"/>
    <s v="E-D-0.2"/>
    <n v="1"/>
    <x v="842"/>
    <s v=""/>
    <x v="1"/>
    <s v="Exc"/>
    <s v="D"/>
    <x v="3"/>
    <n v="3.645"/>
    <n v="3.645"/>
    <x v="1"/>
    <x v="2"/>
    <x v="0"/>
  </r>
  <r>
    <s v="QTG-93823-843"/>
    <x v="651"/>
    <s v="46859-14212-FI"/>
    <s v="A-M-0.5"/>
    <n v="1"/>
    <x v="843"/>
    <s v="csorrellph@amazon.com"/>
    <x v="2"/>
    <s v="Ara"/>
    <s v="M"/>
    <x v="1"/>
    <n v="6.75"/>
    <n v="6.75"/>
    <x v="2"/>
    <x v="0"/>
    <x v="1"/>
  </r>
  <r>
    <s v="QTG-93823-843"/>
    <x v="651"/>
    <s v="46859-14212-FI"/>
    <s v="E-D-0.5"/>
    <n v="3"/>
    <x v="843"/>
    <s v="csorrellph@amazon.com"/>
    <x v="2"/>
    <s v="Exc"/>
    <s v="D"/>
    <x v="1"/>
    <n v="7.29"/>
    <n v="21.87"/>
    <x v="1"/>
    <x v="2"/>
    <x v="1"/>
  </r>
  <r>
    <s v="WFT-16178-396"/>
    <x v="249"/>
    <s v="33555-01585-RP"/>
    <s v="R-D-0.2"/>
    <n v="5"/>
    <x v="844"/>
    <s v="qheavysidepj@unc.edu"/>
    <x v="0"/>
    <s v="Rob"/>
    <s v="D"/>
    <x v="3"/>
    <n v="2.685"/>
    <n v="13.425"/>
    <x v="0"/>
    <x v="2"/>
    <x v="0"/>
  </r>
  <r>
    <s v="ERC-54560-934"/>
    <x v="652"/>
    <s v="11932-85629-CU"/>
    <s v="R-D-2.5"/>
    <n v="6"/>
    <x v="845"/>
    <s v="hreuvenpk@whitehouse.gov"/>
    <x v="0"/>
    <s v="Rob"/>
    <s v="D"/>
    <x v="2"/>
    <n v="20.585"/>
    <n v="123.51"/>
    <x v="0"/>
    <x v="2"/>
    <x v="1"/>
  </r>
  <r>
    <s v="RUK-78200-416"/>
    <x v="653"/>
    <s v="36192-07175-XC"/>
    <s v="L-D-0.2"/>
    <n v="2"/>
    <x v="846"/>
    <s v="mattwoolpl@nba.com"/>
    <x v="0"/>
    <s v="Lib"/>
    <s v="D"/>
    <x v="3"/>
    <n v="3.885"/>
    <n v="7.77"/>
    <x v="3"/>
    <x v="2"/>
    <x v="1"/>
  </r>
  <r>
    <s v="KHK-13105-388"/>
    <x v="177"/>
    <s v="46242-54946-ZW"/>
    <s v="A-M-1"/>
    <n v="6"/>
    <x v="847"/>
    <s v=""/>
    <x v="0"/>
    <s v="Ara"/>
    <s v="M"/>
    <x v="0"/>
    <n v="11.25"/>
    <n v="67.5"/>
    <x v="2"/>
    <x v="0"/>
    <x v="0"/>
  </r>
  <r>
    <s v="NJR-03699-189"/>
    <x v="22"/>
    <s v="95152-82155-VQ"/>
    <s v="E-D-2.5"/>
    <n v="1"/>
    <x v="848"/>
    <s v="gwynespn@dagondesign.com"/>
    <x v="0"/>
    <s v="Exc"/>
    <s v="D"/>
    <x v="2"/>
    <n v="27.945"/>
    <n v="27.945"/>
    <x v="1"/>
    <x v="2"/>
    <x v="1"/>
  </r>
  <r>
    <s v="PJV-20427-019"/>
    <x v="508"/>
    <s v="13404-39127-WQ"/>
    <s v="A-L-2.5"/>
    <n v="3"/>
    <x v="849"/>
    <s v="cmaccourtpo@amazon.com"/>
    <x v="0"/>
    <s v="Ara"/>
    <s v="L"/>
    <x v="2"/>
    <n v="29.785"/>
    <n v="89.35499999999999"/>
    <x v="2"/>
    <x v="1"/>
    <x v="1"/>
  </r>
  <r>
    <s v="UGK-07613-982"/>
    <x v="654"/>
    <s v="57808-90533-UE"/>
    <s v="A-M-0.5"/>
    <n v="3"/>
    <x v="822"/>
    <s v=""/>
    <x v="0"/>
    <s v="Ara"/>
    <s v="M"/>
    <x v="1"/>
    <n v="6.75"/>
    <n v="20.25"/>
    <x v="2"/>
    <x v="0"/>
    <x v="1"/>
  </r>
  <r>
    <s v="OLA-68289-577"/>
    <x v="524"/>
    <s v="40226-52317-IO"/>
    <s v="A-M-0.5"/>
    <n v="5"/>
    <x v="850"/>
    <s v="ewilsonepq@eepurl.com"/>
    <x v="0"/>
    <s v="Ara"/>
    <s v="M"/>
    <x v="1"/>
    <n v="6.75"/>
    <n v="33.75"/>
    <x v="2"/>
    <x v="0"/>
    <x v="0"/>
  </r>
  <r>
    <s v="TNR-84447-052"/>
    <x v="655"/>
    <s v="34419-18068-AG"/>
    <s v="E-D-2.5"/>
    <n v="4"/>
    <x v="851"/>
    <s v="dduffiepr@time.com"/>
    <x v="0"/>
    <s v="Exc"/>
    <s v="D"/>
    <x v="2"/>
    <n v="27.945"/>
    <n v="111.78"/>
    <x v="1"/>
    <x v="2"/>
    <x v="1"/>
  </r>
  <r>
    <s v="FBZ-64200-586"/>
    <x v="523"/>
    <s v="51738-61457-RS"/>
    <s v="E-M-2.5"/>
    <n v="2"/>
    <x v="852"/>
    <s v="mmatiasekps@ucoz.ru"/>
    <x v="0"/>
    <s v="Exc"/>
    <s v="M"/>
    <x v="2"/>
    <n v="31.625"/>
    <n v="63.24999999999999"/>
    <x v="1"/>
    <x v="0"/>
    <x v="0"/>
  </r>
  <r>
    <s v="OBN-66334-505"/>
    <x v="656"/>
    <s v="86757-52367-ON"/>
    <s v="E-L-0.2"/>
    <n v="2"/>
    <x v="853"/>
    <s v="jcamillopt@shinystat.com"/>
    <x v="0"/>
    <s v="Exc"/>
    <s v="L"/>
    <x v="3"/>
    <n v="4.455"/>
    <n v="8.91"/>
    <x v="1"/>
    <x v="1"/>
    <x v="0"/>
  </r>
  <r>
    <s v="NXM-89323-646"/>
    <x v="657"/>
    <s v="28158-93383-CK"/>
    <s v="E-D-1"/>
    <n v="1"/>
    <x v="854"/>
    <s v="kphilbrickpu@cdc.gov"/>
    <x v="0"/>
    <s v="Exc"/>
    <s v="D"/>
    <x v="0"/>
    <n v="12.15"/>
    <n v="12.15"/>
    <x v="1"/>
    <x v="2"/>
    <x v="0"/>
  </r>
  <r>
    <s v="NHI-23264-055"/>
    <x v="658"/>
    <s v="44799-09711-XW"/>
    <s v="A-D-0.5"/>
    <n v="4"/>
    <x v="855"/>
    <s v=""/>
    <x v="0"/>
    <s v="Ara"/>
    <s v="D"/>
    <x v="1"/>
    <n v="5.97"/>
    <n v="23.88"/>
    <x v="2"/>
    <x v="2"/>
    <x v="0"/>
  </r>
  <r>
    <s v="EQH-53569-934"/>
    <x v="659"/>
    <s v="53667-91553-LT"/>
    <s v="E-M-1"/>
    <n v="4"/>
    <x v="856"/>
    <s v="bsillispw@istockphoto.com"/>
    <x v="0"/>
    <s v="Exc"/>
    <s v="M"/>
    <x v="0"/>
    <n v="13.75"/>
    <n v="55"/>
    <x v="1"/>
    <x v="0"/>
    <x v="1"/>
  </r>
  <r>
    <s v="XKK-06692-189"/>
    <x v="558"/>
    <s v="86579-92122-OC"/>
    <s v="R-D-1"/>
    <n v="3"/>
    <x v="857"/>
    <s v=""/>
    <x v="0"/>
    <s v="Rob"/>
    <s v="D"/>
    <x v="0"/>
    <n v="8.949999999999999"/>
    <n v="26.85"/>
    <x v="0"/>
    <x v="2"/>
    <x v="0"/>
  </r>
  <r>
    <s v="BYP-16005-016"/>
    <x v="660"/>
    <s v="01474-63436-TP"/>
    <s v="R-M-2.5"/>
    <n v="5"/>
    <x v="858"/>
    <s v="rcuttspy@techcrunch.com"/>
    <x v="0"/>
    <s v="Rob"/>
    <s v="M"/>
    <x v="2"/>
    <n v="22.885"/>
    <n v="114.425"/>
    <x v="0"/>
    <x v="0"/>
    <x v="1"/>
  </r>
  <r>
    <s v="LWS-13938-905"/>
    <x v="661"/>
    <s v="90533-82440-EE"/>
    <s v="A-M-2.5"/>
    <n v="6"/>
    <x v="859"/>
    <s v="mdelvespz@nature.com"/>
    <x v="0"/>
    <s v="Ara"/>
    <s v="M"/>
    <x v="2"/>
    <n v="25.875"/>
    <n v="155.25"/>
    <x v="2"/>
    <x v="0"/>
    <x v="0"/>
  </r>
  <r>
    <s v="OLH-95722-362"/>
    <x v="662"/>
    <s v="48553-69225-VX"/>
    <s v="L-D-0.5"/>
    <n v="3"/>
    <x v="860"/>
    <s v="dgrittonq0@nydailynews.com"/>
    <x v="0"/>
    <s v="Lib"/>
    <s v="D"/>
    <x v="1"/>
    <n v="7.77"/>
    <n v="23.31"/>
    <x v="3"/>
    <x v="2"/>
    <x v="0"/>
  </r>
  <r>
    <s v="OLH-95722-362"/>
    <x v="662"/>
    <s v="48553-69225-VX"/>
    <s v="R-M-2.5"/>
    <n v="4"/>
    <x v="860"/>
    <s v="dgrittonq0@nydailynews.com"/>
    <x v="0"/>
    <s v="Rob"/>
    <s v="M"/>
    <x v="2"/>
    <n v="22.885"/>
    <n v="91.53999999999999"/>
    <x v="0"/>
    <x v="0"/>
    <x v="0"/>
  </r>
  <r>
    <s v="KCW-50949-318"/>
    <x v="184"/>
    <s v="52374-27313-IV"/>
    <s v="E-L-1"/>
    <n v="5"/>
    <x v="861"/>
    <s v="dgutq2@umich.edu"/>
    <x v="0"/>
    <s v="Exc"/>
    <s v="L"/>
    <x v="0"/>
    <n v="14.85"/>
    <n v="74.25"/>
    <x v="1"/>
    <x v="1"/>
    <x v="0"/>
  </r>
  <r>
    <s v="JGZ-16947-591"/>
    <x v="663"/>
    <s v="14264-41252-SL"/>
    <s v="L-L-0.2"/>
    <n v="6"/>
    <x v="862"/>
    <s v="wpummeryq3@topsy.com"/>
    <x v="0"/>
    <s v="Lib"/>
    <s v="L"/>
    <x v="3"/>
    <n v="4.755"/>
    <n v="28.53"/>
    <x v="3"/>
    <x v="1"/>
    <x v="1"/>
  </r>
  <r>
    <s v="LXS-63326-144"/>
    <x v="334"/>
    <s v="35367-50483-AR"/>
    <s v="R-L-0.5"/>
    <n v="2"/>
    <x v="863"/>
    <s v="gsiudaq4@nytimes.com"/>
    <x v="0"/>
    <s v="Rob"/>
    <s v="L"/>
    <x v="1"/>
    <n v="7.169999999999999"/>
    <n v="14.34"/>
    <x v="0"/>
    <x v="1"/>
    <x v="0"/>
  </r>
  <r>
    <s v="CZG-86544-655"/>
    <x v="664"/>
    <s v="69443-77665-QW"/>
    <s v="A-L-0.5"/>
    <n v="2"/>
    <x v="864"/>
    <s v="hcrowneq5@wufoo.com"/>
    <x v="1"/>
    <s v="Ara"/>
    <s v="L"/>
    <x v="1"/>
    <n v="7.77"/>
    <n v="15.54"/>
    <x v="2"/>
    <x v="1"/>
    <x v="0"/>
  </r>
  <r>
    <s v="WFV-88138-247"/>
    <x v="24"/>
    <s v="63411-51758-QC"/>
    <s v="R-L-1"/>
    <n v="3"/>
    <x v="865"/>
    <s v="vpawseyq6@tiny.cc"/>
    <x v="0"/>
    <s v="Rob"/>
    <s v="L"/>
    <x v="0"/>
    <n v="11.95"/>
    <n v="35.84999999999999"/>
    <x v="0"/>
    <x v="1"/>
    <x v="1"/>
  </r>
  <r>
    <s v="RFG-28227-288"/>
    <x v="12"/>
    <s v="68605-21835-UF"/>
    <s v="A-L-0.5"/>
    <n v="6"/>
    <x v="866"/>
    <s v="awaterhouseq7@istockphoto.com"/>
    <x v="0"/>
    <s v="Ara"/>
    <s v="L"/>
    <x v="1"/>
    <n v="7.77"/>
    <n v="46.62"/>
    <x v="2"/>
    <x v="1"/>
    <x v="1"/>
  </r>
  <r>
    <s v="QAK-77286-758"/>
    <x v="105"/>
    <s v="34786-30419-XY"/>
    <s v="R-L-0.5"/>
    <n v="5"/>
    <x v="867"/>
    <s v="fhaughianq8@1688.com"/>
    <x v="0"/>
    <s v="Rob"/>
    <s v="L"/>
    <x v="1"/>
    <n v="7.169999999999999"/>
    <n v="35.84999999999999"/>
    <x v="0"/>
    <x v="1"/>
    <x v="1"/>
  </r>
  <r>
    <s v="CZD-56716-840"/>
    <x v="665"/>
    <s v="15456-29250-RU"/>
    <s v="L-D-2.5"/>
    <n v="4"/>
    <x v="868"/>
    <s v=""/>
    <x v="0"/>
    <s v="Lib"/>
    <s v="D"/>
    <x v="2"/>
    <n v="29.785"/>
    <n v="119.14"/>
    <x v="3"/>
    <x v="2"/>
    <x v="1"/>
  </r>
  <r>
    <s v="UBI-59229-277"/>
    <x v="44"/>
    <s v="00886-35803-FG"/>
    <s v="L-D-0.5"/>
    <n v="3"/>
    <x v="869"/>
    <s v=""/>
    <x v="0"/>
    <s v="Lib"/>
    <s v="D"/>
    <x v="1"/>
    <n v="7.77"/>
    <n v="23.31"/>
    <x v="3"/>
    <x v="2"/>
    <x v="1"/>
  </r>
  <r>
    <s v="WJJ-37489-898"/>
    <x v="171"/>
    <s v="31599-82152-AD"/>
    <s v="A-M-1"/>
    <n v="1"/>
    <x v="870"/>
    <s v="rfaltinqb@topsy.com"/>
    <x v="1"/>
    <s v="Ara"/>
    <s v="M"/>
    <x v="0"/>
    <n v="11.25"/>
    <n v="11.25"/>
    <x v="2"/>
    <x v="0"/>
    <x v="1"/>
  </r>
  <r>
    <s v="ORX-57454-917"/>
    <x v="328"/>
    <s v="76209-39601-ZR"/>
    <s v="E-D-2.5"/>
    <n v="3"/>
    <x v="871"/>
    <s v="gcheekeqc@sitemeter.com"/>
    <x v="2"/>
    <s v="Exc"/>
    <s v="D"/>
    <x v="2"/>
    <n v="27.945"/>
    <n v="83.83500000000001"/>
    <x v="1"/>
    <x v="2"/>
    <x v="0"/>
  </r>
  <r>
    <s v="GRB-68838-629"/>
    <x v="648"/>
    <s v="15064-65241-HB"/>
    <s v="R-L-2.5"/>
    <n v="4"/>
    <x v="872"/>
    <s v="grattqd@phpbb.com"/>
    <x v="1"/>
    <s v="Rob"/>
    <s v="L"/>
    <x v="2"/>
    <n v="27.485"/>
    <n v="109.94"/>
    <x v="0"/>
    <x v="1"/>
    <x v="1"/>
  </r>
  <r>
    <s v="SHT-04865-419"/>
    <x v="666"/>
    <s v="69215-90789-DL"/>
    <s v="R-L-0.2"/>
    <n v="4"/>
    <x v="873"/>
    <s v=""/>
    <x v="0"/>
    <s v="Rob"/>
    <s v="L"/>
    <x v="3"/>
    <n v="3.585"/>
    <n v="14.34"/>
    <x v="0"/>
    <x v="1"/>
    <x v="0"/>
  </r>
  <r>
    <s v="UQI-28177-865"/>
    <x v="577"/>
    <s v="04317-46176-TB"/>
    <s v="R-L-0.2"/>
    <n v="6"/>
    <x v="874"/>
    <s v="ieberleinqf@hc360.com"/>
    <x v="0"/>
    <s v="Rob"/>
    <s v="L"/>
    <x v="3"/>
    <n v="3.585"/>
    <n v="21.51"/>
    <x v="0"/>
    <x v="1"/>
    <x v="1"/>
  </r>
  <r>
    <s v="OIB-13664-879"/>
    <x v="114"/>
    <s v="04713-57765-KR"/>
    <s v="A-M-1"/>
    <n v="2"/>
    <x v="875"/>
    <s v="jdrengqg@uiuc.edu"/>
    <x v="1"/>
    <s v="Ara"/>
    <s v="M"/>
    <x v="0"/>
    <n v="11.25"/>
    <n v="22.5"/>
    <x v="2"/>
    <x v="0"/>
    <x v="0"/>
  </r>
  <r>
    <s v="PJS-30996-485"/>
    <x v="4"/>
    <s v="86579-92122-OC"/>
    <s v="A-L-0.2"/>
    <n v="1"/>
    <x v="857"/>
    <s v=""/>
    <x v="0"/>
    <s v="Ara"/>
    <s v="L"/>
    <x v="3"/>
    <n v="3.885"/>
    <n v="3.885"/>
    <x v="2"/>
    <x v="1"/>
    <x v="0"/>
  </r>
  <r>
    <s v="HEL-86709-449"/>
    <x v="667"/>
    <s v="86579-92122-OC"/>
    <s v="E-D-2.5"/>
    <n v="1"/>
    <x v="857"/>
    <s v=""/>
    <x v="0"/>
    <s v="Exc"/>
    <s v="D"/>
    <x v="2"/>
    <n v="27.945"/>
    <n v="27.945"/>
    <x v="1"/>
    <x v="2"/>
    <x v="0"/>
  </r>
  <r>
    <s v="NCH-55389-562"/>
    <x v="110"/>
    <s v="86579-92122-OC"/>
    <s v="E-L-2.5"/>
    <n v="5"/>
    <x v="857"/>
    <s v=""/>
    <x v="0"/>
    <s v="Exc"/>
    <s v="L"/>
    <x v="2"/>
    <n v="34.15499999999999"/>
    <n v="170.775"/>
    <x v="1"/>
    <x v="1"/>
    <x v="0"/>
  </r>
  <r>
    <s v="NCH-55389-562"/>
    <x v="110"/>
    <s v="86579-92122-OC"/>
    <s v="R-L-2.5"/>
    <n v="2"/>
    <x v="857"/>
    <s v=""/>
    <x v="0"/>
    <s v="Rob"/>
    <s v="L"/>
    <x v="2"/>
    <n v="27.485"/>
    <n v="54.96999999999999"/>
    <x v="0"/>
    <x v="1"/>
    <x v="0"/>
  </r>
  <r>
    <s v="NCH-55389-562"/>
    <x v="110"/>
    <s v="86579-92122-OC"/>
    <s v="E-L-1"/>
    <n v="1"/>
    <x v="857"/>
    <s v=""/>
    <x v="0"/>
    <s v="Exc"/>
    <s v="L"/>
    <x v="0"/>
    <n v="14.85"/>
    <n v="14.85"/>
    <x v="1"/>
    <x v="1"/>
    <x v="0"/>
  </r>
  <r>
    <s v="NCH-55389-562"/>
    <x v="110"/>
    <s v="86579-92122-OC"/>
    <s v="A-L-0.2"/>
    <n v="2"/>
    <x v="857"/>
    <s v=""/>
    <x v="0"/>
    <s v="Ara"/>
    <s v="L"/>
    <x v="3"/>
    <n v="3.885"/>
    <n v="7.77"/>
    <x v="2"/>
    <x v="1"/>
    <x v="0"/>
  </r>
  <r>
    <s v="GUG-45603-775"/>
    <x v="668"/>
    <s v="40959-32642-DN"/>
    <s v="L-L-0.2"/>
    <n v="5"/>
    <x v="876"/>
    <s v="rstrathernqn@devhub.com"/>
    <x v="0"/>
    <s v="Lib"/>
    <s v="L"/>
    <x v="3"/>
    <n v="4.755"/>
    <n v="23.775"/>
    <x v="3"/>
    <x v="1"/>
    <x v="0"/>
  </r>
  <r>
    <s v="KJB-98240-098"/>
    <x v="422"/>
    <s v="77746-08153-PM"/>
    <s v="L-L-1"/>
    <n v="5"/>
    <x v="877"/>
    <s v="cmiguelqo@exblog.jp"/>
    <x v="0"/>
    <s v="Lib"/>
    <s v="L"/>
    <x v="0"/>
    <n v="15.85"/>
    <n v="79.25"/>
    <x v="3"/>
    <x v="1"/>
    <x v="0"/>
  </r>
  <r>
    <s v="JMS-48374-462"/>
    <x v="669"/>
    <s v="49667-96708-JL"/>
    <s v="A-D-2.5"/>
    <n v="2"/>
    <x v="878"/>
    <s v=""/>
    <x v="0"/>
    <s v="Ara"/>
    <s v="D"/>
    <x v="2"/>
    <n v="22.885"/>
    <n v="45.77"/>
    <x v="2"/>
    <x v="2"/>
    <x v="0"/>
  </r>
  <r>
    <s v="YIT-15877-117"/>
    <x v="670"/>
    <s v="24155-79322-EQ"/>
    <s v="R-D-1"/>
    <n v="1"/>
    <x v="879"/>
    <s v="mrocksqq@exblog.jp"/>
    <x v="1"/>
    <s v="Rob"/>
    <s v="D"/>
    <x v="0"/>
    <n v="8.949999999999999"/>
    <n v="8.949999999999999"/>
    <x v="0"/>
    <x v="2"/>
    <x v="0"/>
  </r>
  <r>
    <s v="YVK-82679-655"/>
    <x v="341"/>
    <s v="95342-88311-SF"/>
    <s v="R-M-0.5"/>
    <n v="4"/>
    <x v="880"/>
    <s v="yburrellsqr@vinaora.com"/>
    <x v="0"/>
    <s v="Rob"/>
    <s v="M"/>
    <x v="1"/>
    <n v="5.97"/>
    <n v="23.88"/>
    <x v="0"/>
    <x v="0"/>
    <x v="0"/>
  </r>
  <r>
    <s v="TYH-81940-054"/>
    <x v="671"/>
    <s v="69374-08133-RI"/>
    <s v="E-L-0.2"/>
    <n v="5"/>
    <x v="881"/>
    <s v="cgoodrumqs@goodreads.com"/>
    <x v="0"/>
    <s v="Exc"/>
    <s v="L"/>
    <x v="3"/>
    <n v="4.455"/>
    <n v="22.275"/>
    <x v="1"/>
    <x v="1"/>
    <x v="1"/>
  </r>
  <r>
    <s v="HTY-30660-254"/>
    <x v="672"/>
    <s v="83844-95908-RX"/>
    <s v="R-M-1"/>
    <n v="3"/>
    <x v="882"/>
    <s v="jjefferysqt@blog.com"/>
    <x v="0"/>
    <s v="Rob"/>
    <s v="M"/>
    <x v="0"/>
    <n v="9.949999999999999"/>
    <n v="29.85"/>
    <x v="0"/>
    <x v="0"/>
    <x v="0"/>
  </r>
  <r>
    <s v="GPW-43956-761"/>
    <x v="673"/>
    <s v="09667-09231-YM"/>
    <s v="E-L-0.5"/>
    <n v="6"/>
    <x v="883"/>
    <s v="bwardellqu@adobe.com"/>
    <x v="0"/>
    <s v="Exc"/>
    <s v="L"/>
    <x v="1"/>
    <n v="8.91"/>
    <n v="53.46"/>
    <x v="1"/>
    <x v="1"/>
    <x v="0"/>
  </r>
  <r>
    <s v="DWY-56352-412"/>
    <x v="674"/>
    <s v="55427-08059-DF"/>
    <s v="R-D-0.2"/>
    <n v="1"/>
    <x v="884"/>
    <s v="zwalisiakqv@ucsd.edu"/>
    <x v="1"/>
    <s v="Rob"/>
    <s v="D"/>
    <x v="3"/>
    <n v="2.685"/>
    <n v="2.685"/>
    <x v="0"/>
    <x v="2"/>
    <x v="0"/>
  </r>
  <r>
    <s v="PUH-55647-976"/>
    <x v="675"/>
    <s v="06624-54037-BQ"/>
    <s v="R-M-0.2"/>
    <n v="2"/>
    <x v="885"/>
    <s v="wleopoldqw@blogspot.com"/>
    <x v="0"/>
    <s v="Rob"/>
    <s v="M"/>
    <x v="3"/>
    <n v="2.985"/>
    <n v="5.97"/>
    <x v="0"/>
    <x v="0"/>
    <x v="1"/>
  </r>
  <r>
    <s v="DTB-71371-705"/>
    <x v="539"/>
    <s v="48544-90737-AZ"/>
    <s v="L-D-1"/>
    <n v="1"/>
    <x v="886"/>
    <s v="cshaldersqx@cisco.com"/>
    <x v="0"/>
    <s v="Lib"/>
    <s v="D"/>
    <x v="0"/>
    <n v="12.95"/>
    <n v="12.95"/>
    <x v="3"/>
    <x v="2"/>
    <x v="0"/>
  </r>
  <r>
    <s v="ZDC-64769-740"/>
    <x v="676"/>
    <s v="79463-01597-FQ"/>
    <s v="E-M-0.5"/>
    <n v="1"/>
    <x v="887"/>
    <s v=""/>
    <x v="0"/>
    <s v="Exc"/>
    <s v="M"/>
    <x v="1"/>
    <n v="8.25"/>
    <n v="8.25"/>
    <x v="1"/>
    <x v="0"/>
    <x v="1"/>
  </r>
  <r>
    <s v="TED-81959-419"/>
    <x v="677"/>
    <s v="27702-50024-XC"/>
    <s v="A-L-2.5"/>
    <n v="5"/>
    <x v="888"/>
    <s v="nfurberqz@jugem.jp"/>
    <x v="0"/>
    <s v="Ara"/>
    <s v="L"/>
    <x v="2"/>
    <n v="29.785"/>
    <n v="148.925"/>
    <x v="2"/>
    <x v="1"/>
    <x v="1"/>
  </r>
  <r>
    <s v="FDO-25756-141"/>
    <x v="629"/>
    <s v="57360-46846-NS"/>
    <s v="A-L-2.5"/>
    <n v="3"/>
    <x v="889"/>
    <s v=""/>
    <x v="1"/>
    <s v="Ara"/>
    <s v="L"/>
    <x v="2"/>
    <n v="29.785"/>
    <n v="89.35499999999999"/>
    <x v="2"/>
    <x v="1"/>
    <x v="0"/>
  </r>
  <r>
    <s v="HKN-31467-517"/>
    <x v="662"/>
    <s v="84045-66771-SL"/>
    <s v="L-M-1"/>
    <n v="6"/>
    <x v="890"/>
    <s v="ckeaver1@ucoz.com"/>
    <x v="0"/>
    <s v="Lib"/>
    <s v="M"/>
    <x v="0"/>
    <n v="14.55"/>
    <n v="87.30000000000001"/>
    <x v="3"/>
    <x v="0"/>
    <x v="1"/>
  </r>
  <r>
    <s v="POF-29666-012"/>
    <x v="102"/>
    <s v="46885-00260-TL"/>
    <s v="R-D-0.5"/>
    <n v="1"/>
    <x v="891"/>
    <s v="sroseboroughr2@virginia.edu"/>
    <x v="0"/>
    <s v="Rob"/>
    <s v="D"/>
    <x v="1"/>
    <n v="5.369999999999999"/>
    <n v="5.369999999999999"/>
    <x v="0"/>
    <x v="2"/>
    <x v="0"/>
  </r>
  <r>
    <s v="IRX-59256-644"/>
    <x v="678"/>
    <s v="96446-62142-EN"/>
    <s v="A-D-0.2"/>
    <n v="3"/>
    <x v="892"/>
    <s v="ckingwellr3@squarespace.com"/>
    <x v="1"/>
    <s v="Ara"/>
    <s v="D"/>
    <x v="3"/>
    <n v="2.985"/>
    <n v="8.955"/>
    <x v="2"/>
    <x v="2"/>
    <x v="0"/>
  </r>
  <r>
    <s v="LTN-89139-350"/>
    <x v="679"/>
    <s v="07756-71018-GU"/>
    <s v="R-L-2.5"/>
    <n v="5"/>
    <x v="893"/>
    <s v="kcantor4@gmpg.org"/>
    <x v="0"/>
    <s v="Rob"/>
    <s v="L"/>
    <x v="2"/>
    <n v="27.485"/>
    <n v="137.425"/>
    <x v="0"/>
    <x v="1"/>
    <x v="0"/>
  </r>
  <r>
    <s v="TXF-79780-017"/>
    <x v="112"/>
    <s v="92048-47813-QB"/>
    <s v="R-L-1"/>
    <n v="5"/>
    <x v="894"/>
    <s v="mblakemorer5@nsw.gov.au"/>
    <x v="0"/>
    <s v="Rob"/>
    <s v="L"/>
    <x v="0"/>
    <n v="11.95"/>
    <n v="59.75"/>
    <x v="0"/>
    <x v="1"/>
    <x v="1"/>
  </r>
  <r>
    <s v="ALM-80762-974"/>
    <x v="55"/>
    <s v="84045-66771-SL"/>
    <s v="A-L-0.5"/>
    <n v="3"/>
    <x v="890"/>
    <s v="ckeaver1@ucoz.com"/>
    <x v="0"/>
    <s v="Ara"/>
    <s v="L"/>
    <x v="1"/>
    <n v="7.77"/>
    <n v="23.31"/>
    <x v="2"/>
    <x v="1"/>
    <x v="1"/>
  </r>
  <r>
    <s v="NXF-15738-707"/>
    <x v="680"/>
    <s v="28699-16256-XV"/>
    <s v="R-D-0.5"/>
    <n v="2"/>
    <x v="895"/>
    <s v=""/>
    <x v="0"/>
    <s v="Rob"/>
    <s v="D"/>
    <x v="1"/>
    <n v="5.369999999999999"/>
    <n v="10.74"/>
    <x v="0"/>
    <x v="2"/>
    <x v="1"/>
  </r>
  <r>
    <s v="MVV-19034-198"/>
    <x v="94"/>
    <s v="98476-63654-CG"/>
    <s v="E-D-2.5"/>
    <n v="6"/>
    <x v="896"/>
    <s v=""/>
    <x v="0"/>
    <s v="Exc"/>
    <s v="D"/>
    <x v="2"/>
    <n v="27.945"/>
    <n v="167.67"/>
    <x v="1"/>
    <x v="2"/>
    <x v="0"/>
  </r>
  <r>
    <s v="KUX-19632-830"/>
    <x v="160"/>
    <s v="55409-07759-YG"/>
    <s v="E-D-0.2"/>
    <n v="6"/>
    <x v="897"/>
    <s v="cbernardotr9@wix.com"/>
    <x v="0"/>
    <s v="Exc"/>
    <s v="D"/>
    <x v="3"/>
    <n v="3.645"/>
    <n v="21.87"/>
    <x v="1"/>
    <x v="2"/>
    <x v="0"/>
  </r>
  <r>
    <s v="SNZ-44595-152"/>
    <x v="681"/>
    <s v="06136-65250-PG"/>
    <s v="R-L-1"/>
    <n v="2"/>
    <x v="898"/>
    <s v="kkemeryra@t.co"/>
    <x v="0"/>
    <s v="Rob"/>
    <s v="L"/>
    <x v="0"/>
    <n v="11.95"/>
    <n v="23.9"/>
    <x v="0"/>
    <x v="1"/>
    <x v="0"/>
  </r>
  <r>
    <s v="GQA-37241-629"/>
    <x v="502"/>
    <s v="08405-33165-BS"/>
    <s v="A-M-0.2"/>
    <n v="2"/>
    <x v="899"/>
    <s v="fparlotrb@forbes.com"/>
    <x v="0"/>
    <s v="Ara"/>
    <s v="M"/>
    <x v="3"/>
    <n v="3.375"/>
    <n v="6.75"/>
    <x v="2"/>
    <x v="0"/>
    <x v="0"/>
  </r>
  <r>
    <s v="WVV-79948-067"/>
    <x v="682"/>
    <s v="66070-30559-WI"/>
    <s v="E-M-2.5"/>
    <n v="1"/>
    <x v="900"/>
    <s v="rcheakrc@tripadvisor.com"/>
    <x v="1"/>
    <s v="Exc"/>
    <s v="M"/>
    <x v="2"/>
    <n v="31.625"/>
    <n v="31.625"/>
    <x v="1"/>
    <x v="0"/>
    <x v="0"/>
  </r>
  <r>
    <s v="LHX-81117-166"/>
    <x v="683"/>
    <s v="01282-28364-RZ"/>
    <s v="R-L-1"/>
    <n v="4"/>
    <x v="901"/>
    <s v="kogeneayrd@utexas.edu"/>
    <x v="0"/>
    <s v="Rob"/>
    <s v="L"/>
    <x v="0"/>
    <n v="11.95"/>
    <n v="47.8"/>
    <x v="0"/>
    <x v="1"/>
    <x v="1"/>
  </r>
  <r>
    <s v="GCD-75444-320"/>
    <x v="594"/>
    <s v="51277-93873-RP"/>
    <s v="L-M-2.5"/>
    <n v="1"/>
    <x v="902"/>
    <s v="cayrere@symantec.com"/>
    <x v="0"/>
    <s v="Lib"/>
    <s v="M"/>
    <x v="2"/>
    <n v="33.465"/>
    <n v="33.465"/>
    <x v="3"/>
    <x v="0"/>
    <x v="1"/>
  </r>
  <r>
    <s v="SGA-30059-217"/>
    <x v="389"/>
    <s v="84405-83364-DG"/>
    <s v="A-D-0.5"/>
    <n v="5"/>
    <x v="903"/>
    <s v="lkynetonrf@macromedia.com"/>
    <x v="2"/>
    <s v="Ara"/>
    <s v="D"/>
    <x v="1"/>
    <n v="5.97"/>
    <n v="29.85"/>
    <x v="2"/>
    <x v="2"/>
    <x v="0"/>
  </r>
  <r>
    <s v="GNL-98714-885"/>
    <x v="583"/>
    <s v="83731-53280-YC"/>
    <s v="R-M-1"/>
    <n v="3"/>
    <x v="904"/>
    <s v=""/>
    <x v="2"/>
    <s v="Rob"/>
    <s v="M"/>
    <x v="0"/>
    <n v="9.949999999999999"/>
    <n v="29.85"/>
    <x v="0"/>
    <x v="0"/>
    <x v="0"/>
  </r>
  <r>
    <s v="OQA-93249-841"/>
    <x v="647"/>
    <s v="03917-13632-KC"/>
    <s v="A-M-2.5"/>
    <n v="6"/>
    <x v="905"/>
    <s v=""/>
    <x v="0"/>
    <s v="Ara"/>
    <s v="M"/>
    <x v="2"/>
    <n v="25.875"/>
    <n v="155.25"/>
    <x v="2"/>
    <x v="0"/>
    <x v="0"/>
  </r>
  <r>
    <s v="DUV-12075-132"/>
    <x v="366"/>
    <s v="62494-09113-RP"/>
    <s v="E-D-0.2"/>
    <n v="5"/>
    <x v="906"/>
    <s v=""/>
    <x v="0"/>
    <s v="Exc"/>
    <s v="D"/>
    <x v="3"/>
    <n v="3.645"/>
    <n v="18.225"/>
    <x v="1"/>
    <x v="2"/>
    <x v="1"/>
  </r>
  <r>
    <s v="DUV-12075-132"/>
    <x v="366"/>
    <s v="62494-09113-RP"/>
    <s v="L-D-0.5"/>
    <n v="2"/>
    <x v="906"/>
    <s v=""/>
    <x v="0"/>
    <s v="Lib"/>
    <s v="D"/>
    <x v="1"/>
    <n v="7.77"/>
    <n v="15.54"/>
    <x v="3"/>
    <x v="2"/>
    <x v="1"/>
  </r>
  <r>
    <s v="KPO-24942-184"/>
    <x v="684"/>
    <s v="70567-65133-CN"/>
    <s v="L-L-2.5"/>
    <n v="3"/>
    <x v="907"/>
    <s v=""/>
    <x v="1"/>
    <s v="Lib"/>
    <s v="L"/>
    <x v="2"/>
    <n v="36.455"/>
    <n v="109.365"/>
    <x v="3"/>
    <x v="1"/>
    <x v="1"/>
  </r>
  <r>
    <s v="SRJ-79353-838"/>
    <x v="506"/>
    <s v="77869-81373-AY"/>
    <s v="A-L-1"/>
    <n v="6"/>
    <x v="908"/>
    <s v=""/>
    <x v="0"/>
    <s v="Ara"/>
    <s v="L"/>
    <x v="0"/>
    <n v="12.95"/>
    <n v="77.69999999999999"/>
    <x v="2"/>
    <x v="1"/>
    <x v="1"/>
  </r>
  <r>
    <s v="XBV-40336-071"/>
    <x v="685"/>
    <s v="38536-98293-JZ"/>
    <s v="A-D-0.2"/>
    <n v="3"/>
    <x v="909"/>
    <s v=""/>
    <x v="1"/>
    <s v="Ara"/>
    <s v="D"/>
    <x v="3"/>
    <n v="2.985"/>
    <n v="8.955"/>
    <x v="2"/>
    <x v="2"/>
    <x v="1"/>
  </r>
  <r>
    <s v="RLM-96511-467"/>
    <x v="191"/>
    <s v="43014-53743-XK"/>
    <s v="R-L-2.5"/>
    <n v="1"/>
    <x v="910"/>
    <s v="jtewelsonrn@samsung.com"/>
    <x v="0"/>
    <s v="Rob"/>
    <s v="L"/>
    <x v="2"/>
    <n v="27.485"/>
    <n v="27.485"/>
    <x v="0"/>
    <x v="1"/>
    <x v="1"/>
  </r>
  <r>
    <s v="AEZ-13242-456"/>
    <x v="686"/>
    <s v="62494-09113-RP"/>
    <s v="R-M-0.5"/>
    <n v="5"/>
    <x v="906"/>
    <s v=""/>
    <x v="0"/>
    <s v="Rob"/>
    <s v="M"/>
    <x v="1"/>
    <n v="5.97"/>
    <n v="29.85"/>
    <x v="0"/>
    <x v="0"/>
    <x v="1"/>
  </r>
  <r>
    <s v="UME-75640-698"/>
    <x v="687"/>
    <s v="62494-09113-RP"/>
    <s v="A-M-0.5"/>
    <n v="4"/>
    <x v="906"/>
    <s v=""/>
    <x v="0"/>
    <s v="Ara"/>
    <s v="M"/>
    <x v="1"/>
    <n v="6.75"/>
    <n v="27"/>
    <x v="2"/>
    <x v="0"/>
    <x v="1"/>
  </r>
  <r>
    <s v="GJC-66474-557"/>
    <x v="629"/>
    <s v="64965-78386-MY"/>
    <s v="A-D-1"/>
    <n v="1"/>
    <x v="911"/>
    <s v="njennyrq@bigcartel.com"/>
    <x v="0"/>
    <s v="Ara"/>
    <s v="D"/>
    <x v="0"/>
    <n v="9.949999999999999"/>
    <n v="9.949999999999999"/>
    <x v="2"/>
    <x v="2"/>
    <x v="1"/>
  </r>
  <r>
    <s v="IRV-20769-219"/>
    <x v="688"/>
    <s v="77131-58092-GE"/>
    <s v="E-M-0.2"/>
    <n v="3"/>
    <x v="912"/>
    <s v=""/>
    <x v="2"/>
    <s v="Exc"/>
    <s v="M"/>
    <x v="3"/>
    <n v="4.125"/>
    <n v="12.375"/>
    <x v="1"/>
    <x v="0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otalSales" cacheId="5" dataOnRows="0" dataCaption="Values" showError="0" showMissing="1" updatedVersion="8" minRefreshableVersion="5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4" fieldListSortAscending="0" mdxSubqueries="0" applyNumberFormats="0" applyBorderFormats="0" applyFontFormats="0" applyPatternFormats="0" applyAlignmentFormats="0" applyWidthHeightFormats="1" r:id="rId1">
  <location ref="A3:F48" firstHeaderRow="1" firstDataRow="2" firstDataCol="2"/>
  <pivotFields count="18">
    <pivotField showDropDowns="1" compact="0" outline="0" subtotalTop="1" dragToRow="1" dragToCol="1" dragToPage="1" dragToData="1" dragOff="1" showAll="0" topAutoShow="1" itemPageCount="10" sortType="manual" defaultSubtotal="0"/>
    <pivotField showDropDowns="1" compact="0" numFmtId="165" outline="0" subtotalTop="1" dragToRow="1" dragToCol="1" dragToPage="1" dragToData="1" dragOff="1" showAll="0" topAutoShow="1" itemPageCount="10" sortType="manual" defaultSubtotal="0">
      <items count="689">
        <item t="data" sd="1" x="6"/>
        <item t="data" sd="1" x="578"/>
        <item t="data" sd="1" x="463"/>
        <item t="data" sd="1" x="655"/>
        <item t="data" sd="1" x="420"/>
        <item t="data" sd="1" x="499"/>
        <item t="data" sd="1" x="161"/>
        <item t="data" sd="1" x="149"/>
        <item t="data" sd="1" x="535"/>
        <item t="data" sd="1" x="488"/>
        <item t="data" sd="1" x="673"/>
        <item t="data" sd="1" x="309"/>
        <item t="data" sd="1" x="310"/>
        <item t="data" sd="1" x="336"/>
        <item t="data" sd="1" x="53"/>
        <item t="data" sd="1" x="530"/>
        <item t="data" sd="1" x="496"/>
        <item t="data" sd="1" x="552"/>
        <item t="data" sd="1" x="124"/>
        <item t="data" sd="1" x="603"/>
        <item t="data" sd="1" x="460"/>
        <item t="data" sd="1" x="445"/>
        <item t="data" sd="1" x="21"/>
        <item t="data" sd="1" x="418"/>
        <item t="data" sd="1" x="368"/>
        <item t="data" sd="1" x="240"/>
        <item t="data" sd="1" x="52"/>
        <item t="data" sd="1" x="665"/>
        <item t="data" sd="1" x="267"/>
        <item t="data" sd="1" x="482"/>
        <item t="data" sd="1" x="286"/>
        <item t="data" sd="1" x="315"/>
        <item t="data" sd="1" x="599"/>
        <item t="data" sd="1" x="406"/>
        <item t="data" sd="1" x="325"/>
        <item t="data" sd="1" x="83"/>
        <item t="data" sd="1" x="333"/>
        <item t="data" sd="1" x="533"/>
        <item t="data" sd="1" x="581"/>
        <item t="data" sd="1" x="13"/>
        <item t="data" sd="1" x="588"/>
        <item t="data" sd="1" x="657"/>
        <item t="data" sd="1" x="505"/>
        <item t="data" sd="1" x="102"/>
        <item t="data" sd="1" x="647"/>
        <item t="data" sd="1" x="129"/>
        <item t="data" sd="1" x="303"/>
        <item t="data" sd="1" x="556"/>
        <item t="data" sd="1" x="165"/>
        <item t="data" sd="1" x="96"/>
        <item t="data" sd="1" x="202"/>
        <item t="data" sd="1" x="71"/>
        <item t="data" sd="1" x="360"/>
        <item t="data" sd="1" x="225"/>
        <item t="data" sd="1" x="273"/>
        <item t="data" sd="1" x="29"/>
        <item t="data" sd="1" x="110"/>
        <item t="data" sd="1" x="425"/>
        <item t="data" sd="1" x="605"/>
        <item t="data" sd="1" x="320"/>
        <item t="data" sd="1" x="458"/>
        <item t="data" sd="1" x="335"/>
        <item t="data" sd="1" x="294"/>
        <item t="data" sd="1" x="68"/>
        <item t="data" sd="1" x="253"/>
        <item t="data" sd="1" x="302"/>
        <item t="data" sd="1" x="43"/>
        <item t="data" sd="1" x="375"/>
        <item t="data" sd="1" x="467"/>
        <item t="data" sd="1" x="510"/>
        <item t="data" sd="1" x="34"/>
        <item t="data" sd="1" x="111"/>
        <item t="data" sd="1" x="144"/>
        <item t="data" sd="1" x="274"/>
        <item t="data" sd="1" x="387"/>
        <item t="data" sd="1" x="413"/>
        <item t="data" sd="1" x="198"/>
        <item t="data" sd="1" x="15"/>
        <item t="data" sd="1" x="631"/>
        <item t="data" sd="1" x="619"/>
        <item t="data" sd="1" x="637"/>
        <item t="data" sd="1" x="638"/>
        <item t="data" sd="1" x="620"/>
        <item t="data" sd="1" x="241"/>
        <item t="data" sd="1" x="136"/>
        <item t="data" sd="1" x="266"/>
        <item t="data" sd="1" x="100"/>
        <item t="data" sd="1" x="679"/>
        <item t="data" sd="1" x="39"/>
        <item t="data" sd="1" x="61"/>
        <item t="data" sd="1" x="633"/>
        <item t="data" sd="1" x="564"/>
        <item t="data" sd="1" x="539"/>
        <item t="data" sd="1" x="115"/>
        <item t="data" sd="1" x="394"/>
        <item t="data" sd="1" x="231"/>
        <item t="data" sd="1" x="468"/>
        <item t="data" sd="1" x="529"/>
        <item t="data" sd="1" x="76"/>
        <item t="data" sd="1" x="271"/>
        <item t="data" sd="1" x="574"/>
        <item t="data" sd="1" x="438"/>
        <item t="data" sd="1" x="373"/>
        <item t="data" sd="1" x="569"/>
        <item t="data" sd="1" x="268"/>
        <item t="data" sd="1" x="332"/>
        <item t="data" sd="1" x="627"/>
        <item t="data" sd="1" x="169"/>
        <item t="data" sd="1" x="162"/>
        <item t="data" sd="1" x="437"/>
        <item t="data" sd="1" x="278"/>
        <item t="data" sd="1" x="317"/>
        <item t="data" sd="1" x="288"/>
        <item t="data" sd="1" x="104"/>
        <item t="data" sd="1" x="93"/>
        <item t="data" sd="1" x="550"/>
        <item t="data" sd="1" x="677"/>
        <item t="data" sd="1" x="626"/>
        <item t="data" sd="1" x="238"/>
        <item t="data" sd="1" x="397"/>
        <item t="data" sd="1" x="279"/>
        <item t="data" sd="1" x="0"/>
        <item t="data" sd="1" x="139"/>
        <item t="data" sd="1" x="610"/>
        <item t="data" sd="1" x="621"/>
        <item t="data" sd="1" x="44"/>
        <item t="data" sd="1" x="331"/>
        <item t="data" sd="1" x="73"/>
        <item t="data" sd="1" x="672"/>
        <item t="data" sd="1" x="622"/>
        <item t="data" sd="1" x="650"/>
        <item t="data" sd="1" x="500"/>
        <item t="data" sd="1" x="676"/>
        <item t="data" sd="1" x="378"/>
        <item t="data" sd="1" x="528"/>
        <item t="data" sd="1" x="432"/>
        <item t="data" sd="1" x="475"/>
        <item t="data" sd="1" x="559"/>
        <item t="data" sd="1" x="280"/>
        <item t="data" sd="1" x="474"/>
        <item t="data" sd="1" x="22"/>
        <item t="data" sd="1" x="388"/>
        <item t="data" sd="1" x="687"/>
        <item t="data" sd="1" x="426"/>
        <item t="data" sd="1" x="287"/>
        <item t="data" sd="1" x="59"/>
        <item t="data" sd="1" x="244"/>
        <item t="data" sd="1" x="14"/>
        <item t="data" sd="1" x="354"/>
        <item t="data" sd="1" x="106"/>
        <item t="data" sd="1" x="431"/>
        <item t="data" sd="1" x="256"/>
        <item t="data" sd="1" x="72"/>
        <item t="data" sd="1" x="137"/>
        <item t="data" sd="1" x="179"/>
        <item t="data" sd="1" x="247"/>
        <item t="data" sd="1" x="183"/>
        <item t="data" sd="1" x="38"/>
        <item t="data" sd="1" x="582"/>
        <item t="data" sd="1" x="446"/>
        <item t="data" sd="1" x="276"/>
        <item t="data" sd="1" x="75"/>
        <item t="data" sd="1" x="364"/>
        <item t="data" sd="1" x="405"/>
        <item t="data" sd="1" x="229"/>
        <item t="data" sd="1" x="60"/>
        <item t="data" sd="1" x="258"/>
        <item t="data" sd="1" x="573"/>
        <item t="data" sd="1" x="600"/>
        <item t="data" sd="1" x="345"/>
        <item t="data" sd="1" x="292"/>
        <item t="data" sd="1" x="534"/>
        <item t="data" sd="1" x="356"/>
        <item t="data" sd="1" x="355"/>
        <item t="data" sd="1" x="98"/>
        <item t="data" sd="1" x="554"/>
        <item t="data" sd="1" x="153"/>
        <item t="data" sd="1" x="379"/>
        <item t="data" sd="1" x="466"/>
        <item t="data" sd="1" x="85"/>
        <item t="data" sd="1" x="485"/>
        <item t="data" sd="1" x="265"/>
        <item t="data" sd="1" x="520"/>
        <item t="data" sd="1" x="257"/>
        <item t="data" sd="1" x="184"/>
        <item t="data" sd="1" x="157"/>
        <item t="data" sd="1" x="502"/>
        <item t="data" sd="1" x="191"/>
        <item t="data" sd="1" x="141"/>
        <item t="data" sd="1" x="319"/>
        <item t="data" sd="1" x="371"/>
        <item t="data" sd="1" x="164"/>
        <item t="data" sd="1" x="221"/>
        <item t="data" sd="1" x="563"/>
        <item t="data" sd="1" x="289"/>
        <item t="data" sd="1" x="625"/>
        <item t="data" sd="1" x="67"/>
        <item t="data" sd="1" x="680"/>
        <item t="data" sd="1" x="47"/>
        <item t="data" sd="1" x="297"/>
        <item t="data" sd="1" x="215"/>
        <item t="data" sd="1" x="262"/>
        <item t="data" sd="1" x="671"/>
        <item t="data" sd="1" x="350"/>
        <item t="data" sd="1" x="454"/>
        <item t="data" sd="1" x="54"/>
        <item t="data" sd="1" x="383"/>
        <item t="data" sd="1" x="321"/>
        <item t="data" sd="1" x="227"/>
        <item t="data" sd="1" x="203"/>
        <item t="data" sd="1" x="306"/>
        <item t="data" sd="1" x="298"/>
        <item t="data" sd="1" x="216"/>
        <item t="data" sd="1" x="194"/>
        <item t="data" sd="1" x="206"/>
        <item t="data" sd="1" x="175"/>
        <item t="data" sd="1" x="494"/>
        <item t="data" sd="1" x="281"/>
        <item t="data" sd="1" x="193"/>
        <item t="data" sd="1" x="585"/>
        <item t="data" sd="1" x="489"/>
        <item t="data" sd="1" x="259"/>
        <item t="data" sd="1" x="90"/>
        <item t="data" sd="1" x="498"/>
        <item t="data" sd="1" x="476"/>
        <item t="data" sd="1" x="583"/>
        <item t="data" sd="1" x="155"/>
        <item t="data" sd="1" x="346"/>
        <item t="data" sd="1" x="593"/>
        <item t="data" sd="1" x="459"/>
        <item t="data" sd="1" x="645"/>
        <item t="data" sd="1" x="365"/>
        <item t="data" sd="1" x="158"/>
        <item t="data" sd="1" x="576"/>
        <item t="data" sd="1" x="55"/>
        <item t="data" sd="1" x="525"/>
        <item t="data" sd="1" x="512"/>
        <item t="data" sd="1" x="209"/>
        <item t="data" sd="1" x="166"/>
        <item t="data" sd="1" x="69"/>
        <item t="data" sd="1" x="181"/>
        <item t="data" sd="1" x="419"/>
        <item t="data" sd="1" x="444"/>
        <item t="data" sd="1" x="36"/>
        <item t="data" sd="1" x="74"/>
        <item t="data" sd="1" x="486"/>
        <item t="data" sd="1" x="521"/>
        <item t="data" sd="1" x="477"/>
        <item t="data" sd="1" x="30"/>
        <item t="data" sd="1" x="457"/>
        <item t="data" sd="1" x="212"/>
        <item t="data" sd="1" x="393"/>
        <item t="data" sd="1" x="594"/>
        <item t="data" sd="1" x="95"/>
        <item t="data" sd="1" x="242"/>
        <item t="data" sd="1" x="386"/>
        <item t="data" sd="1" x="449"/>
        <item t="data" sd="1" x="126"/>
        <item t="data" sd="1" x="80"/>
        <item t="data" sd="1" x="10"/>
        <item t="data" sd="1" x="568"/>
        <item t="data" sd="1" x="94"/>
        <item t="data" sd="1" x="296"/>
        <item t="data" sd="1" x="234"/>
        <item t="data" sd="1" x="507"/>
        <item t="data" sd="1" x="277"/>
        <item t="data" sd="1" x="439"/>
        <item t="data" sd="1" x="236"/>
        <item t="data" sd="1" x="207"/>
        <item t="data" sd="1" x="284"/>
        <item t="data" sd="1" x="635"/>
        <item t="data" sd="1" x="401"/>
        <item t="data" sd="1" x="478"/>
        <item t="data" sd="1" x="602"/>
        <item t="data" sd="1" x="199"/>
        <item t="data" sd="1" x="26"/>
        <item t="data" sd="1" x="524"/>
        <item t="data" sd="1" x="84"/>
        <item t="data" sd="1" x="495"/>
        <item t="data" sd="1" x="640"/>
        <item t="data" sd="1" x="372"/>
        <item t="data" sd="1" x="214"/>
        <item t="data" sd="1" x="381"/>
        <item t="data" sd="1" x="130"/>
        <item t="data" sd="1" x="402"/>
        <item t="data" sd="1" x="112"/>
        <item t="data" sd="1" x="174"/>
        <item t="data" sd="1" x="470"/>
        <item t="data" sd="1" x="243"/>
        <item t="data" sd="1" x="440"/>
        <item t="data" sd="1" x="376"/>
        <item t="data" sd="1" x="82"/>
        <item t="data" sd="1" x="416"/>
        <item t="data" sd="1" x="97"/>
        <item t="data" sd="1" x="557"/>
        <item t="data" sd="1" x="117"/>
        <item t="data" sd="1" x="456"/>
        <item t="data" sd="1" x="484"/>
        <item t="data" sd="1" x="133"/>
        <item t="data" sd="1" x="105"/>
        <item t="data" sd="1" x="252"/>
        <item t="data" sd="1" x="304"/>
        <item t="data" sd="1" x="295"/>
        <item t="data" sd="1" x="560"/>
        <item t="data" sd="1" x="542"/>
        <item t="data" sd="1" x="519"/>
        <item t="data" sd="1" x="208"/>
        <item t="data" sd="1" x="128"/>
        <item t="data" sd="1" x="497"/>
        <item t="data" sd="1" x="40"/>
        <item t="data" sd="1" x="642"/>
        <item t="data" sd="1" x="189"/>
        <item t="data" sd="1" x="577"/>
        <item t="data" sd="1" x="392"/>
        <item t="data" sd="1" x="314"/>
        <item t="data" sd="1" x="395"/>
        <item t="data" sd="1" x="255"/>
        <item t="data" sd="1" x="178"/>
        <item t="data" sd="1" x="492"/>
        <item t="data" sd="1" x="132"/>
        <item t="data" sd="1" x="190"/>
        <item t="data" sd="1" x="210"/>
        <item t="data" sd="1" x="134"/>
        <item t="data" sd="1" x="659"/>
        <item t="data" sd="1" x="513"/>
        <item t="data" sd="1" x="688"/>
        <item t="data" sd="1" x="156"/>
        <item t="data" sd="1" x="377"/>
        <item t="data" sd="1" x="313"/>
        <item t="data" sd="1" x="570"/>
        <item t="data" sd="1" x="429"/>
        <item t="data" sd="1" x="20"/>
        <item t="data" sd="1" x="414"/>
        <item t="data" sd="1" x="324"/>
        <item t="data" sd="1" x="63"/>
        <item t="data" sd="1" x="8"/>
        <item t="data" sd="1" x="327"/>
        <item t="data" sd="1" x="606"/>
        <item t="data" sd="1" x="81"/>
        <item t="data" sd="1" x="471"/>
        <item t="data" sd="1" x="88"/>
        <item t="data" sd="1" x="330"/>
        <item t="data" sd="1" x="609"/>
        <item t="data" sd="1" x="348"/>
        <item t="data" sd="1" x="604"/>
        <item t="data" sd="1" x="473"/>
        <item t="data" sd="1" x="469"/>
        <item t="data" sd="1" x="540"/>
        <item t="data" sd="1" x="661"/>
        <item t="data" sd="1" x="545"/>
        <item t="data" sd="1" x="224"/>
        <item t="data" sd="1" x="669"/>
        <item t="data" sd="1" x="400"/>
        <item t="data" sd="1" x="656"/>
        <item t="data" sd="1" x="338"/>
        <item t="data" sd="1" x="46"/>
        <item t="data" sd="1" x="16"/>
        <item t="data" sd="1" x="269"/>
        <item t="data" sd="1" x="86"/>
        <item t="data" sd="1" x="205"/>
        <item t="data" sd="1" x="598"/>
        <item t="data" sd="1" x="186"/>
        <item t="data" sd="1" x="430"/>
        <item t="data" sd="1" x="249"/>
        <item t="data" sd="1" x="145"/>
        <item t="data" sd="1" x="237"/>
        <item t="data" sd="1" x="404"/>
        <item t="data" sd="1" x="571"/>
        <item t="data" sd="1" x="450"/>
        <item t="data" sd="1" x="411"/>
        <item t="data" sd="1" x="116"/>
        <item t="data" sd="1" x="62"/>
        <item t="data" sd="1" x="341"/>
        <item t="data" sd="1" x="515"/>
        <item t="data" sd="1" x="142"/>
        <item t="data" sd="1" x="561"/>
        <item t="data" sd="1" x="239"/>
        <item t="data" sd="1" x="176"/>
        <item t="data" sd="1" x="358"/>
        <item t="data" sd="1" x="682"/>
        <item t="data" sd="1" x="541"/>
        <item t="data" sd="1" x="481"/>
        <item t="data" sd="1" x="17"/>
        <item t="data" sd="1" x="547"/>
        <item t="data" sd="1" x="644"/>
        <item t="data" sd="1" x="353"/>
        <item t="data" sd="1" x="434"/>
        <item t="data" sd="1" x="260"/>
        <item t="data" sd="1" x="663"/>
        <item t="data" sd="1" x="359"/>
        <item t="data" sd="1" x="120"/>
        <item t="data" sd="1" x="28"/>
        <item t="data" sd="1" x="146"/>
        <item t="data" sd="1" x="597"/>
        <item t="data" sd="1" x="123"/>
        <item t="data" sd="1" x="447"/>
        <item t="data" sd="1" x="592"/>
        <item t="data" sd="1" x="596"/>
        <item t="data" sd="1" x="685"/>
        <item t="data" sd="1" x="326"/>
        <item t="data" sd="1" x="674"/>
        <item t="data" sd="1" x="389"/>
        <item t="data" sd="1" x="318"/>
        <item t="data" sd="1" x="362"/>
        <item t="data" sd="1" x="51"/>
        <item t="data" sd="1" x="628"/>
        <item t="data" sd="1" x="415"/>
        <item t="data" sd="1" x="285"/>
        <item t="data" sd="1" x="254"/>
        <item t="data" sd="1" x="87"/>
        <item t="data" sd="1" x="452"/>
        <item t="data" sd="1" x="7"/>
        <item t="data" sd="1" x="544"/>
        <item t="data" sd="1" x="103"/>
        <item t="data" sd="1" x="455"/>
        <item t="data" sd="1" x="108"/>
        <item t="data" sd="1" x="147"/>
        <item t="data" sd="1" x="45"/>
        <item t="data" sd="1" x="385"/>
        <item t="data" sd="1" x="251"/>
        <item t="data" sd="1" x="684"/>
        <item t="data" sd="1" x="562"/>
        <item t="data" sd="1" x="200"/>
        <item t="data" sd="1" x="246"/>
        <item t="data" sd="1" x="516"/>
        <item t="data" sd="1" x="196"/>
        <item t="data" sd="1" x="180"/>
        <item t="data" sd="1" x="78"/>
        <item t="data" sd="1" x="632"/>
        <item t="data" sd="1" x="77"/>
        <item t="data" sd="1" x="448"/>
        <item t="data" sd="1" x="89"/>
        <item t="data" sd="1" x="636"/>
        <item t="data" sd="1" x="171"/>
        <item t="data" sd="1" x="337"/>
        <item t="data" sd="1" x="154"/>
        <item t="data" sd="1" x="527"/>
        <item t="data" sd="1" x="526"/>
        <item t="data" sd="1" x="608"/>
        <item t="data" sd="1" x="32"/>
        <item t="data" sd="1" x="548"/>
        <item t="data" sd="1" x="140"/>
        <item t="data" sd="1" x="187"/>
        <item t="data" sd="1" x="442"/>
        <item t="data" sd="1" x="464"/>
        <item t="data" sd="1" x="630"/>
        <item t="data" sd="1" x="228"/>
        <item t="data" sd="1" x="423"/>
        <item t="data" sd="1" x="490"/>
        <item t="data" sd="1" x="334"/>
        <item t="data" sd="1" x="230"/>
        <item t="data" sd="1" x="427"/>
        <item t="data" sd="1" x="367"/>
        <item t="data" sd="1" x="192"/>
        <item t="data" sd="1" x="170"/>
        <item t="data" sd="1" x="118"/>
        <item t="data" sd="1" x="290"/>
        <item t="data" sd="1" x="522"/>
        <item t="data" sd="1" x="641"/>
        <item t="data" sd="1" x="27"/>
        <item t="data" sd="1" x="399"/>
        <item t="data" sd="1" x="532"/>
        <item t="data" sd="1" x="223"/>
        <item t="data" sd="1" x="299"/>
        <item t="data" sd="1" x="217"/>
        <item t="data" sd="1" x="64"/>
        <item t="data" sd="1" x="1"/>
        <item t="data" sd="1" x="135"/>
        <item t="data" sd="1" x="270"/>
        <item t="data" sd="1" x="138"/>
        <item t="data" sd="1" x="382"/>
        <item t="data" sd="1" x="195"/>
        <item t="data" sd="1" x="316"/>
        <item t="data" sd="1" x="428"/>
        <item t="data" sd="1" x="451"/>
        <item t="data" sd="1" x="361"/>
        <item t="data" sd="1" x="614"/>
        <item t="data" sd="1" x="2"/>
        <item t="data" sd="1" x="307"/>
        <item t="data" sd="1" x="25"/>
        <item t="data" sd="1" x="65"/>
        <item t="data" sd="1" x="160"/>
        <item t="data" sd="1" x="168"/>
        <item t="data" sd="1" x="518"/>
        <item t="data" sd="1" x="66"/>
        <item t="data" sd="1" x="436"/>
        <item t="data" sd="1" x="121"/>
        <item t="data" sd="1" x="660"/>
        <item t="data" sd="1" x="344"/>
        <item t="data" sd="1" x="629"/>
        <item t="data" sd="1" x="3"/>
        <item t="data" sd="1" x="391"/>
        <item t="data" sd="1" x="607"/>
        <item t="data" sd="1" x="339"/>
        <item t="data" sd="1" x="363"/>
        <item t="data" sd="1" x="370"/>
        <item t="data" sd="1" x="352"/>
        <item t="data" sd="1" x="351"/>
        <item t="data" sd="1" x="555"/>
        <item t="data" sd="1" x="282"/>
        <item t="data" sd="1" x="232"/>
        <item t="data" sd="1" x="264"/>
        <item t="data" sd="1" x="398"/>
        <item t="data" sd="1" x="114"/>
        <item t="data" sd="1" x="342"/>
        <item t="data" sd="1" x="328"/>
        <item t="data" sd="1" x="412"/>
        <item t="data" sd="1" x="553"/>
        <item t="data" sd="1" x="301"/>
        <item t="data" sd="1" x="648"/>
        <item t="data" sd="1" x="508"/>
        <item t="data" sd="1" x="19"/>
        <item t="data" sd="1" x="323"/>
        <item t="data" sd="1" x="347"/>
        <item t="data" sd="1" x="441"/>
        <item t="data" sd="1" x="616"/>
        <item t="data" sd="1" x="646"/>
        <item t="data" sd="1" x="24"/>
        <item t="data" sd="1" x="329"/>
        <item t="data" sd="1" x="579"/>
        <item t="data" sd="1" x="479"/>
        <item t="data" sd="1" x="185"/>
        <item t="data" sd="1" x="107"/>
        <item t="data" sd="1" x="283"/>
        <item t="data" sd="1" x="35"/>
        <item t="data" sd="1" x="151"/>
        <item t="data" sd="1" x="390"/>
        <item t="data" sd="1" x="101"/>
        <item t="data" sd="1" x="220"/>
        <item t="data" sd="1" x="501"/>
        <item t="data" sd="1" x="172"/>
        <item t="data" sd="1" x="91"/>
        <item t="data" sd="1" x="465"/>
        <item t="data" sd="1" x="662"/>
        <item t="data" sd="1" x="511"/>
        <item t="data" sd="1" x="197"/>
        <item t="data" sd="1" x="248"/>
        <item t="data" sd="1" x="493"/>
        <item t="data" sd="1" x="343"/>
        <item t="data" sd="1" x="453"/>
        <item t="data" sd="1" x="433"/>
        <item t="data" sd="1" x="653"/>
        <item t="data" sd="1" x="113"/>
        <item t="data" sd="1" x="584"/>
        <item t="data" sd="1" x="159"/>
        <item t="data" sd="1" x="188"/>
        <item t="data" sd="1" x="143"/>
        <item t="data" sd="1" x="618"/>
        <item t="data" sd="1" x="634"/>
        <item t="data" sd="1" x="58"/>
        <item t="data" sd="1" x="612"/>
        <item t="data" sd="1" x="219"/>
        <item t="data" sd="1" x="31"/>
        <item t="data" sd="1" x="443"/>
        <item t="data" sd="1" x="461"/>
        <item t="data" sd="1" x="357"/>
        <item t="data" sd="1" x="250"/>
        <item t="data" sd="1" x="462"/>
        <item t="data" sd="1" x="589"/>
        <item t="data" sd="1" x="380"/>
        <item t="data" sd="1" x="50"/>
        <item t="data" sd="1" x="678"/>
        <item t="data" sd="1" x="580"/>
        <item t="data" sd="1" x="213"/>
        <item t="data" sd="1" x="514"/>
        <item t="data" sd="1" x="79"/>
        <item t="data" sd="1" x="491"/>
        <item t="data" sd="1" x="506"/>
        <item t="data" sd="1" x="131"/>
        <item t="data" sd="1" x="408"/>
        <item t="data" sd="1" x="558"/>
        <item t="data" sd="1" x="322"/>
        <item t="data" sd="1" x="683"/>
        <item t="data" sd="1" x="575"/>
        <item t="data" sd="1" x="204"/>
        <item t="data" sd="1" x="549"/>
        <item t="data" sd="1" x="543"/>
        <item t="data" sd="1" x="651"/>
        <item t="data" sd="1" x="613"/>
        <item t="data" sd="1" x="291"/>
        <item t="data" sd="1" x="487"/>
        <item t="data" sd="1" x="369"/>
        <item t="data" sd="1" x="4"/>
        <item t="data" sd="1" x="643"/>
        <item t="data" sd="1" x="424"/>
        <item t="data" sd="1" x="263"/>
        <item t="data" sd="1" x="572"/>
        <item t="data" sd="1" x="591"/>
        <item t="data" sd="1" x="422"/>
        <item t="data" sd="1" x="37"/>
        <item t="data" sd="1" x="340"/>
        <item t="data" sd="1" x="668"/>
        <item t="data" sd="1" x="537"/>
        <item t="data" sd="1" x="201"/>
        <item t="data" sd="1" x="18"/>
        <item t="data" sd="1" x="658"/>
        <item t="data" sd="1" x="173"/>
        <item t="data" sd="1" x="403"/>
        <item t="data" sd="1" x="538"/>
        <item t="data" sd="1" x="587"/>
        <item t="data" sd="1" x="396"/>
        <item t="data" sd="1" x="49"/>
        <item t="data" sd="1" x="56"/>
        <item t="data" sd="1" x="617"/>
        <item t="data" sd="1" x="503"/>
        <item t="data" sd="1" x="300"/>
        <item t="data" sd="1" x="70"/>
        <item t="data" sd="1" x="546"/>
        <item t="data" sd="1" x="649"/>
        <item t="data" sd="1" x="509"/>
        <item t="data" sd="1" x="122"/>
        <item t="data" sd="1" x="472"/>
        <item t="data" sd="1" x="675"/>
        <item t="data" sd="1" x="150"/>
        <item t="data" sd="1" x="167"/>
        <item t="data" sd="1" x="517"/>
        <item t="data" sd="1" x="182"/>
        <item t="data" sd="1" x="639"/>
        <item t="data" sd="1" x="536"/>
        <item t="data" sd="1" x="11"/>
        <item t="data" sd="1" x="177"/>
        <item t="data" sd="1" x="421"/>
        <item t="data" sd="1" x="670"/>
        <item t="data" sd="1" x="57"/>
        <item t="data" sd="1" x="435"/>
        <item t="data" sd="1" x="409"/>
        <item t="data" sd="1" x="664"/>
        <item t="data" sd="1" x="624"/>
        <item t="data" sd="1" x="222"/>
        <item t="data" sd="1" x="127"/>
        <item t="data" sd="1" x="483"/>
        <item t="data" sd="1" x="233"/>
        <item t="data" sd="1" x="480"/>
        <item t="data" sd="1" x="226"/>
        <item t="data" sd="1" x="686"/>
        <item t="data" sd="1" x="305"/>
        <item t="data" sd="1" x="407"/>
        <item t="data" sd="1" x="308"/>
        <item t="data" sd="1" x="504"/>
        <item t="data" sd="1" x="125"/>
        <item t="data" sd="1" x="245"/>
        <item t="data" sd="1" x="163"/>
        <item t="data" sd="1" x="5"/>
        <item t="data" sd="1" x="211"/>
        <item t="data" sd="1" x="666"/>
        <item t="data" sd="1" x="565"/>
        <item t="data" sd="1" x="311"/>
        <item t="data" sd="1" x="374"/>
        <item t="data" sd="1" x="652"/>
        <item t="data" sd="1" x="623"/>
        <item t="data" sd="1" x="595"/>
        <item t="data" sd="1" x="567"/>
        <item t="data" sd="1" x="531"/>
        <item t="data" sd="1" x="417"/>
        <item t="data" sd="1" x="366"/>
        <item t="data" sd="1" x="12"/>
        <item t="data" sd="1" x="152"/>
        <item t="data" sd="1" x="667"/>
        <item t="data" sd="1" x="410"/>
        <item t="data" sd="1" x="109"/>
        <item t="data" sd="1" x="235"/>
        <item t="data" sd="1" x="566"/>
        <item t="data" sd="1" x="99"/>
        <item t="data" sd="1" x="261"/>
        <item t="data" sd="1" x="349"/>
        <item t="data" sd="1" x="312"/>
        <item t="data" sd="1" x="293"/>
        <item t="data" sd="1" x="9"/>
        <item t="data" sd="1" x="615"/>
        <item t="data" sd="1" x="33"/>
        <item t="data" sd="1" x="92"/>
        <item t="data" sd="1" x="590"/>
        <item t="data" sd="1" x="523"/>
        <item t="data" sd="1" x="611"/>
        <item t="data" sd="1" x="272"/>
        <item t="data" sd="1" x="551"/>
        <item t="data" sd="1" x="119"/>
        <item t="data" sd="1" x="48"/>
        <item t="data" sd="1" x="601"/>
        <item t="data" sd="1" x="384"/>
        <item t="data" sd="1" x="654"/>
        <item t="data" sd="1" x="586"/>
        <item t="data" sd="1" x="23"/>
        <item t="data" sd="1" x="148"/>
        <item t="data" sd="1" x="218"/>
        <item t="data" sd="1" x="275"/>
        <item t="data" sd="1" x="681"/>
        <item t="data" sd="1" x="41"/>
        <item t="data" sd="1" x="42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numFmtId="166" outline="0" subtotalTop="1" dragToRow="1" dragToCol="1" dragToPage="1" dragToData="1" dragOff="1" showAll="0" topAutoShow="1" itemPageCount="10" sortType="manual" defaultSubtotal="0">
      <items count="4">
        <item t="data" sd="1" x="3"/>
        <item t="data" sd="1" x="1"/>
        <item t="data" sd="1" x="0"/>
        <item t="data" sd="1" x="2"/>
      </items>
    </pivotField>
    <pivotField showDropDowns="1" compact="0" numFmtId="167" outline="0" subtotalTop="1" dragToRow="1" dragToCol="1" dragToPage="1" dragToData="1" dragOff="1" showAll="0" topAutoShow="1" itemPageCount="10" sortType="manual" defaultSubtotal="0"/>
    <pivotField dataField="1" showDropDowns="1" compact="0" numFmtId="167" outline="0" subtotalTop="1" dragToRow="1" dragToCol="1" dragToPage="1" dragToData="1" dragOff="1" showAll="0" topAutoShow="1" itemPageCount="10" sortType="manual" defaultSubtotal="0"/>
    <pivotField axis="axisCol" showDropDowns="1" compact="0" outline="0" subtotalTop="1" dragToRow="1" dragToCol="1" dragToPage="1" dragToData="1" dragOff="1" showAll="0" topAutoShow="1" itemPageCount="10" sortType="manual" defaultSubtotal="0">
      <items count="4">
        <item t="data" sd="1" x="2"/>
        <item t="data" sd="1" x="1"/>
        <item t="data" sd="1" x="3"/>
        <item t="data" sd="1" x="0"/>
      </items>
    </pivotField>
    <pivotField showDropDowns="1" compact="0" outline="0" subtotalTop="1" dragToRow="1" dragToCol="1" dragToPage="1" dragToData="1" dragOff="1" showAll="0" topAutoShow="1" itemPageCount="10" sortType="manual" defaultSubtotal="0">
      <items count="3">
        <item t="data" sd="1" x="2"/>
        <item t="data" sd="1" x="1"/>
        <item t="data" sd="1" x="0"/>
      </items>
    </pivotField>
    <pivotField showDropDowns="1" compact="0" outline="0" subtotalTop="0" dragToRow="1" dragToCol="1" dragToPage="1" dragToData="1" dragOff="1" showAll="0" topAutoShow="1" itemPageCount="10" sortType="manual" defaultSubtotal="0">
      <items count="2">
        <item t="data" sd="1" x="1"/>
        <item t="data" sd="1" x="0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1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6">
        <item t="data" sd="1" x="0"/>
        <item t="data" sd="1" x="1"/>
        <item t="data" sd="1" x="2"/>
        <item t="data" sd="1" x="3"/>
        <item t="data" sd="1" x="4"/>
        <item t="data" sd="1" x="5"/>
      </items>
    </pivotField>
  </pivotFields>
  <rowFields count="2">
    <field x="17"/>
    <field x="16"/>
  </rowFields>
  <rowItems count="44">
    <i t="data" r="0" i="0">
      <x v="1"/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0" i="0">
      <x v="2"/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0" i="0">
      <x v="3"/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0" i="0">
      <x v="4"/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</rowItems>
  <colFields count="1">
    <field x="13"/>
  </colFields>
  <colItems count="4">
    <i t="data" r="0" i="0">
      <x v="0"/>
    </i>
    <i t="data" r="0" i="0">
      <x v="1"/>
    </i>
    <i t="data" r="0" i="0">
      <x v="2"/>
    </i>
    <i t="data" r="0" i="0">
      <x v="3"/>
    </i>
  </colItems>
  <dataFields count="1">
    <dataField name="Sum of Sales" fld="12" subtotal="sum" showDataAs="normal" baseField="15" baseItem="2" numFmtId="3"/>
  </dataFields>
  <chartFormats count="4">
    <chartFormat chart="3" format="8" series="1">
      <pivotArea type="data" dataOnly="1" outline="0" fieldPosition="0">
        <references count="2">
          <reference field="4294967294" selected="0">
            <x v="0"/>
          </reference>
          <reference field="13" selected="0">
            <x v="0"/>
          </reference>
        </references>
      </pivotArea>
    </chartFormat>
    <chartFormat chart="3" format="9" series="1">
      <pivotArea type="data" dataOnly="1" outline="0" fieldPosition="0">
        <references count="2">
          <reference field="4294967294" selected="0">
            <x v="0"/>
          </reference>
          <reference field="13" selected="0">
            <x v="1"/>
          </reference>
        </references>
      </pivotArea>
    </chartFormat>
    <chartFormat chart="3" format="10" series="1">
      <pivotArea type="data" dataOnly="1" outline="0" fieldPosition="0">
        <references count="2">
          <reference field="4294967294" selected="0">
            <x v="0"/>
          </reference>
          <reference field="13" selected="0">
            <x v="2"/>
          </reference>
        </references>
      </pivotArea>
    </chartFormat>
    <chartFormat chart="3" format="11" series="1">
      <pivotArea type="data" dataOnly="1" outline="0" fieldPosition="0">
        <references count="2">
          <reference field="4294967294" selected="0">
            <x v="0"/>
          </reference>
          <reference field="13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otalSales" cacheId="5" dataOnRows="0" dataCaption="Values" showError="0" showMissing="1" updatedVersion="8" minRefreshableVersion="5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8" fieldListSortAscending="0" mdxSubqueries="0" applyNumberFormats="0" applyBorderFormats="0" applyFontFormats="0" applyPatternFormats="0" applyAlignmentFormats="0" applyWidthHeightFormats="1" r:id="rId1">
  <location ref="A3:B6" firstHeaderRow="1" firstDataRow="1" firstDataCol="1"/>
  <pivotFields count="18">
    <pivotField showDropDowns="1" compact="0" outline="0" subtotalTop="1" dragToRow="1" dragToCol="1" dragToPage="1" dragToData="1" dragOff="1" showAll="0" topAutoShow="1" itemPageCount="10" sortType="manual" defaultSubtotal="0"/>
    <pivotField showDropDowns="1" compact="0" numFmtId="165" outline="0" subtotalTop="1" dragToRow="1" dragToCol="1" dragToPage="1" dragToData="1" dragOff="1" showAll="0" topAutoShow="1" itemPageCount="10" sortType="manual" defaultSubtotal="0">
      <items count="689">
        <item t="data" sd="1" x="6"/>
        <item t="data" sd="1" x="578"/>
        <item t="data" sd="1" x="463"/>
        <item t="data" sd="1" x="655"/>
        <item t="data" sd="1" x="420"/>
        <item t="data" sd="1" x="499"/>
        <item t="data" sd="1" x="161"/>
        <item t="data" sd="1" x="149"/>
        <item t="data" sd="1" x="535"/>
        <item t="data" sd="1" x="488"/>
        <item t="data" sd="1" x="673"/>
        <item t="data" sd="1" x="309"/>
        <item t="data" sd="1" x="310"/>
        <item t="data" sd="1" x="336"/>
        <item t="data" sd="1" x="53"/>
        <item t="data" sd="1" x="530"/>
        <item t="data" sd="1" x="496"/>
        <item t="data" sd="1" x="552"/>
        <item t="data" sd="1" x="124"/>
        <item t="data" sd="1" x="603"/>
        <item t="data" sd="1" x="460"/>
        <item t="data" sd="1" x="445"/>
        <item t="data" sd="1" x="21"/>
        <item t="data" sd="1" x="418"/>
        <item t="data" sd="1" x="368"/>
        <item t="data" sd="1" x="240"/>
        <item t="data" sd="1" x="52"/>
        <item t="data" sd="1" x="665"/>
        <item t="data" sd="1" x="267"/>
        <item t="data" sd="1" x="482"/>
        <item t="data" sd="1" x="286"/>
        <item t="data" sd="1" x="315"/>
        <item t="data" sd="1" x="599"/>
        <item t="data" sd="1" x="406"/>
        <item t="data" sd="1" x="325"/>
        <item t="data" sd="1" x="83"/>
        <item t="data" sd="1" x="333"/>
        <item t="data" sd="1" x="533"/>
        <item t="data" sd="1" x="581"/>
        <item t="data" sd="1" x="13"/>
        <item t="data" sd="1" x="588"/>
        <item t="data" sd="1" x="657"/>
        <item t="data" sd="1" x="505"/>
        <item t="data" sd="1" x="102"/>
        <item t="data" sd="1" x="647"/>
        <item t="data" sd="1" x="129"/>
        <item t="data" sd="1" x="303"/>
        <item t="data" sd="1" x="556"/>
        <item t="data" sd="1" x="165"/>
        <item t="data" sd="1" x="96"/>
        <item t="data" sd="1" x="202"/>
        <item t="data" sd="1" x="71"/>
        <item t="data" sd="1" x="360"/>
        <item t="data" sd="1" x="225"/>
        <item t="data" sd="1" x="273"/>
        <item t="data" sd="1" x="29"/>
        <item t="data" sd="1" x="110"/>
        <item t="data" sd="1" x="425"/>
        <item t="data" sd="1" x="605"/>
        <item t="data" sd="1" x="320"/>
        <item t="data" sd="1" x="458"/>
        <item t="data" sd="1" x="335"/>
        <item t="data" sd="1" x="294"/>
        <item t="data" sd="1" x="68"/>
        <item t="data" sd="1" x="253"/>
        <item t="data" sd="1" x="302"/>
        <item t="data" sd="1" x="43"/>
        <item t="data" sd="1" x="375"/>
        <item t="data" sd="1" x="467"/>
        <item t="data" sd="1" x="510"/>
        <item t="data" sd="1" x="34"/>
        <item t="data" sd="1" x="111"/>
        <item t="data" sd="1" x="144"/>
        <item t="data" sd="1" x="274"/>
        <item t="data" sd="1" x="387"/>
        <item t="data" sd="1" x="413"/>
        <item t="data" sd="1" x="198"/>
        <item t="data" sd="1" x="15"/>
        <item t="data" sd="1" x="631"/>
        <item t="data" sd="1" x="619"/>
        <item t="data" sd="1" x="637"/>
        <item t="data" sd="1" x="638"/>
        <item t="data" sd="1" x="620"/>
        <item t="data" sd="1" x="241"/>
        <item t="data" sd="1" x="136"/>
        <item t="data" sd="1" x="266"/>
        <item t="data" sd="1" x="100"/>
        <item t="data" sd="1" x="679"/>
        <item t="data" sd="1" x="39"/>
        <item t="data" sd="1" x="61"/>
        <item t="data" sd="1" x="633"/>
        <item t="data" sd="1" x="564"/>
        <item t="data" sd="1" x="539"/>
        <item t="data" sd="1" x="115"/>
        <item t="data" sd="1" x="394"/>
        <item t="data" sd="1" x="231"/>
        <item t="data" sd="1" x="468"/>
        <item t="data" sd="1" x="529"/>
        <item t="data" sd="1" x="76"/>
        <item t="data" sd="1" x="271"/>
        <item t="data" sd="1" x="574"/>
        <item t="data" sd="1" x="438"/>
        <item t="data" sd="1" x="373"/>
        <item t="data" sd="1" x="569"/>
        <item t="data" sd="1" x="268"/>
        <item t="data" sd="1" x="332"/>
        <item t="data" sd="1" x="627"/>
        <item t="data" sd="1" x="169"/>
        <item t="data" sd="1" x="162"/>
        <item t="data" sd="1" x="437"/>
        <item t="data" sd="1" x="278"/>
        <item t="data" sd="1" x="317"/>
        <item t="data" sd="1" x="288"/>
        <item t="data" sd="1" x="104"/>
        <item t="data" sd="1" x="93"/>
        <item t="data" sd="1" x="550"/>
        <item t="data" sd="1" x="677"/>
        <item t="data" sd="1" x="626"/>
        <item t="data" sd="1" x="238"/>
        <item t="data" sd="1" x="397"/>
        <item t="data" sd="1" x="279"/>
        <item t="data" sd="1" x="0"/>
        <item t="data" sd="1" x="139"/>
        <item t="data" sd="1" x="610"/>
        <item t="data" sd="1" x="621"/>
        <item t="data" sd="1" x="44"/>
        <item t="data" sd="1" x="331"/>
        <item t="data" sd="1" x="73"/>
        <item t="data" sd="1" x="672"/>
        <item t="data" sd="1" x="622"/>
        <item t="data" sd="1" x="650"/>
        <item t="data" sd="1" x="500"/>
        <item t="data" sd="1" x="676"/>
        <item t="data" sd="1" x="378"/>
        <item t="data" sd="1" x="528"/>
        <item t="data" sd="1" x="432"/>
        <item t="data" sd="1" x="475"/>
        <item t="data" sd="1" x="559"/>
        <item t="data" sd="1" x="280"/>
        <item t="data" sd="1" x="474"/>
        <item t="data" sd="1" x="22"/>
        <item t="data" sd="1" x="388"/>
        <item t="data" sd="1" x="687"/>
        <item t="data" sd="1" x="426"/>
        <item t="data" sd="1" x="287"/>
        <item t="data" sd="1" x="59"/>
        <item t="data" sd="1" x="244"/>
        <item t="data" sd="1" x="14"/>
        <item t="data" sd="1" x="354"/>
        <item t="data" sd="1" x="106"/>
        <item t="data" sd="1" x="431"/>
        <item t="data" sd="1" x="256"/>
        <item t="data" sd="1" x="72"/>
        <item t="data" sd="1" x="137"/>
        <item t="data" sd="1" x="179"/>
        <item t="data" sd="1" x="247"/>
        <item t="data" sd="1" x="183"/>
        <item t="data" sd="1" x="38"/>
        <item t="data" sd="1" x="582"/>
        <item t="data" sd="1" x="446"/>
        <item t="data" sd="1" x="276"/>
        <item t="data" sd="1" x="75"/>
        <item t="data" sd="1" x="364"/>
        <item t="data" sd="1" x="405"/>
        <item t="data" sd="1" x="229"/>
        <item t="data" sd="1" x="60"/>
        <item t="data" sd="1" x="258"/>
        <item t="data" sd="1" x="573"/>
        <item t="data" sd="1" x="600"/>
        <item t="data" sd="1" x="345"/>
        <item t="data" sd="1" x="292"/>
        <item t="data" sd="1" x="534"/>
        <item t="data" sd="1" x="356"/>
        <item t="data" sd="1" x="355"/>
        <item t="data" sd="1" x="98"/>
        <item t="data" sd="1" x="554"/>
        <item t="data" sd="1" x="153"/>
        <item t="data" sd="1" x="379"/>
        <item t="data" sd="1" x="466"/>
        <item t="data" sd="1" x="85"/>
        <item t="data" sd="1" x="485"/>
        <item t="data" sd="1" x="265"/>
        <item t="data" sd="1" x="520"/>
        <item t="data" sd="1" x="257"/>
        <item t="data" sd="1" x="184"/>
        <item t="data" sd="1" x="157"/>
        <item t="data" sd="1" x="502"/>
        <item t="data" sd="1" x="191"/>
        <item t="data" sd="1" x="141"/>
        <item t="data" sd="1" x="319"/>
        <item t="data" sd="1" x="371"/>
        <item t="data" sd="1" x="164"/>
        <item t="data" sd="1" x="221"/>
        <item t="data" sd="1" x="563"/>
        <item t="data" sd="1" x="289"/>
        <item t="data" sd="1" x="625"/>
        <item t="data" sd="1" x="67"/>
        <item t="data" sd="1" x="680"/>
        <item t="data" sd="1" x="47"/>
        <item t="data" sd="1" x="297"/>
        <item t="data" sd="1" x="215"/>
        <item t="data" sd="1" x="262"/>
        <item t="data" sd="1" x="671"/>
        <item t="data" sd="1" x="350"/>
        <item t="data" sd="1" x="454"/>
        <item t="data" sd="1" x="54"/>
        <item t="data" sd="1" x="383"/>
        <item t="data" sd="1" x="321"/>
        <item t="data" sd="1" x="227"/>
        <item t="data" sd="1" x="203"/>
        <item t="data" sd="1" x="306"/>
        <item t="data" sd="1" x="298"/>
        <item t="data" sd="1" x="216"/>
        <item t="data" sd="1" x="194"/>
        <item t="data" sd="1" x="206"/>
        <item t="data" sd="1" x="175"/>
        <item t="data" sd="1" x="494"/>
        <item t="data" sd="1" x="281"/>
        <item t="data" sd="1" x="193"/>
        <item t="data" sd="1" x="585"/>
        <item t="data" sd="1" x="489"/>
        <item t="data" sd="1" x="259"/>
        <item t="data" sd="1" x="90"/>
        <item t="data" sd="1" x="498"/>
        <item t="data" sd="1" x="476"/>
        <item t="data" sd="1" x="583"/>
        <item t="data" sd="1" x="155"/>
        <item t="data" sd="1" x="346"/>
        <item t="data" sd="1" x="593"/>
        <item t="data" sd="1" x="459"/>
        <item t="data" sd="1" x="645"/>
        <item t="data" sd="1" x="365"/>
        <item t="data" sd="1" x="158"/>
        <item t="data" sd="1" x="576"/>
        <item t="data" sd="1" x="55"/>
        <item t="data" sd="1" x="525"/>
        <item t="data" sd="1" x="512"/>
        <item t="data" sd="1" x="209"/>
        <item t="data" sd="1" x="166"/>
        <item t="data" sd="1" x="69"/>
        <item t="data" sd="1" x="181"/>
        <item t="data" sd="1" x="419"/>
        <item t="data" sd="1" x="444"/>
        <item t="data" sd="1" x="36"/>
        <item t="data" sd="1" x="74"/>
        <item t="data" sd="1" x="486"/>
        <item t="data" sd="1" x="521"/>
        <item t="data" sd="1" x="477"/>
        <item t="data" sd="1" x="30"/>
        <item t="data" sd="1" x="457"/>
        <item t="data" sd="1" x="212"/>
        <item t="data" sd="1" x="393"/>
        <item t="data" sd="1" x="594"/>
        <item t="data" sd="1" x="95"/>
        <item t="data" sd="1" x="242"/>
        <item t="data" sd="1" x="386"/>
        <item t="data" sd="1" x="449"/>
        <item t="data" sd="1" x="126"/>
        <item t="data" sd="1" x="80"/>
        <item t="data" sd="1" x="10"/>
        <item t="data" sd="1" x="568"/>
        <item t="data" sd="1" x="94"/>
        <item t="data" sd="1" x="296"/>
        <item t="data" sd="1" x="234"/>
        <item t="data" sd="1" x="507"/>
        <item t="data" sd="1" x="277"/>
        <item t="data" sd="1" x="439"/>
        <item t="data" sd="1" x="236"/>
        <item t="data" sd="1" x="207"/>
        <item t="data" sd="1" x="284"/>
        <item t="data" sd="1" x="635"/>
        <item t="data" sd="1" x="401"/>
        <item t="data" sd="1" x="478"/>
        <item t="data" sd="1" x="602"/>
        <item t="data" sd="1" x="199"/>
        <item t="data" sd="1" x="26"/>
        <item t="data" sd="1" x="524"/>
        <item t="data" sd="1" x="84"/>
        <item t="data" sd="1" x="495"/>
        <item t="data" sd="1" x="640"/>
        <item t="data" sd="1" x="372"/>
        <item t="data" sd="1" x="214"/>
        <item t="data" sd="1" x="381"/>
        <item t="data" sd="1" x="130"/>
        <item t="data" sd="1" x="402"/>
        <item t="data" sd="1" x="112"/>
        <item t="data" sd="1" x="174"/>
        <item t="data" sd="1" x="470"/>
        <item t="data" sd="1" x="243"/>
        <item t="data" sd="1" x="440"/>
        <item t="data" sd="1" x="376"/>
        <item t="data" sd="1" x="82"/>
        <item t="data" sd="1" x="416"/>
        <item t="data" sd="1" x="97"/>
        <item t="data" sd="1" x="557"/>
        <item t="data" sd="1" x="117"/>
        <item t="data" sd="1" x="456"/>
        <item t="data" sd="1" x="484"/>
        <item t="data" sd="1" x="133"/>
        <item t="data" sd="1" x="105"/>
        <item t="data" sd="1" x="252"/>
        <item t="data" sd="1" x="304"/>
        <item t="data" sd="1" x="295"/>
        <item t="data" sd="1" x="560"/>
        <item t="data" sd="1" x="542"/>
        <item t="data" sd="1" x="519"/>
        <item t="data" sd="1" x="208"/>
        <item t="data" sd="1" x="128"/>
        <item t="data" sd="1" x="497"/>
        <item t="data" sd="1" x="40"/>
        <item t="data" sd="1" x="642"/>
        <item t="data" sd="1" x="189"/>
        <item t="data" sd="1" x="577"/>
        <item t="data" sd="1" x="392"/>
        <item t="data" sd="1" x="314"/>
        <item t="data" sd="1" x="395"/>
        <item t="data" sd="1" x="255"/>
        <item t="data" sd="1" x="178"/>
        <item t="data" sd="1" x="492"/>
        <item t="data" sd="1" x="132"/>
        <item t="data" sd="1" x="190"/>
        <item t="data" sd="1" x="210"/>
        <item t="data" sd="1" x="134"/>
        <item t="data" sd="1" x="659"/>
        <item t="data" sd="1" x="513"/>
        <item t="data" sd="1" x="688"/>
        <item t="data" sd="1" x="156"/>
        <item t="data" sd="1" x="377"/>
        <item t="data" sd="1" x="313"/>
        <item t="data" sd="1" x="570"/>
        <item t="data" sd="1" x="429"/>
        <item t="data" sd="1" x="20"/>
        <item t="data" sd="1" x="414"/>
        <item t="data" sd="1" x="324"/>
        <item t="data" sd="1" x="63"/>
        <item t="data" sd="1" x="8"/>
        <item t="data" sd="1" x="327"/>
        <item t="data" sd="1" x="606"/>
        <item t="data" sd="1" x="81"/>
        <item t="data" sd="1" x="471"/>
        <item t="data" sd="1" x="88"/>
        <item t="data" sd="1" x="330"/>
        <item t="data" sd="1" x="609"/>
        <item t="data" sd="1" x="348"/>
        <item t="data" sd="1" x="604"/>
        <item t="data" sd="1" x="473"/>
        <item t="data" sd="1" x="469"/>
        <item t="data" sd="1" x="540"/>
        <item t="data" sd="1" x="661"/>
        <item t="data" sd="1" x="545"/>
        <item t="data" sd="1" x="224"/>
        <item t="data" sd="1" x="669"/>
        <item t="data" sd="1" x="400"/>
        <item t="data" sd="1" x="656"/>
        <item t="data" sd="1" x="338"/>
        <item t="data" sd="1" x="46"/>
        <item t="data" sd="1" x="16"/>
        <item t="data" sd="1" x="269"/>
        <item t="data" sd="1" x="86"/>
        <item t="data" sd="1" x="205"/>
        <item t="data" sd="1" x="598"/>
        <item t="data" sd="1" x="186"/>
        <item t="data" sd="1" x="430"/>
        <item t="data" sd="1" x="249"/>
        <item t="data" sd="1" x="145"/>
        <item t="data" sd="1" x="237"/>
        <item t="data" sd="1" x="404"/>
        <item t="data" sd="1" x="571"/>
        <item t="data" sd="1" x="450"/>
        <item t="data" sd="1" x="411"/>
        <item t="data" sd="1" x="116"/>
        <item t="data" sd="1" x="62"/>
        <item t="data" sd="1" x="341"/>
        <item t="data" sd="1" x="515"/>
        <item t="data" sd="1" x="142"/>
        <item t="data" sd="1" x="561"/>
        <item t="data" sd="1" x="239"/>
        <item t="data" sd="1" x="176"/>
        <item t="data" sd="1" x="358"/>
        <item t="data" sd="1" x="682"/>
        <item t="data" sd="1" x="541"/>
        <item t="data" sd="1" x="481"/>
        <item t="data" sd="1" x="17"/>
        <item t="data" sd="1" x="547"/>
        <item t="data" sd="1" x="644"/>
        <item t="data" sd="1" x="353"/>
        <item t="data" sd="1" x="434"/>
        <item t="data" sd="1" x="260"/>
        <item t="data" sd="1" x="663"/>
        <item t="data" sd="1" x="359"/>
        <item t="data" sd="1" x="120"/>
        <item t="data" sd="1" x="28"/>
        <item t="data" sd="1" x="146"/>
        <item t="data" sd="1" x="597"/>
        <item t="data" sd="1" x="123"/>
        <item t="data" sd="1" x="447"/>
        <item t="data" sd="1" x="592"/>
        <item t="data" sd="1" x="596"/>
        <item t="data" sd="1" x="685"/>
        <item t="data" sd="1" x="326"/>
        <item t="data" sd="1" x="674"/>
        <item t="data" sd="1" x="389"/>
        <item t="data" sd="1" x="318"/>
        <item t="data" sd="1" x="362"/>
        <item t="data" sd="1" x="51"/>
        <item t="data" sd="1" x="628"/>
        <item t="data" sd="1" x="415"/>
        <item t="data" sd="1" x="285"/>
        <item t="data" sd="1" x="254"/>
        <item t="data" sd="1" x="87"/>
        <item t="data" sd="1" x="452"/>
        <item t="data" sd="1" x="7"/>
        <item t="data" sd="1" x="544"/>
        <item t="data" sd="1" x="103"/>
        <item t="data" sd="1" x="455"/>
        <item t="data" sd="1" x="108"/>
        <item t="data" sd="1" x="147"/>
        <item t="data" sd="1" x="45"/>
        <item t="data" sd="1" x="385"/>
        <item t="data" sd="1" x="251"/>
        <item t="data" sd="1" x="684"/>
        <item t="data" sd="1" x="562"/>
        <item t="data" sd="1" x="200"/>
        <item t="data" sd="1" x="246"/>
        <item t="data" sd="1" x="516"/>
        <item t="data" sd="1" x="196"/>
        <item t="data" sd="1" x="180"/>
        <item t="data" sd="1" x="78"/>
        <item t="data" sd="1" x="632"/>
        <item t="data" sd="1" x="77"/>
        <item t="data" sd="1" x="448"/>
        <item t="data" sd="1" x="89"/>
        <item t="data" sd="1" x="636"/>
        <item t="data" sd="1" x="171"/>
        <item t="data" sd="1" x="337"/>
        <item t="data" sd="1" x="154"/>
        <item t="data" sd="1" x="527"/>
        <item t="data" sd="1" x="526"/>
        <item t="data" sd="1" x="608"/>
        <item t="data" sd="1" x="32"/>
        <item t="data" sd="1" x="548"/>
        <item t="data" sd="1" x="140"/>
        <item t="data" sd="1" x="187"/>
        <item t="data" sd="1" x="442"/>
        <item t="data" sd="1" x="464"/>
        <item t="data" sd="1" x="630"/>
        <item t="data" sd="1" x="228"/>
        <item t="data" sd="1" x="423"/>
        <item t="data" sd="1" x="490"/>
        <item t="data" sd="1" x="334"/>
        <item t="data" sd="1" x="230"/>
        <item t="data" sd="1" x="427"/>
        <item t="data" sd="1" x="367"/>
        <item t="data" sd="1" x="192"/>
        <item t="data" sd="1" x="170"/>
        <item t="data" sd="1" x="118"/>
        <item t="data" sd="1" x="290"/>
        <item t="data" sd="1" x="522"/>
        <item t="data" sd="1" x="641"/>
        <item t="data" sd="1" x="27"/>
        <item t="data" sd="1" x="399"/>
        <item t="data" sd="1" x="532"/>
        <item t="data" sd="1" x="223"/>
        <item t="data" sd="1" x="299"/>
        <item t="data" sd="1" x="217"/>
        <item t="data" sd="1" x="64"/>
        <item t="data" sd="1" x="1"/>
        <item t="data" sd="1" x="135"/>
        <item t="data" sd="1" x="270"/>
        <item t="data" sd="1" x="138"/>
        <item t="data" sd="1" x="382"/>
        <item t="data" sd="1" x="195"/>
        <item t="data" sd="1" x="316"/>
        <item t="data" sd="1" x="428"/>
        <item t="data" sd="1" x="451"/>
        <item t="data" sd="1" x="361"/>
        <item t="data" sd="1" x="614"/>
        <item t="data" sd="1" x="2"/>
        <item t="data" sd="1" x="307"/>
        <item t="data" sd="1" x="25"/>
        <item t="data" sd="1" x="65"/>
        <item t="data" sd="1" x="160"/>
        <item t="data" sd="1" x="168"/>
        <item t="data" sd="1" x="518"/>
        <item t="data" sd="1" x="66"/>
        <item t="data" sd="1" x="436"/>
        <item t="data" sd="1" x="121"/>
        <item t="data" sd="1" x="660"/>
        <item t="data" sd="1" x="344"/>
        <item t="data" sd="1" x="629"/>
        <item t="data" sd="1" x="3"/>
        <item t="data" sd="1" x="391"/>
        <item t="data" sd="1" x="607"/>
        <item t="data" sd="1" x="339"/>
        <item t="data" sd="1" x="363"/>
        <item t="data" sd="1" x="370"/>
        <item t="data" sd="1" x="352"/>
        <item t="data" sd="1" x="351"/>
        <item t="data" sd="1" x="555"/>
        <item t="data" sd="1" x="282"/>
        <item t="data" sd="1" x="232"/>
        <item t="data" sd="1" x="264"/>
        <item t="data" sd="1" x="398"/>
        <item t="data" sd="1" x="114"/>
        <item t="data" sd="1" x="342"/>
        <item t="data" sd="1" x="328"/>
        <item t="data" sd="1" x="412"/>
        <item t="data" sd="1" x="553"/>
        <item t="data" sd="1" x="301"/>
        <item t="data" sd="1" x="648"/>
        <item t="data" sd="1" x="508"/>
        <item t="data" sd="1" x="19"/>
        <item t="data" sd="1" x="323"/>
        <item t="data" sd="1" x="347"/>
        <item t="data" sd="1" x="441"/>
        <item t="data" sd="1" x="616"/>
        <item t="data" sd="1" x="646"/>
        <item t="data" sd="1" x="24"/>
        <item t="data" sd="1" x="329"/>
        <item t="data" sd="1" x="579"/>
        <item t="data" sd="1" x="479"/>
        <item t="data" sd="1" x="185"/>
        <item t="data" sd="1" x="107"/>
        <item t="data" sd="1" x="283"/>
        <item t="data" sd="1" x="35"/>
        <item t="data" sd="1" x="151"/>
        <item t="data" sd="1" x="390"/>
        <item t="data" sd="1" x="101"/>
        <item t="data" sd="1" x="220"/>
        <item t="data" sd="1" x="501"/>
        <item t="data" sd="1" x="172"/>
        <item t="data" sd="1" x="91"/>
        <item t="data" sd="1" x="465"/>
        <item t="data" sd="1" x="662"/>
        <item t="data" sd="1" x="511"/>
        <item t="data" sd="1" x="197"/>
        <item t="data" sd="1" x="248"/>
        <item t="data" sd="1" x="493"/>
        <item t="data" sd="1" x="343"/>
        <item t="data" sd="1" x="453"/>
        <item t="data" sd="1" x="433"/>
        <item t="data" sd="1" x="653"/>
        <item t="data" sd="1" x="113"/>
        <item t="data" sd="1" x="584"/>
        <item t="data" sd="1" x="159"/>
        <item t="data" sd="1" x="188"/>
        <item t="data" sd="1" x="143"/>
        <item t="data" sd="1" x="618"/>
        <item t="data" sd="1" x="634"/>
        <item t="data" sd="1" x="58"/>
        <item t="data" sd="1" x="612"/>
        <item t="data" sd="1" x="219"/>
        <item t="data" sd="1" x="31"/>
        <item t="data" sd="1" x="443"/>
        <item t="data" sd="1" x="461"/>
        <item t="data" sd="1" x="357"/>
        <item t="data" sd="1" x="250"/>
        <item t="data" sd="1" x="462"/>
        <item t="data" sd="1" x="589"/>
        <item t="data" sd="1" x="380"/>
        <item t="data" sd="1" x="50"/>
        <item t="data" sd="1" x="678"/>
        <item t="data" sd="1" x="580"/>
        <item t="data" sd="1" x="213"/>
        <item t="data" sd="1" x="514"/>
        <item t="data" sd="1" x="79"/>
        <item t="data" sd="1" x="491"/>
        <item t="data" sd="1" x="506"/>
        <item t="data" sd="1" x="131"/>
        <item t="data" sd="1" x="408"/>
        <item t="data" sd="1" x="558"/>
        <item t="data" sd="1" x="322"/>
        <item t="data" sd="1" x="683"/>
        <item t="data" sd="1" x="575"/>
        <item t="data" sd="1" x="204"/>
        <item t="data" sd="1" x="549"/>
        <item t="data" sd="1" x="543"/>
        <item t="data" sd="1" x="651"/>
        <item t="data" sd="1" x="613"/>
        <item t="data" sd="1" x="291"/>
        <item t="data" sd="1" x="487"/>
        <item t="data" sd="1" x="369"/>
        <item t="data" sd="1" x="4"/>
        <item t="data" sd="1" x="643"/>
        <item t="data" sd="1" x="424"/>
        <item t="data" sd="1" x="263"/>
        <item t="data" sd="1" x="572"/>
        <item t="data" sd="1" x="591"/>
        <item t="data" sd="1" x="422"/>
        <item t="data" sd="1" x="37"/>
        <item t="data" sd="1" x="340"/>
        <item t="data" sd="1" x="668"/>
        <item t="data" sd="1" x="537"/>
        <item t="data" sd="1" x="201"/>
        <item t="data" sd="1" x="18"/>
        <item t="data" sd="1" x="658"/>
        <item t="data" sd="1" x="173"/>
        <item t="data" sd="1" x="403"/>
        <item t="data" sd="1" x="538"/>
        <item t="data" sd="1" x="587"/>
        <item t="data" sd="1" x="396"/>
        <item t="data" sd="1" x="49"/>
        <item t="data" sd="1" x="56"/>
        <item t="data" sd="1" x="617"/>
        <item t="data" sd="1" x="503"/>
        <item t="data" sd="1" x="300"/>
        <item t="data" sd="1" x="70"/>
        <item t="data" sd="1" x="546"/>
        <item t="data" sd="1" x="649"/>
        <item t="data" sd="1" x="509"/>
        <item t="data" sd="1" x="122"/>
        <item t="data" sd="1" x="472"/>
        <item t="data" sd="1" x="675"/>
        <item t="data" sd="1" x="150"/>
        <item t="data" sd="1" x="167"/>
        <item t="data" sd="1" x="517"/>
        <item t="data" sd="1" x="182"/>
        <item t="data" sd="1" x="639"/>
        <item t="data" sd="1" x="536"/>
        <item t="data" sd="1" x="11"/>
        <item t="data" sd="1" x="177"/>
        <item t="data" sd="1" x="421"/>
        <item t="data" sd="1" x="670"/>
        <item t="data" sd="1" x="57"/>
        <item t="data" sd="1" x="435"/>
        <item t="data" sd="1" x="409"/>
        <item t="data" sd="1" x="664"/>
        <item t="data" sd="1" x="624"/>
        <item t="data" sd="1" x="222"/>
        <item t="data" sd="1" x="127"/>
        <item t="data" sd="1" x="483"/>
        <item t="data" sd="1" x="233"/>
        <item t="data" sd="1" x="480"/>
        <item t="data" sd="1" x="226"/>
        <item t="data" sd="1" x="686"/>
        <item t="data" sd="1" x="305"/>
        <item t="data" sd="1" x="407"/>
        <item t="data" sd="1" x="308"/>
        <item t="data" sd="1" x="504"/>
        <item t="data" sd="1" x="125"/>
        <item t="data" sd="1" x="245"/>
        <item t="data" sd="1" x="163"/>
        <item t="data" sd="1" x="5"/>
        <item t="data" sd="1" x="211"/>
        <item t="data" sd="1" x="666"/>
        <item t="data" sd="1" x="565"/>
        <item t="data" sd="1" x="311"/>
        <item t="data" sd="1" x="374"/>
        <item t="data" sd="1" x="652"/>
        <item t="data" sd="1" x="623"/>
        <item t="data" sd="1" x="595"/>
        <item t="data" sd="1" x="567"/>
        <item t="data" sd="1" x="531"/>
        <item t="data" sd="1" x="417"/>
        <item t="data" sd="1" x="366"/>
        <item t="data" sd="1" x="12"/>
        <item t="data" sd="1" x="152"/>
        <item t="data" sd="1" x="667"/>
        <item t="data" sd="1" x="410"/>
        <item t="data" sd="1" x="109"/>
        <item t="data" sd="1" x="235"/>
        <item t="data" sd="1" x="566"/>
        <item t="data" sd="1" x="99"/>
        <item t="data" sd="1" x="261"/>
        <item t="data" sd="1" x="349"/>
        <item t="data" sd="1" x="312"/>
        <item t="data" sd="1" x="293"/>
        <item t="data" sd="1" x="9"/>
        <item t="data" sd="1" x="615"/>
        <item t="data" sd="1" x="33"/>
        <item t="data" sd="1" x="92"/>
        <item t="data" sd="1" x="590"/>
        <item t="data" sd="1" x="523"/>
        <item t="data" sd="1" x="611"/>
        <item t="data" sd="1" x="272"/>
        <item t="data" sd="1" x="551"/>
        <item t="data" sd="1" x="119"/>
        <item t="data" sd="1" x="48"/>
        <item t="data" sd="1" x="601"/>
        <item t="data" sd="1" x="384"/>
        <item t="data" sd="1" x="654"/>
        <item t="data" sd="1" x="586"/>
        <item t="data" sd="1" x="23"/>
        <item t="data" sd="1" x="148"/>
        <item t="data" sd="1" x="218"/>
        <item t="data" sd="1" x="275"/>
        <item t="data" sd="1" x="681"/>
        <item t="data" sd="1" x="41"/>
        <item t="data" sd="1" x="42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ascending" defaultSubtotal="0">
      <items count="3">
        <item t="data" sd="1" x="1"/>
        <item t="data" sd="1" x="2"/>
        <item t="data" sd="1" x="0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numFmtId="166" outline="0" subtotalTop="1" dragToRow="1" dragToCol="1" dragToPage="1" dragToData="1" dragOff="1" showAll="0" topAutoShow="1" itemPageCount="10" sortType="manual" defaultSubtotal="0">
      <items count="4">
        <item t="data" sd="1" x="3"/>
        <item t="data" sd="1" x="1"/>
        <item t="data" sd="1" x="0"/>
        <item t="data" sd="1" x="2"/>
      </items>
    </pivotField>
    <pivotField showDropDowns="1" compact="0" numFmtId="167" outline="0" subtotalTop="1" dragToRow="1" dragToCol="1" dragToPage="1" dragToData="1" dragOff="1" showAll="0" topAutoShow="1" itemPageCount="10" sortType="manual" defaultSubtotal="0"/>
    <pivotField dataField="1" showDropDowns="1" compact="0" numFmtId="167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>
      <items count="4">
        <item t="data" sd="1" x="2"/>
        <item t="data" sd="1" x="1"/>
        <item t="data" sd="1" x="3"/>
        <item t="data" sd="1" x="0"/>
      </items>
    </pivotField>
    <pivotField showDropDowns="1" compact="0" outline="0" subtotalTop="1" dragToRow="1" dragToCol="1" dragToPage="1" dragToData="1" dragOff="1" showAll="0" topAutoShow="1" itemPageCount="10" sortType="manual" defaultSubtotal="0">
      <items count="3">
        <item t="data" sd="1" x="2"/>
        <item t="data" sd="1" x="1"/>
        <item t="data" sd="1" x="0"/>
      </items>
    </pivotField>
    <pivotField showDropDowns="1" compact="0" outline="0" subtotalTop="0" dragToRow="1" dragToCol="1" dragToPage="1" dragToData="1" dragOff="1" showAll="0" topAutoShow="1" itemPageCount="10" sortType="manual" defaultSubtotal="0">
      <items count="2">
        <item t="data" sd="1" x="1"/>
        <item t="data" sd="1" x="0"/>
      </items>
    </pivotField>
    <pivotField showDropDowns="1" compact="0" outline="0" subtotalTop="1" dragToRow="1" dragToCol="1" dragToPage="1" dragToData="1" dragOff="1" showAll="0" topAutoShow="1" itemPageCount="10" sortType="manual" defaultSubtotal="0">
      <items count="1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</items>
    </pivotField>
    <pivotField showDropDowns="1" compact="0" outline="0" subtotalTop="1" dragToRow="1" dragToCol="1" dragToPage="1" dragToData="1" dragOff="1" showAll="0" topAutoShow="1" itemPageCount="10" sortType="manual" defaultSubtotal="0">
      <items count="6">
        <item t="data" sd="1" x="0"/>
        <item t="data" sd="1" x="1"/>
        <item t="data" sd="1" x="2"/>
        <item t="data" sd="1" x="3"/>
        <item t="data" sd="1" x="4"/>
        <item t="data" sd="1" x="5"/>
      </items>
    </pivotField>
  </pivotFields>
  <rowFields count="1">
    <field x="7"/>
  </rowFields>
  <rowItems count="3">
    <i t="data" r="0" i="0">
      <x v="1"/>
    </i>
    <i t="data" r="0" i="0">
      <x v="0"/>
    </i>
    <i t="data" r="0" i="0">
      <x v="2"/>
    </i>
  </rowItems>
  <colItems count="1">
    <i t="data" r="0" i="0"/>
  </colItems>
  <dataFields count="1">
    <dataField name="Sum of Sales" fld="12" subtotal="sum" showDataAs="normal" baseField="7" baseItem="0" numFmtId="168"/>
  </dataFields>
  <chartFormats count="8">
    <chartFormat chart="5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5" format="1" series="0">
      <pivotArea type="data" dataOnly="1" outline="0" fieldPosition="0">
        <references count="2">
          <reference field="4294967294" selected="0">
            <x v="0"/>
          </reference>
          <reference field="7" selected="0">
            <x v="2"/>
          </reference>
        </references>
      </pivotArea>
    </chartFormat>
    <chartFormat chart="5" format="2" series="0">
      <pivotArea type="data" dataOnly="1" outline="0" fieldPosition="0">
        <references count="2">
          <reference field="4294967294" selected="0">
            <x v="0"/>
          </reference>
          <reference field="7" selected="0">
            <x v="0"/>
          </reference>
        </references>
      </pivotArea>
    </chartFormat>
    <chartFormat chart="5" format="3" series="0">
      <pivotArea type="data" dataOnly="1" outline="0" fieldPosition="0">
        <references count="2">
          <reference field="4294967294" selected="0">
            <x v="0"/>
          </reference>
          <reference field="7" selected="0">
            <x v="1"/>
          </reference>
        </references>
      </pivotArea>
    </chartFormat>
    <chartFormat chart="7" format="8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7" format="9" series="0">
      <pivotArea type="data" dataOnly="1" outline="0" fieldPosition="0">
        <references count="2">
          <reference field="4294967294" selected="0">
            <x v="0"/>
          </reference>
          <reference field="7" selected="0">
            <x v="1"/>
          </reference>
        </references>
      </pivotArea>
    </chartFormat>
    <chartFormat chart="7" format="10" series="0">
      <pivotArea type="data" dataOnly="1" outline="0" fieldPosition="0">
        <references count="2">
          <reference field="4294967294" selected="0">
            <x v="0"/>
          </reference>
          <reference field="7" selected="0">
            <x v="0"/>
          </reference>
        </references>
      </pivotArea>
    </chartFormat>
    <chartFormat chart="7" format="11" series="0">
      <pivotArea type="data" dataOnly="1" outline="0" fieldPosition="0">
        <references count="2">
          <reference field="4294967294" selected="0">
            <x v="0"/>
          </reference>
          <reference field="7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otalSales" cacheId="5" dataOnRows="0" dataCaption="Values" showError="0" showMissing="1" updatedVersion="8" minRefreshableVersion="5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0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9" fieldListSortAscending="0" mdxSubqueries="0" applyNumberFormats="0" applyBorderFormats="0" applyFontFormats="0" applyPatternFormats="0" applyAlignmentFormats="0" applyWidthHeightFormats="1" r:id="rId1">
  <location ref="A3:B8" firstHeaderRow="1" firstDataRow="1" firstDataCol="1"/>
  <pivotFields count="18">
    <pivotField showDropDowns="1" compact="0" outline="0" subtotalTop="1" dragToRow="1" dragToCol="1" dragToPage="1" dragToData="1" dragOff="1" showAll="0" topAutoShow="1" itemPageCount="10" sortType="manual" defaultSubtotal="0"/>
    <pivotField showDropDowns="1" compact="0" numFmtId="165" outline="0" subtotalTop="1" dragToRow="1" dragToCol="1" dragToPage="1" dragToData="1" dragOff="1" showAll="0" topAutoShow="1" itemPageCount="10" sortType="manual" defaultSubtotal="0">
      <items count="689">
        <item t="data" sd="1" x="6"/>
        <item t="data" sd="1" x="578"/>
        <item t="data" sd="1" x="463"/>
        <item t="data" sd="1" x="655"/>
        <item t="data" sd="1" x="420"/>
        <item t="data" sd="1" x="499"/>
        <item t="data" sd="1" x="161"/>
        <item t="data" sd="1" x="149"/>
        <item t="data" sd="1" x="535"/>
        <item t="data" sd="1" x="488"/>
        <item t="data" sd="1" x="673"/>
        <item t="data" sd="1" x="309"/>
        <item t="data" sd="1" x="310"/>
        <item t="data" sd="1" x="336"/>
        <item t="data" sd="1" x="53"/>
        <item t="data" sd="1" x="530"/>
        <item t="data" sd="1" x="496"/>
        <item t="data" sd="1" x="552"/>
        <item t="data" sd="1" x="124"/>
        <item t="data" sd="1" x="603"/>
        <item t="data" sd="1" x="460"/>
        <item t="data" sd="1" x="445"/>
        <item t="data" sd="1" x="21"/>
        <item t="data" sd="1" x="418"/>
        <item t="data" sd="1" x="368"/>
        <item t="data" sd="1" x="240"/>
        <item t="data" sd="1" x="52"/>
        <item t="data" sd="1" x="665"/>
        <item t="data" sd="1" x="267"/>
        <item t="data" sd="1" x="482"/>
        <item t="data" sd="1" x="286"/>
        <item t="data" sd="1" x="315"/>
        <item t="data" sd="1" x="599"/>
        <item t="data" sd="1" x="406"/>
        <item t="data" sd="1" x="325"/>
        <item t="data" sd="1" x="83"/>
        <item t="data" sd="1" x="333"/>
        <item t="data" sd="1" x="533"/>
        <item t="data" sd="1" x="581"/>
        <item t="data" sd="1" x="13"/>
        <item t="data" sd="1" x="588"/>
        <item t="data" sd="1" x="657"/>
        <item t="data" sd="1" x="505"/>
        <item t="data" sd="1" x="102"/>
        <item t="data" sd="1" x="647"/>
        <item t="data" sd="1" x="129"/>
        <item t="data" sd="1" x="303"/>
        <item t="data" sd="1" x="556"/>
        <item t="data" sd="1" x="165"/>
        <item t="data" sd="1" x="96"/>
        <item t="data" sd="1" x="202"/>
        <item t="data" sd="1" x="71"/>
        <item t="data" sd="1" x="360"/>
        <item t="data" sd="1" x="225"/>
        <item t="data" sd="1" x="273"/>
        <item t="data" sd="1" x="29"/>
        <item t="data" sd="1" x="110"/>
        <item t="data" sd="1" x="425"/>
        <item t="data" sd="1" x="605"/>
        <item t="data" sd="1" x="320"/>
        <item t="data" sd="1" x="458"/>
        <item t="data" sd="1" x="335"/>
        <item t="data" sd="1" x="294"/>
        <item t="data" sd="1" x="68"/>
        <item t="data" sd="1" x="253"/>
        <item t="data" sd="1" x="302"/>
        <item t="data" sd="1" x="43"/>
        <item t="data" sd="1" x="375"/>
        <item t="data" sd="1" x="467"/>
        <item t="data" sd="1" x="510"/>
        <item t="data" sd="1" x="34"/>
        <item t="data" sd="1" x="111"/>
        <item t="data" sd="1" x="144"/>
        <item t="data" sd="1" x="274"/>
        <item t="data" sd="1" x="387"/>
        <item t="data" sd="1" x="413"/>
        <item t="data" sd="1" x="198"/>
        <item t="data" sd="1" x="15"/>
        <item t="data" sd="1" x="631"/>
        <item t="data" sd="1" x="619"/>
        <item t="data" sd="1" x="637"/>
        <item t="data" sd="1" x="638"/>
        <item t="data" sd="1" x="620"/>
        <item t="data" sd="1" x="241"/>
        <item t="data" sd="1" x="136"/>
        <item t="data" sd="1" x="266"/>
        <item t="data" sd="1" x="100"/>
        <item t="data" sd="1" x="679"/>
        <item t="data" sd="1" x="39"/>
        <item t="data" sd="1" x="61"/>
        <item t="data" sd="1" x="633"/>
        <item t="data" sd="1" x="564"/>
        <item t="data" sd="1" x="539"/>
        <item t="data" sd="1" x="115"/>
        <item t="data" sd="1" x="394"/>
        <item t="data" sd="1" x="231"/>
        <item t="data" sd="1" x="468"/>
        <item t="data" sd="1" x="529"/>
        <item t="data" sd="1" x="76"/>
        <item t="data" sd="1" x="271"/>
        <item t="data" sd="1" x="574"/>
        <item t="data" sd="1" x="438"/>
        <item t="data" sd="1" x="373"/>
        <item t="data" sd="1" x="569"/>
        <item t="data" sd="1" x="268"/>
        <item t="data" sd="1" x="332"/>
        <item t="data" sd="1" x="627"/>
        <item t="data" sd="1" x="169"/>
        <item t="data" sd="1" x="162"/>
        <item t="data" sd="1" x="437"/>
        <item t="data" sd="1" x="278"/>
        <item t="data" sd="1" x="317"/>
        <item t="data" sd="1" x="288"/>
        <item t="data" sd="1" x="104"/>
        <item t="data" sd="1" x="93"/>
        <item t="data" sd="1" x="550"/>
        <item t="data" sd="1" x="677"/>
        <item t="data" sd="1" x="626"/>
        <item t="data" sd="1" x="238"/>
        <item t="data" sd="1" x="397"/>
        <item t="data" sd="1" x="279"/>
        <item t="data" sd="1" x="0"/>
        <item t="data" sd="1" x="139"/>
        <item t="data" sd="1" x="610"/>
        <item t="data" sd="1" x="621"/>
        <item t="data" sd="1" x="44"/>
        <item t="data" sd="1" x="331"/>
        <item t="data" sd="1" x="73"/>
        <item t="data" sd="1" x="672"/>
        <item t="data" sd="1" x="622"/>
        <item t="data" sd="1" x="650"/>
        <item t="data" sd="1" x="500"/>
        <item t="data" sd="1" x="676"/>
        <item t="data" sd="1" x="378"/>
        <item t="data" sd="1" x="528"/>
        <item t="data" sd="1" x="432"/>
        <item t="data" sd="1" x="475"/>
        <item t="data" sd="1" x="559"/>
        <item t="data" sd="1" x="280"/>
        <item t="data" sd="1" x="474"/>
        <item t="data" sd="1" x="22"/>
        <item t="data" sd="1" x="388"/>
        <item t="data" sd="1" x="687"/>
        <item t="data" sd="1" x="426"/>
        <item t="data" sd="1" x="287"/>
        <item t="data" sd="1" x="59"/>
        <item t="data" sd="1" x="244"/>
        <item t="data" sd="1" x="14"/>
        <item t="data" sd="1" x="354"/>
        <item t="data" sd="1" x="106"/>
        <item t="data" sd="1" x="431"/>
        <item t="data" sd="1" x="256"/>
        <item t="data" sd="1" x="72"/>
        <item t="data" sd="1" x="137"/>
        <item t="data" sd="1" x="179"/>
        <item t="data" sd="1" x="247"/>
        <item t="data" sd="1" x="183"/>
        <item t="data" sd="1" x="38"/>
        <item t="data" sd="1" x="582"/>
        <item t="data" sd="1" x="446"/>
        <item t="data" sd="1" x="276"/>
        <item t="data" sd="1" x="75"/>
        <item t="data" sd="1" x="364"/>
        <item t="data" sd="1" x="405"/>
        <item t="data" sd="1" x="229"/>
        <item t="data" sd="1" x="60"/>
        <item t="data" sd="1" x="258"/>
        <item t="data" sd="1" x="573"/>
        <item t="data" sd="1" x="600"/>
        <item t="data" sd="1" x="345"/>
        <item t="data" sd="1" x="292"/>
        <item t="data" sd="1" x="534"/>
        <item t="data" sd="1" x="356"/>
        <item t="data" sd="1" x="355"/>
        <item t="data" sd="1" x="98"/>
        <item t="data" sd="1" x="554"/>
        <item t="data" sd="1" x="153"/>
        <item t="data" sd="1" x="379"/>
        <item t="data" sd="1" x="466"/>
        <item t="data" sd="1" x="85"/>
        <item t="data" sd="1" x="485"/>
        <item t="data" sd="1" x="265"/>
        <item t="data" sd="1" x="520"/>
        <item t="data" sd="1" x="257"/>
        <item t="data" sd="1" x="184"/>
        <item t="data" sd="1" x="157"/>
        <item t="data" sd="1" x="502"/>
        <item t="data" sd="1" x="191"/>
        <item t="data" sd="1" x="141"/>
        <item t="data" sd="1" x="319"/>
        <item t="data" sd="1" x="371"/>
        <item t="data" sd="1" x="164"/>
        <item t="data" sd="1" x="221"/>
        <item t="data" sd="1" x="563"/>
        <item t="data" sd="1" x="289"/>
        <item t="data" sd="1" x="625"/>
        <item t="data" sd="1" x="67"/>
        <item t="data" sd="1" x="680"/>
        <item t="data" sd="1" x="47"/>
        <item t="data" sd="1" x="297"/>
        <item t="data" sd="1" x="215"/>
        <item t="data" sd="1" x="262"/>
        <item t="data" sd="1" x="671"/>
        <item t="data" sd="1" x="350"/>
        <item t="data" sd="1" x="454"/>
        <item t="data" sd="1" x="54"/>
        <item t="data" sd="1" x="383"/>
        <item t="data" sd="1" x="321"/>
        <item t="data" sd="1" x="227"/>
        <item t="data" sd="1" x="203"/>
        <item t="data" sd="1" x="306"/>
        <item t="data" sd="1" x="298"/>
        <item t="data" sd="1" x="216"/>
        <item t="data" sd="1" x="194"/>
        <item t="data" sd="1" x="206"/>
        <item t="data" sd="1" x="175"/>
        <item t="data" sd="1" x="494"/>
        <item t="data" sd="1" x="281"/>
        <item t="data" sd="1" x="193"/>
        <item t="data" sd="1" x="585"/>
        <item t="data" sd="1" x="489"/>
        <item t="data" sd="1" x="259"/>
        <item t="data" sd="1" x="90"/>
        <item t="data" sd="1" x="498"/>
        <item t="data" sd="1" x="476"/>
        <item t="data" sd="1" x="583"/>
        <item t="data" sd="1" x="155"/>
        <item t="data" sd="1" x="346"/>
        <item t="data" sd="1" x="593"/>
        <item t="data" sd="1" x="459"/>
        <item t="data" sd="1" x="645"/>
        <item t="data" sd="1" x="365"/>
        <item t="data" sd="1" x="158"/>
        <item t="data" sd="1" x="576"/>
        <item t="data" sd="1" x="55"/>
        <item t="data" sd="1" x="525"/>
        <item t="data" sd="1" x="512"/>
        <item t="data" sd="1" x="209"/>
        <item t="data" sd="1" x="166"/>
        <item t="data" sd="1" x="69"/>
        <item t="data" sd="1" x="181"/>
        <item t="data" sd="1" x="419"/>
        <item t="data" sd="1" x="444"/>
        <item t="data" sd="1" x="36"/>
        <item t="data" sd="1" x="74"/>
        <item t="data" sd="1" x="486"/>
        <item t="data" sd="1" x="521"/>
        <item t="data" sd="1" x="477"/>
        <item t="data" sd="1" x="30"/>
        <item t="data" sd="1" x="457"/>
        <item t="data" sd="1" x="212"/>
        <item t="data" sd="1" x="393"/>
        <item t="data" sd="1" x="594"/>
        <item t="data" sd="1" x="95"/>
        <item t="data" sd="1" x="242"/>
        <item t="data" sd="1" x="386"/>
        <item t="data" sd="1" x="449"/>
        <item t="data" sd="1" x="126"/>
        <item t="data" sd="1" x="80"/>
        <item t="data" sd="1" x="10"/>
        <item t="data" sd="1" x="568"/>
        <item t="data" sd="1" x="94"/>
        <item t="data" sd="1" x="296"/>
        <item t="data" sd="1" x="234"/>
        <item t="data" sd="1" x="507"/>
        <item t="data" sd="1" x="277"/>
        <item t="data" sd="1" x="439"/>
        <item t="data" sd="1" x="236"/>
        <item t="data" sd="1" x="207"/>
        <item t="data" sd="1" x="284"/>
        <item t="data" sd="1" x="635"/>
        <item t="data" sd="1" x="401"/>
        <item t="data" sd="1" x="478"/>
        <item t="data" sd="1" x="602"/>
        <item t="data" sd="1" x="199"/>
        <item t="data" sd="1" x="26"/>
        <item t="data" sd="1" x="524"/>
        <item t="data" sd="1" x="84"/>
        <item t="data" sd="1" x="495"/>
        <item t="data" sd="1" x="640"/>
        <item t="data" sd="1" x="372"/>
        <item t="data" sd="1" x="214"/>
        <item t="data" sd="1" x="381"/>
        <item t="data" sd="1" x="130"/>
        <item t="data" sd="1" x="402"/>
        <item t="data" sd="1" x="112"/>
        <item t="data" sd="1" x="174"/>
        <item t="data" sd="1" x="470"/>
        <item t="data" sd="1" x="243"/>
        <item t="data" sd="1" x="440"/>
        <item t="data" sd="1" x="376"/>
        <item t="data" sd="1" x="82"/>
        <item t="data" sd="1" x="416"/>
        <item t="data" sd="1" x="97"/>
        <item t="data" sd="1" x="557"/>
        <item t="data" sd="1" x="117"/>
        <item t="data" sd="1" x="456"/>
        <item t="data" sd="1" x="484"/>
        <item t="data" sd="1" x="133"/>
        <item t="data" sd="1" x="105"/>
        <item t="data" sd="1" x="252"/>
        <item t="data" sd="1" x="304"/>
        <item t="data" sd="1" x="295"/>
        <item t="data" sd="1" x="560"/>
        <item t="data" sd="1" x="542"/>
        <item t="data" sd="1" x="519"/>
        <item t="data" sd="1" x="208"/>
        <item t="data" sd="1" x="128"/>
        <item t="data" sd="1" x="497"/>
        <item t="data" sd="1" x="40"/>
        <item t="data" sd="1" x="642"/>
        <item t="data" sd="1" x="189"/>
        <item t="data" sd="1" x="577"/>
        <item t="data" sd="1" x="392"/>
        <item t="data" sd="1" x="314"/>
        <item t="data" sd="1" x="395"/>
        <item t="data" sd="1" x="255"/>
        <item t="data" sd="1" x="178"/>
        <item t="data" sd="1" x="492"/>
        <item t="data" sd="1" x="132"/>
        <item t="data" sd="1" x="190"/>
        <item t="data" sd="1" x="210"/>
        <item t="data" sd="1" x="134"/>
        <item t="data" sd="1" x="659"/>
        <item t="data" sd="1" x="513"/>
        <item t="data" sd="1" x="688"/>
        <item t="data" sd="1" x="156"/>
        <item t="data" sd="1" x="377"/>
        <item t="data" sd="1" x="313"/>
        <item t="data" sd="1" x="570"/>
        <item t="data" sd="1" x="429"/>
        <item t="data" sd="1" x="20"/>
        <item t="data" sd="1" x="414"/>
        <item t="data" sd="1" x="324"/>
        <item t="data" sd="1" x="63"/>
        <item t="data" sd="1" x="8"/>
        <item t="data" sd="1" x="327"/>
        <item t="data" sd="1" x="606"/>
        <item t="data" sd="1" x="81"/>
        <item t="data" sd="1" x="471"/>
        <item t="data" sd="1" x="88"/>
        <item t="data" sd="1" x="330"/>
        <item t="data" sd="1" x="609"/>
        <item t="data" sd="1" x="348"/>
        <item t="data" sd="1" x="604"/>
        <item t="data" sd="1" x="473"/>
        <item t="data" sd="1" x="469"/>
        <item t="data" sd="1" x="540"/>
        <item t="data" sd="1" x="661"/>
        <item t="data" sd="1" x="545"/>
        <item t="data" sd="1" x="224"/>
        <item t="data" sd="1" x="669"/>
        <item t="data" sd="1" x="400"/>
        <item t="data" sd="1" x="656"/>
        <item t="data" sd="1" x="338"/>
        <item t="data" sd="1" x="46"/>
        <item t="data" sd="1" x="16"/>
        <item t="data" sd="1" x="269"/>
        <item t="data" sd="1" x="86"/>
        <item t="data" sd="1" x="205"/>
        <item t="data" sd="1" x="598"/>
        <item t="data" sd="1" x="186"/>
        <item t="data" sd="1" x="430"/>
        <item t="data" sd="1" x="249"/>
        <item t="data" sd="1" x="145"/>
        <item t="data" sd="1" x="237"/>
        <item t="data" sd="1" x="404"/>
        <item t="data" sd="1" x="571"/>
        <item t="data" sd="1" x="450"/>
        <item t="data" sd="1" x="411"/>
        <item t="data" sd="1" x="116"/>
        <item t="data" sd="1" x="62"/>
        <item t="data" sd="1" x="341"/>
        <item t="data" sd="1" x="515"/>
        <item t="data" sd="1" x="142"/>
        <item t="data" sd="1" x="561"/>
        <item t="data" sd="1" x="239"/>
        <item t="data" sd="1" x="176"/>
        <item t="data" sd="1" x="358"/>
        <item t="data" sd="1" x="682"/>
        <item t="data" sd="1" x="541"/>
        <item t="data" sd="1" x="481"/>
        <item t="data" sd="1" x="17"/>
        <item t="data" sd="1" x="547"/>
        <item t="data" sd="1" x="644"/>
        <item t="data" sd="1" x="353"/>
        <item t="data" sd="1" x="434"/>
        <item t="data" sd="1" x="260"/>
        <item t="data" sd="1" x="663"/>
        <item t="data" sd="1" x="359"/>
        <item t="data" sd="1" x="120"/>
        <item t="data" sd="1" x="28"/>
        <item t="data" sd="1" x="146"/>
        <item t="data" sd="1" x="597"/>
        <item t="data" sd="1" x="123"/>
        <item t="data" sd="1" x="447"/>
        <item t="data" sd="1" x="592"/>
        <item t="data" sd="1" x="596"/>
        <item t="data" sd="1" x="685"/>
        <item t="data" sd="1" x="326"/>
        <item t="data" sd="1" x="674"/>
        <item t="data" sd="1" x="389"/>
        <item t="data" sd="1" x="318"/>
        <item t="data" sd="1" x="362"/>
        <item t="data" sd="1" x="51"/>
        <item t="data" sd="1" x="628"/>
        <item t="data" sd="1" x="415"/>
        <item t="data" sd="1" x="285"/>
        <item t="data" sd="1" x="254"/>
        <item t="data" sd="1" x="87"/>
        <item t="data" sd="1" x="452"/>
        <item t="data" sd="1" x="7"/>
        <item t="data" sd="1" x="544"/>
        <item t="data" sd="1" x="103"/>
        <item t="data" sd="1" x="455"/>
        <item t="data" sd="1" x="108"/>
        <item t="data" sd="1" x="147"/>
        <item t="data" sd="1" x="45"/>
        <item t="data" sd="1" x="385"/>
        <item t="data" sd="1" x="251"/>
        <item t="data" sd="1" x="684"/>
        <item t="data" sd="1" x="562"/>
        <item t="data" sd="1" x="200"/>
        <item t="data" sd="1" x="246"/>
        <item t="data" sd="1" x="516"/>
        <item t="data" sd="1" x="196"/>
        <item t="data" sd="1" x="180"/>
        <item t="data" sd="1" x="78"/>
        <item t="data" sd="1" x="632"/>
        <item t="data" sd="1" x="77"/>
        <item t="data" sd="1" x="448"/>
        <item t="data" sd="1" x="89"/>
        <item t="data" sd="1" x="636"/>
        <item t="data" sd="1" x="171"/>
        <item t="data" sd="1" x="337"/>
        <item t="data" sd="1" x="154"/>
        <item t="data" sd="1" x="527"/>
        <item t="data" sd="1" x="526"/>
        <item t="data" sd="1" x="608"/>
        <item t="data" sd="1" x="32"/>
        <item t="data" sd="1" x="548"/>
        <item t="data" sd="1" x="140"/>
        <item t="data" sd="1" x="187"/>
        <item t="data" sd="1" x="442"/>
        <item t="data" sd="1" x="464"/>
        <item t="data" sd="1" x="630"/>
        <item t="data" sd="1" x="228"/>
        <item t="data" sd="1" x="423"/>
        <item t="data" sd="1" x="490"/>
        <item t="data" sd="1" x="334"/>
        <item t="data" sd="1" x="230"/>
        <item t="data" sd="1" x="427"/>
        <item t="data" sd="1" x="367"/>
        <item t="data" sd="1" x="192"/>
        <item t="data" sd="1" x="170"/>
        <item t="data" sd="1" x="118"/>
        <item t="data" sd="1" x="290"/>
        <item t="data" sd="1" x="522"/>
        <item t="data" sd="1" x="641"/>
        <item t="data" sd="1" x="27"/>
        <item t="data" sd="1" x="399"/>
        <item t="data" sd="1" x="532"/>
        <item t="data" sd="1" x="223"/>
        <item t="data" sd="1" x="299"/>
        <item t="data" sd="1" x="217"/>
        <item t="data" sd="1" x="64"/>
        <item t="data" sd="1" x="1"/>
        <item t="data" sd="1" x="135"/>
        <item t="data" sd="1" x="270"/>
        <item t="data" sd="1" x="138"/>
        <item t="data" sd="1" x="382"/>
        <item t="data" sd="1" x="195"/>
        <item t="data" sd="1" x="316"/>
        <item t="data" sd="1" x="428"/>
        <item t="data" sd="1" x="451"/>
        <item t="data" sd="1" x="361"/>
        <item t="data" sd="1" x="614"/>
        <item t="data" sd="1" x="2"/>
        <item t="data" sd="1" x="307"/>
        <item t="data" sd="1" x="25"/>
        <item t="data" sd="1" x="65"/>
        <item t="data" sd="1" x="160"/>
        <item t="data" sd="1" x="168"/>
        <item t="data" sd="1" x="518"/>
        <item t="data" sd="1" x="66"/>
        <item t="data" sd="1" x="436"/>
        <item t="data" sd="1" x="121"/>
        <item t="data" sd="1" x="660"/>
        <item t="data" sd="1" x="344"/>
        <item t="data" sd="1" x="629"/>
        <item t="data" sd="1" x="3"/>
        <item t="data" sd="1" x="391"/>
        <item t="data" sd="1" x="607"/>
        <item t="data" sd="1" x="339"/>
        <item t="data" sd="1" x="363"/>
        <item t="data" sd="1" x="370"/>
        <item t="data" sd="1" x="352"/>
        <item t="data" sd="1" x="351"/>
        <item t="data" sd="1" x="555"/>
        <item t="data" sd="1" x="282"/>
        <item t="data" sd="1" x="232"/>
        <item t="data" sd="1" x="264"/>
        <item t="data" sd="1" x="398"/>
        <item t="data" sd="1" x="114"/>
        <item t="data" sd="1" x="342"/>
        <item t="data" sd="1" x="328"/>
        <item t="data" sd="1" x="412"/>
        <item t="data" sd="1" x="553"/>
        <item t="data" sd="1" x="301"/>
        <item t="data" sd="1" x="648"/>
        <item t="data" sd="1" x="508"/>
        <item t="data" sd="1" x="19"/>
        <item t="data" sd="1" x="323"/>
        <item t="data" sd="1" x="347"/>
        <item t="data" sd="1" x="441"/>
        <item t="data" sd="1" x="616"/>
        <item t="data" sd="1" x="646"/>
        <item t="data" sd="1" x="24"/>
        <item t="data" sd="1" x="329"/>
        <item t="data" sd="1" x="579"/>
        <item t="data" sd="1" x="479"/>
        <item t="data" sd="1" x="185"/>
        <item t="data" sd="1" x="107"/>
        <item t="data" sd="1" x="283"/>
        <item t="data" sd="1" x="35"/>
        <item t="data" sd="1" x="151"/>
        <item t="data" sd="1" x="390"/>
        <item t="data" sd="1" x="101"/>
        <item t="data" sd="1" x="220"/>
        <item t="data" sd="1" x="501"/>
        <item t="data" sd="1" x="172"/>
        <item t="data" sd="1" x="91"/>
        <item t="data" sd="1" x="465"/>
        <item t="data" sd="1" x="662"/>
        <item t="data" sd="1" x="511"/>
        <item t="data" sd="1" x="197"/>
        <item t="data" sd="1" x="248"/>
        <item t="data" sd="1" x="493"/>
        <item t="data" sd="1" x="343"/>
        <item t="data" sd="1" x="453"/>
        <item t="data" sd="1" x="433"/>
        <item t="data" sd="1" x="653"/>
        <item t="data" sd="1" x="113"/>
        <item t="data" sd="1" x="584"/>
        <item t="data" sd="1" x="159"/>
        <item t="data" sd="1" x="188"/>
        <item t="data" sd="1" x="143"/>
        <item t="data" sd="1" x="618"/>
        <item t="data" sd="1" x="634"/>
        <item t="data" sd="1" x="58"/>
        <item t="data" sd="1" x="612"/>
        <item t="data" sd="1" x="219"/>
        <item t="data" sd="1" x="31"/>
        <item t="data" sd="1" x="443"/>
        <item t="data" sd="1" x="461"/>
        <item t="data" sd="1" x="357"/>
        <item t="data" sd="1" x="250"/>
        <item t="data" sd="1" x="462"/>
        <item t="data" sd="1" x="589"/>
        <item t="data" sd="1" x="380"/>
        <item t="data" sd="1" x="50"/>
        <item t="data" sd="1" x="678"/>
        <item t="data" sd="1" x="580"/>
        <item t="data" sd="1" x="213"/>
        <item t="data" sd="1" x="514"/>
        <item t="data" sd="1" x="79"/>
        <item t="data" sd="1" x="491"/>
        <item t="data" sd="1" x="506"/>
        <item t="data" sd="1" x="131"/>
        <item t="data" sd="1" x="408"/>
        <item t="data" sd="1" x="558"/>
        <item t="data" sd="1" x="322"/>
        <item t="data" sd="1" x="683"/>
        <item t="data" sd="1" x="575"/>
        <item t="data" sd="1" x="204"/>
        <item t="data" sd="1" x="549"/>
        <item t="data" sd="1" x="543"/>
        <item t="data" sd="1" x="651"/>
        <item t="data" sd="1" x="613"/>
        <item t="data" sd="1" x="291"/>
        <item t="data" sd="1" x="487"/>
        <item t="data" sd="1" x="369"/>
        <item t="data" sd="1" x="4"/>
        <item t="data" sd="1" x="643"/>
        <item t="data" sd="1" x="424"/>
        <item t="data" sd="1" x="263"/>
        <item t="data" sd="1" x="572"/>
        <item t="data" sd="1" x="591"/>
        <item t="data" sd="1" x="422"/>
        <item t="data" sd="1" x="37"/>
        <item t="data" sd="1" x="340"/>
        <item t="data" sd="1" x="668"/>
        <item t="data" sd="1" x="537"/>
        <item t="data" sd="1" x="201"/>
        <item t="data" sd="1" x="18"/>
        <item t="data" sd="1" x="658"/>
        <item t="data" sd="1" x="173"/>
        <item t="data" sd="1" x="403"/>
        <item t="data" sd="1" x="538"/>
        <item t="data" sd="1" x="587"/>
        <item t="data" sd="1" x="396"/>
        <item t="data" sd="1" x="49"/>
        <item t="data" sd="1" x="56"/>
        <item t="data" sd="1" x="617"/>
        <item t="data" sd="1" x="503"/>
        <item t="data" sd="1" x="300"/>
        <item t="data" sd="1" x="70"/>
        <item t="data" sd="1" x="546"/>
        <item t="data" sd="1" x="649"/>
        <item t="data" sd="1" x="509"/>
        <item t="data" sd="1" x="122"/>
        <item t="data" sd="1" x="472"/>
        <item t="data" sd="1" x="675"/>
        <item t="data" sd="1" x="150"/>
        <item t="data" sd="1" x="167"/>
        <item t="data" sd="1" x="517"/>
        <item t="data" sd="1" x="182"/>
        <item t="data" sd="1" x="639"/>
        <item t="data" sd="1" x="536"/>
        <item t="data" sd="1" x="11"/>
        <item t="data" sd="1" x="177"/>
        <item t="data" sd="1" x="421"/>
        <item t="data" sd="1" x="670"/>
        <item t="data" sd="1" x="57"/>
        <item t="data" sd="1" x="435"/>
        <item t="data" sd="1" x="409"/>
        <item t="data" sd="1" x="664"/>
        <item t="data" sd="1" x="624"/>
        <item t="data" sd="1" x="222"/>
        <item t="data" sd="1" x="127"/>
        <item t="data" sd="1" x="483"/>
        <item t="data" sd="1" x="233"/>
        <item t="data" sd="1" x="480"/>
        <item t="data" sd="1" x="226"/>
        <item t="data" sd="1" x="686"/>
        <item t="data" sd="1" x="305"/>
        <item t="data" sd="1" x="407"/>
        <item t="data" sd="1" x="308"/>
        <item t="data" sd="1" x="504"/>
        <item t="data" sd="1" x="125"/>
        <item t="data" sd="1" x="245"/>
        <item t="data" sd="1" x="163"/>
        <item t="data" sd="1" x="5"/>
        <item t="data" sd="1" x="211"/>
        <item t="data" sd="1" x="666"/>
        <item t="data" sd="1" x="565"/>
        <item t="data" sd="1" x="311"/>
        <item t="data" sd="1" x="374"/>
        <item t="data" sd="1" x="652"/>
        <item t="data" sd="1" x="623"/>
        <item t="data" sd="1" x="595"/>
        <item t="data" sd="1" x="567"/>
        <item t="data" sd="1" x="531"/>
        <item t="data" sd="1" x="417"/>
        <item t="data" sd="1" x="366"/>
        <item t="data" sd="1" x="12"/>
        <item t="data" sd="1" x="152"/>
        <item t="data" sd="1" x="667"/>
        <item t="data" sd="1" x="410"/>
        <item t="data" sd="1" x="109"/>
        <item t="data" sd="1" x="235"/>
        <item t="data" sd="1" x="566"/>
        <item t="data" sd="1" x="99"/>
        <item t="data" sd="1" x="261"/>
        <item t="data" sd="1" x="349"/>
        <item t="data" sd="1" x="312"/>
        <item t="data" sd="1" x="293"/>
        <item t="data" sd="1" x="9"/>
        <item t="data" sd="1" x="615"/>
        <item t="data" sd="1" x="33"/>
        <item t="data" sd="1" x="92"/>
        <item t="data" sd="1" x="590"/>
        <item t="data" sd="1" x="523"/>
        <item t="data" sd="1" x="611"/>
        <item t="data" sd="1" x="272"/>
        <item t="data" sd="1" x="551"/>
        <item t="data" sd="1" x="119"/>
        <item t="data" sd="1" x="48"/>
        <item t="data" sd="1" x="601"/>
        <item t="data" sd="1" x="384"/>
        <item t="data" sd="1" x="654"/>
        <item t="data" sd="1" x="586"/>
        <item t="data" sd="1" x="23"/>
        <item t="data" sd="1" x="148"/>
        <item t="data" sd="1" x="218"/>
        <item t="data" sd="1" x="275"/>
        <item t="data" sd="1" x="681"/>
        <item t="data" sd="1" x="41"/>
        <item t="data" sd="1" x="42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measureFilter="1" itemPageCount="10" sortType="ascending" defaultSubtotal="0">
      <items count="913">
        <item t="data" sd="1" x="344"/>
        <item t="data" sd="1" x="521"/>
        <item t="data" sd="1" x="37"/>
        <item t="data" sd="1" x="129"/>
        <item t="data" sd="1" x="170"/>
        <item t="data" sd="1" x="904"/>
        <item t="data" sd="1" x="776"/>
        <item t="data" sd="1" x="394"/>
        <item t="data" sd="1" x="84"/>
        <item t="data" sd="1" x="432"/>
        <item t="data" sd="1" x="763"/>
        <item t="data" sd="1" x="720"/>
        <item t="data" sd="1" x="27"/>
        <item t="data" sd="1" x="186"/>
        <item t="data" sd="1" x="624"/>
        <item t="data" sd="1" x="425"/>
        <item t="data" sd="1" x="294"/>
        <item t="data" sd="1" x="438"/>
        <item t="data" sd="1" x="747"/>
        <item t="data" sd="1" x="439"/>
        <item t="data" sd="1" x="149"/>
        <item t="data" sd="1" x="799"/>
        <item t="data" sd="1" x="466"/>
        <item t="data" sd="1" x="201"/>
        <item t="data" sd="1" x="677"/>
        <item t="data" sd="1" x="67"/>
        <item t="data" sd="1" x="552"/>
        <item t="data" sd="1" x="180"/>
        <item t="data" sd="1" x="745"/>
        <item t="data" sd="1" x="600"/>
        <item t="data" sd="1" x="0"/>
        <item t="data" sd="1" x="658"/>
        <item t="data" sd="1" x="396"/>
        <item t="data" sd="1" x="711"/>
        <item t="data" sd="1" x="428"/>
        <item t="data" sd="1" x="637"/>
        <item t="data" sd="1" x="322"/>
        <item t="data" sd="1" x="74"/>
        <item t="data" sd="1" x="497"/>
        <item t="data" sd="1" x="265"/>
        <item t="data" sd="1" x="210"/>
        <item t="data" sd="1" x="561"/>
        <item t="data" sd="1" x="673"/>
        <item t="data" sd="1" x="363"/>
        <item t="data" sd="1" x="562"/>
        <item t="data" sd="1" x="59"/>
        <item t="data" sd="1" x="174"/>
        <item t="data" sd="1" x="625"/>
        <item t="data" sd="1" x="19"/>
        <item t="data" sd="1" x="392"/>
        <item t="data" sd="1" x="57"/>
        <item t="data" sd="1" x="433"/>
        <item t="data" sd="1" x="608"/>
        <item t="data" sd="1" x="171"/>
        <item t="data" sd="1" x="195"/>
        <item t="data" sd="1" x="366"/>
        <item t="data" sd="1" x="419"/>
        <item t="data" sd="1" x="840"/>
        <item t="data" sd="1" x="247"/>
        <item t="data" sd="1" x="429"/>
        <item t="data" sd="1" x="48"/>
        <item t="data" sd="1" x="42"/>
        <item t="data" sd="1" x="595"/>
        <item t="data" sd="1" x="282"/>
        <item t="data" sd="1" x="701"/>
        <item t="data" sd="1" x="417"/>
        <item t="data" sd="1" x="354"/>
        <item t="data" sd="1" x="177"/>
        <item t="data" sd="1" x="92"/>
        <item t="data" sd="1" x="523"/>
        <item t="data" sd="1" x="379"/>
        <item t="data" sd="1" x="866"/>
        <item t="data" sd="1" x="17"/>
        <item t="data" sd="1" x="554"/>
        <item t="data" sd="1" x="66"/>
        <item t="data" sd="1" x="18"/>
        <item t="data" sd="1" x="678"/>
        <item t="data" sd="1" x="541"/>
        <item t="data" sd="1" x="856"/>
        <item t="data" sd="1" x="252"/>
        <item t="data" sd="1" x="644"/>
        <item t="data" sd="1" x="650"/>
        <item t="data" sd="1" x="162"/>
        <item t="data" sd="1" x="307"/>
        <item t="data" sd="1" x="823"/>
        <item t="data" sd="1" x="753"/>
        <item t="data" sd="1" x="783"/>
        <item t="data" sd="1" x="883"/>
        <item t="data" sd="1" x="629"/>
        <item t="data" sd="1" x="454"/>
        <item t="data" sd="1" x="797"/>
        <item t="data" sd="1" x="80"/>
        <item t="data" sd="1" x="212"/>
        <item t="data" sd="1" x="60"/>
        <item t="data" sd="1" x="376"/>
        <item t="data" sd="1" x="585"/>
        <item t="data" sd="1" x="287"/>
        <item t="data" sd="1" x="829"/>
        <item t="data" sd="1" x="573"/>
        <item t="data" sd="1" x="483"/>
        <item t="data" sd="1" x="724"/>
        <item t="data" sd="1" x="3"/>
        <item t="data" sd="1" x="217"/>
        <item t="data" sd="1" x="507"/>
        <item t="data" sd="1" x="564"/>
        <item t="data" sd="1" x="142"/>
        <item t="data" sd="1" x="104"/>
        <item t="data" sd="1" x="121"/>
        <item t="data" sd="1" x="560"/>
        <item t="data" sd="1" x="498"/>
        <item t="data" sd="1" x="816"/>
        <item t="data" sd="1" x="126"/>
        <item t="data" sd="1" x="550"/>
        <item t="data" sd="1" x="456"/>
        <item t="data" sd="1" x="809"/>
        <item t="data" sd="1" x="207"/>
        <item t="data" sd="1" x="835"/>
        <item t="data" sd="1" x="705"/>
        <item t="data" sd="1" x="122"/>
        <item t="data" sd="1" x="431"/>
        <item t="data" sd="1" x="738"/>
        <item t="data" sd="1" x="132"/>
        <item t="data" sd="1" x="96"/>
        <item t="data" sd="1" x="694"/>
        <item t="data" sd="1" x="519"/>
        <item t="data" sd="1" x="857"/>
        <item t="data" sd="1" x="748"/>
        <item t="data" sd="1" x="807"/>
        <item t="data" sd="1" x="391"/>
        <item t="data" sd="1" x="110"/>
        <item t="data" sd="1" x="76"/>
        <item t="data" sd="1" x="178"/>
        <item t="data" sd="1" x="268"/>
        <item t="data" sd="1" x="578"/>
        <item t="data" sd="1" x="754"/>
        <item t="data" sd="1" x="739"/>
        <item t="data" sd="1" x="716"/>
        <item t="data" sd="1" x="472"/>
        <item t="data" sd="1" x="220"/>
        <item t="data" sd="1" x="680"/>
        <item t="data" sd="1" x="426"/>
        <item t="data" sd="1" x="107"/>
        <item t="data" sd="1" x="535"/>
        <item t="data" sd="1" x="473"/>
        <item t="data" sd="1" x="584"/>
        <item t="data" sd="1" x="340"/>
        <item t="data" sd="1" x="275"/>
        <item t="data" sd="1" x="321"/>
        <item t="data" sd="1" x="909"/>
        <item t="data" sd="1" x="790"/>
        <item t="data" sd="1" x="615"/>
        <item t="data" sd="1" x="597"/>
        <item t="data" sd="1" x="818"/>
        <item t="data" sd="1" x="474"/>
        <item t="data" sd="1" x="849"/>
        <item t="data" sd="1" x="877"/>
        <item t="data" sd="1" x="746"/>
        <item t="data" sd="1" x="405"/>
        <item t="data" sd="1" x="479"/>
        <item t="data" sd="1" x="463"/>
        <item t="data" sd="1" x="847"/>
        <item t="data" sd="1" x="622"/>
        <item t="data" sd="1" x="204"/>
        <item t="data" sd="1" x="890"/>
        <item t="data" sd="1" x="596"/>
        <item t="data" sd="1" x="742"/>
        <item t="data" sd="1" x="886"/>
        <item t="data" sd="1" x="409"/>
        <item t="data" sd="1" x="897"/>
        <item t="data" sd="1" x="843"/>
        <item t="data" sd="1" x="721"/>
        <item t="data" sd="1" x="225"/>
        <item t="data" sd="1" x="2"/>
        <item t="data" sd="1" x="262"/>
        <item t="data" sd="1" x="21"/>
        <item t="data" sd="1" x="702"/>
        <item t="data" sd="1" x="478"/>
        <item t="data" sd="1" x="514"/>
        <item t="data" sd="1" x="154"/>
        <item t="data" sd="1" x="525"/>
        <item t="data" sd="1" x="902"/>
        <item t="data" sd="1" x="286"/>
        <item t="data" sd="1" x="802"/>
        <item t="data" sd="1" x="892"/>
        <item t="data" sd="1" x="314"/>
        <item t="data" sd="1" x="881"/>
        <item t="data" sd="1" x="73"/>
        <item t="data" sd="1" x="239"/>
        <item t="data" sd="1" x="241"/>
        <item t="data" sd="1" x="224"/>
        <item t="data" sd="1" x="539"/>
        <item t="data" sd="1" x="71"/>
        <item t="data" sd="1" x="749"/>
        <item t="data" sd="1" x="235"/>
        <item t="data" sd="1" x="216"/>
        <item t="data" sd="1" x="193"/>
        <item t="data" sd="1" x="808"/>
        <item t="data" sd="1" x="112"/>
        <item t="data" sd="1" x="572"/>
        <item t="data" sd="1" x="310"/>
        <item t="data" sd="1" x="345"/>
        <item t="data" sd="1" x="348"/>
        <item t="data" sd="1" x="529"/>
        <item t="data" sd="1" x="759"/>
        <item t="data" sd="1" x="54"/>
        <item t="data" sd="1" x="610"/>
        <item t="data" sd="1" x="346"/>
        <item t="data" sd="1" x="290"/>
        <item t="data" sd="1" x="591"/>
        <item t="data" sd="1" x="221"/>
        <item t="data" sd="1" x="668"/>
        <item t="data" sd="1" x="22"/>
        <item t="data" sd="1" x="461"/>
        <item t="data" sd="1" x="277"/>
        <item t="data" sd="1" x="197"/>
        <item t="data" sd="1" x="435"/>
        <item t="data" sd="1" x="707"/>
        <item t="data" sd="1" x="700"/>
        <item t="data" sd="1" x="543"/>
        <item t="data" sd="1" x="548"/>
        <item t="data" sd="1" x="831"/>
        <item t="data" sd="1" x="661"/>
        <item t="data" sd="1" x="740"/>
        <item t="data" sd="1" x="285"/>
        <item t="data" sd="1" x="825"/>
        <item t="data" sd="1" x="444"/>
        <item t="data" sd="1" x="640"/>
        <item t="data" sd="1" x="775"/>
        <item t="data" sd="1" x="134"/>
        <item t="data" sd="1" x="812"/>
        <item t="data" sd="1" x="326"/>
        <item t="data" sd="1" x="861"/>
        <item t="data" sd="1" x="231"/>
        <item t="data" sd="1" x="896"/>
        <item t="data" sd="1" x="593"/>
        <item t="data" sd="1" x="240"/>
        <item t="data" sd="1" x="631"/>
        <item t="data" sd="1" x="822"/>
        <item t="data" sd="1" x="669"/>
        <item t="data" sd="1" x="907"/>
        <item t="data" sd="1" x="786"/>
        <item t="data" sd="1" x="860"/>
        <item t="data" sd="1" x="223"/>
        <item t="data" sd="1" x="236"/>
        <item t="data" sd="1" x="469"/>
        <item t="data" sd="1" x="575"/>
        <item t="data" sd="1" x="434"/>
        <item t="data" sd="1" x="304"/>
        <item t="data" sd="1" x="889"/>
        <item t="data" sd="1" x="634"/>
        <item t="data" sd="1" x="114"/>
        <item t="data" sd="1" x="606"/>
        <item t="data" sd="1" x="851"/>
        <item t="data" sd="1" x="505"/>
        <item t="data" sd="1" x="272"/>
        <item t="data" sd="1" x="520"/>
        <item t="data" sd="1" x="526"/>
        <item t="data" sd="1" x="556"/>
        <item t="data" sd="1" x="303"/>
        <item t="data" sd="1" x="41"/>
        <item t="data" sd="1" x="256"/>
        <item t="data" sd="1" x="490"/>
        <item t="data" sd="1" x="647"/>
        <item t="data" sd="1" x="258"/>
        <item t="data" sd="1" x="712"/>
        <item t="data" sd="1" x="830"/>
        <item t="data" sd="1" x="278"/>
        <item t="data" sd="1" x="33"/>
        <item t="data" sd="1" x="698"/>
        <item t="data" sd="1" x="594"/>
        <item t="data" sd="1" x="152"/>
        <item t="data" sd="1" x="827"/>
        <item t="data" sd="1" x="9"/>
        <item t="data" sd="1" x="95"/>
        <item t="data" sd="1" x="583"/>
        <item t="data" sd="1" x="279"/>
        <item t="data" sd="1" x="869"/>
        <item t="data" sd="1" x="778"/>
        <item t="data" sd="1" x="485"/>
        <item t="data" sd="1" x="228"/>
        <item t="data" sd="1" x="638"/>
        <item t="data" sd="1" x="527"/>
        <item t="data" sd="1" x="356"/>
        <item t="data" sd="1" x="81"/>
        <item t="data" sd="1" x="313"/>
        <item t="data" sd="1" x="128"/>
        <item t="data" sd="1" x="209"/>
        <item t="data" sd="1" x="86"/>
        <item t="data" sd="1" x="524"/>
        <item t="data" sd="1" x="164"/>
        <item t="data" sd="1" x="555"/>
        <item t="data" sd="1" x="198"/>
        <item t="data" sd="1" x="97"/>
        <item t="data" sd="1" x="167"/>
        <item t="data" sd="1" x="183"/>
        <item t="data" sd="1" x="260"/>
        <item t="data" sd="1" x="317"/>
        <item t="data" sd="1" x="333"/>
        <item t="data" sd="1" x="756"/>
        <item t="data" sd="1" x="289"/>
        <item t="data" sd="1" x="484"/>
        <item t="data" sd="1" x="328"/>
        <item t="data" sd="1" x="165"/>
        <item t="data" sd="1" x="755"/>
        <item t="data" sd="1" x="291"/>
        <item t="data" sd="1" x="120"/>
        <item t="data" sd="1" x="850"/>
        <item t="data" sd="1" x="125"/>
        <item t="data" sd="1" x="30"/>
        <item t="data" sd="1" x="899"/>
        <item t="data" sd="1" x="867"/>
        <item t="data" sd="1" x="446"/>
        <item t="data" sd="1" x="579"/>
        <item t="data" sd="1" x="58"/>
        <item t="data" sd="1" x="381"/>
        <item t="data" sd="1" x="460"/>
        <item t="data" sd="1" x="337"/>
        <item t="data" sd="1" x="159"/>
        <item t="data" sd="1" x="690"/>
        <item t="data" sd="1" x="614"/>
        <item t="data" sd="1" x="697"/>
        <item t="data" sd="1" x="8"/>
        <item t="data" sd="1" x="146"/>
        <item t="data" sd="1" x="800"/>
        <item t="data" sd="1" x="370"/>
        <item t="data" sd="1" x="878"/>
        <item t="data" sd="1" x="264"/>
        <item t="data" sd="1" x="306"/>
        <item t="data" sd="1" x="696"/>
        <item t="data" sd="1" x="635"/>
        <item t="data" sd="1" x="452"/>
        <item t="data" sd="1" x="770"/>
        <item t="data" sd="1" x="194"/>
        <item t="data" sd="1" x="410"/>
        <item t="data" sd="1" x="385"/>
        <item t="data" sd="1" x="222"/>
        <item t="data" sd="1" x="621"/>
        <item t="data" sd="1" x="300"/>
        <item t="data" sd="1" x="547"/>
        <item t="data" sd="1" x="301"/>
        <item t="data" sd="1" x="375"/>
        <item t="data" sd="1" x="616"/>
        <item t="data" sd="1" x="28"/>
        <item t="data" sd="1" x="445"/>
        <item t="data" sd="1" x="581"/>
        <item t="data" sd="1" x="666"/>
        <item t="data" sd="1" x="63"/>
        <item t="data" sd="1" x="109"/>
        <item t="data" sd="1" x="863"/>
        <item t="data" sd="1" x="230"/>
        <item t="data" sd="1" x="139"/>
        <item t="data" sd="1" x="153"/>
        <item t="data" sd="1" x="138"/>
        <item t="data" sd="1" x="598"/>
        <item t="data" sd="1" x="659"/>
        <item t="data" sd="1" x="383"/>
        <item t="data" sd="1" x="467"/>
        <item t="data" sd="1" x="676"/>
        <item t="data" sd="1" x="871"/>
        <item t="data" sd="1" x="202"/>
        <item t="data" sd="1" x="848"/>
        <item t="data" sd="1" x="736"/>
        <item t="data" sd="1" x="349"/>
        <item t="data" sd="1" x="722"/>
        <item t="data" sd="1" x="371"/>
        <item t="data" sd="1" x="662"/>
        <item t="data" sd="1" x="443"/>
        <item t="data" sd="1" x="510"/>
        <item t="data" sd="1" x="792"/>
        <item t="data" sd="1" x="388"/>
        <item t="data" sd="1" x="368"/>
        <item t="data" sd="1" x="731"/>
        <item t="data" sd="1" x="145"/>
        <item t="data" sd="1" x="735"/>
        <item t="data" sd="1" x="565"/>
        <item t="data" sd="1" x="259"/>
        <item t="data" sd="1" x="834"/>
        <item t="data" sd="1" x="6"/>
        <item t="data" sd="1" x="872"/>
        <item t="data" sd="1" x="845"/>
        <item t="data" sd="1" x="576"/>
        <item t="data" sd="1" x="828"/>
        <item t="data" sd="1" x="77"/>
        <item t="data" sd="1" x="85"/>
        <item t="data" sd="1" x="382"/>
        <item t="data" sd="1" x="462"/>
        <item t="data" sd="1" x="842"/>
        <item t="data" sd="1" x="47"/>
        <item t="data" sd="1" x="384"/>
        <item t="data" sd="1" x="723"/>
        <item t="data" sd="1" x="517"/>
        <item t="data" sd="1" x="62"/>
        <item t="data" sd="1" x="692"/>
        <item t="data" sd="1" x="618"/>
        <item t="data" sd="1" x="471"/>
        <item t="data" sd="1" x="503"/>
        <item t="data" sd="1" x="765"/>
        <item t="data" sd="1" x="813"/>
        <item t="data" sd="1" x="442"/>
        <item t="data" sd="1" x="864"/>
        <item t="data" sd="1" x="528"/>
        <item t="data" sd="1" x="619"/>
        <item t="data" sd="1" x="905"/>
        <item t="data" sd="1" x="665"/>
        <item t="data" sd="1" x="143"/>
        <item t="data" sd="1" x="117"/>
        <item t="data" sd="1" x="496"/>
        <item t="data" sd="1" x="764"/>
        <item t="data" sd="1" x="308"/>
        <item t="data" sd="1" x="688"/>
        <item t="data" sd="1" x="34"/>
        <item t="data" sd="1" x="762"/>
        <item t="data" sd="1" x="502"/>
        <item t="data" sd="1" x="200"/>
        <item t="data" sd="1" x="90"/>
        <item t="data" sd="1" x="874"/>
        <item t="data" sd="1" x="108"/>
        <item t="data" sd="1" x="372"/>
        <item t="data" sd="1" x="45"/>
        <item t="data" sd="1" x="569"/>
        <item t="data" sd="1" x="20"/>
        <item t="data" sd="1" x="611"/>
        <item t="data" sd="1" x="242"/>
        <item t="data" sd="1" x="487"/>
        <item t="data" sd="1" x="173"/>
        <item t="data" sd="1" x="766"/>
        <item t="data" sd="1" x="101"/>
        <item t="data" sd="1" x="274"/>
        <item t="data" sd="1" x="841"/>
        <item t="data" sd="1" x="44"/>
        <item t="data" sd="1" x="365"/>
        <item t="data" sd="1" x="806"/>
        <item t="data" sd="1" x="140"/>
        <item t="data" sd="1" x="522"/>
        <item t="data" sd="1" x="675"/>
        <item t="data" sd="1" x="868"/>
        <item t="data" sd="1" x="1"/>
        <item t="data" sd="1" x="741"/>
        <item t="data" sd="1" x="715"/>
        <item t="data" sd="1" x="605"/>
        <item t="data" sd="1" x="773"/>
        <item t="data" sd="1" x="288"/>
        <item t="data" sd="1" x="353"/>
        <item t="data" sd="1" x="803"/>
        <item t="data" sd="1" x="853"/>
        <item t="data" sd="1" x="679"/>
        <item t="data" sd="1" x="253"/>
        <item t="data" sd="1" x="895"/>
        <item t="data" sd="1" x="245"/>
        <item t="data" sd="1" x="734"/>
        <item t="data" sd="1" x="79"/>
        <item t="data" sd="1" x="781"/>
        <item t="data" sd="1" x="910"/>
        <item t="data" sd="1" x="68"/>
        <item t="data" sd="1" x="545"/>
        <item t="data" sd="1" x="587"/>
        <item t="data" sd="1" x="630"/>
        <item t="data" sd="1" x="729"/>
        <item t="data" sd="1" x="612"/>
        <item t="data" sd="1" x="35"/>
        <item t="data" sd="1" x="544"/>
        <item t="data" sd="1" x="875"/>
        <item t="data" sd="1" x="636"/>
        <item t="data" sd="1" x="787"/>
        <item t="data" sd="1" x="144"/>
        <item t="data" sd="1" x="330"/>
        <item t="data" sd="1" x="882"/>
        <item t="data" sd="1" x="641"/>
        <item t="data" sd="1" x="873"/>
        <item t="data" sd="1" x="687"/>
        <item t="data" sd="1" x="557"/>
        <item t="data" sd="1" x="648"/>
        <item t="data" sd="1" x="327"/>
        <item t="data" sd="1" x="351"/>
        <item t="data" sd="1" x="714"/>
        <item t="data" sd="1" x="133"/>
        <item t="data" sd="1" x="437"/>
        <item t="data" sd="1" x="893"/>
        <item t="data" sd="1" x="725"/>
        <item t="data" sd="1" x="338"/>
        <item t="data" sd="1" x="854"/>
        <item t="data" sd="1" x="682"/>
        <item t="data" sd="1" x="761"/>
        <item t="data" sd="1" x="150"/>
        <item t="data" sd="1" x="480"/>
        <item t="data" sd="1" x="263"/>
        <item t="data" sd="1" x="46"/>
        <item t="data" sd="1" x="728"/>
        <item t="data" sd="1" x="168"/>
        <item t="data" sd="1" x="743"/>
        <item t="data" sd="1" x="450"/>
        <item t="data" sd="1" x="280"/>
        <item t="data" sd="1" x="457"/>
        <item t="data" sd="1" x="190"/>
        <item t="data" sd="1" x="515"/>
        <item t="data" sd="1" x="269"/>
        <item t="data" sd="1" x="208"/>
        <item t="data" sd="1" x="633"/>
        <item t="data" sd="1" x="815"/>
        <item t="data" sd="1" x="549"/>
        <item t="data" sd="1" x="499"/>
        <item t="data" sd="1" x="898"/>
        <item t="data" sd="1" x="182"/>
        <item t="data" sd="1" x="69"/>
        <item t="data" sd="1" x="810"/>
        <item t="data" sd="1" x="387"/>
        <item t="data" sd="1" x="415"/>
        <item t="data" sd="1" x="453"/>
        <item t="data" sd="1" x="769"/>
        <item t="data" sd="1" x="412"/>
        <item t="data" sd="1" x="744"/>
        <item t="data" sd="1" x="901"/>
        <item t="data" sd="1" x="494"/>
        <item t="data" sd="1" x="551"/>
        <item t="data" sd="1" x="213"/>
        <item t="data" sd="1" x="546"/>
        <item t="data" sd="1" x="398"/>
        <item t="data" sd="1" x="719"/>
        <item t="data" sd="1" x="281"/>
        <item t="data" sd="1" x="440"/>
        <item t="data" sd="1" x="627"/>
        <item t="data" sd="1" x="559"/>
        <item t="data" sd="1" x="832"/>
        <item t="data" sd="1" x="176"/>
        <item t="data" sd="1" x="617"/>
        <item t="data" sd="1" x="343"/>
        <item t="data" sd="1" x="237"/>
        <item t="data" sd="1" x="488"/>
        <item t="data" sd="1" x="403"/>
        <item t="data" sd="1" x="751"/>
        <item t="data" sd="1" x="767"/>
        <item t="data" sd="1" x="205"/>
        <item t="data" sd="1" x="360"/>
        <item t="data" sd="1" x="378"/>
        <item t="data" sd="1" x="137"/>
        <item t="data" sd="1" x="151"/>
        <item t="data" sd="1" x="674"/>
        <item t="data" sd="1" x="324"/>
        <item t="data" sd="1" x="229"/>
        <item t="data" sd="1" x="99"/>
        <item t="data" sd="1" x="811"/>
        <item t="data" sd="1" x="582"/>
        <item t="data" sd="1" x="571"/>
        <item t="data" sd="1" x="567"/>
        <item t="data" sd="1" x="309"/>
        <item t="data" sd="1" x="411"/>
        <item t="data" sd="1" x="13"/>
        <item t="data" sd="1" x="500"/>
        <item t="data" sd="1" x="699"/>
        <item t="data" sd="1" x="36"/>
        <item t="data" sd="1" x="903"/>
        <item t="data" sd="1" x="380"/>
        <item t="data" sd="1" x="72"/>
        <item t="data" sd="1" x="127"/>
        <item t="data" sd="1" x="83"/>
        <item t="data" sd="1" x="319"/>
        <item t="data" sd="1" x="730"/>
        <item t="data" sd="1" x="653"/>
        <item t="data" sd="1" x="232"/>
        <item t="data" sd="1" x="757"/>
        <item t="data" sd="1" x="267"/>
        <item t="data" sd="1" x="784"/>
        <item t="data" sd="1" x="683"/>
        <item t="data" sd="1" x="894"/>
        <item t="data" sd="1" x="512"/>
        <item t="data" sd="1" x="179"/>
        <item t="data" sd="1" x="481"/>
        <item t="data" sd="1" x="590"/>
        <item t="data" sd="1" x="530"/>
        <item t="data" sd="1" x="113"/>
        <item t="data" sd="1" x="362"/>
        <item t="data" sd="1" x="329"/>
        <item t="data" sd="1" x="855"/>
        <item t="data" sd="1" x="509"/>
        <item t="data" sd="1" x="465"/>
        <item t="data" sd="1" x="737"/>
        <item t="data" sd="1" x="397"/>
        <item t="data" sd="1" x="246"/>
        <item t="data" sd="1" x="908"/>
        <item t="data" sd="1" x="798"/>
        <item t="data" sd="1" x="906"/>
        <item t="data" sd="1" x="331"/>
        <item t="data" sd="1" x="103"/>
        <item t="data" sd="1" x="464"/>
        <item t="data" sd="1" x="580"/>
        <item t="data" sd="1" x="184"/>
        <item t="data" sd="1" x="592"/>
        <item t="data" sd="1" x="271"/>
        <item t="data" sd="1" x="708"/>
        <item t="data" sd="1" x="357"/>
        <item t="data" sd="1" x="814"/>
        <item t="data" sd="1" x="752"/>
        <item t="data" sd="1" x="601"/>
        <item t="data" sd="1" x="270"/>
        <item t="data" sd="1" x="852"/>
        <item t="data" sd="1" x="38"/>
        <item t="data" sd="1" x="602"/>
        <item t="data" sd="1" x="793"/>
        <item t="data" sd="1" x="70"/>
        <item t="data" sd="1" x="296"/>
        <item t="data" sd="1" x="710"/>
        <item t="data" sd="1" x="691"/>
        <item t="data" sd="1" x="400"/>
        <item t="data" sd="1" x="5"/>
        <item t="data" sd="1" x="234"/>
        <item t="data" sd="1" x="733"/>
        <item t="data" sd="1" x="106"/>
        <item t="data" sd="1" x="839"/>
        <item t="data" sd="1" x="859"/>
        <item t="data" sd="1" x="276"/>
        <item t="data" sd="1" x="623"/>
        <item t="data" sd="1" x="155"/>
        <item t="data" sd="1" x="837"/>
        <item t="data" sd="1" x="399"/>
        <item t="data" sd="1" x="196"/>
        <item t="data" sd="1" x="14"/>
        <item t="data" sd="1" x="161"/>
        <item t="data" sd="1" x="772"/>
        <item t="data" sd="1" x="846"/>
        <item t="data" sd="1" x="795"/>
        <item t="data" sd="1" x="421"/>
        <item t="data" sd="1" x="251"/>
        <item t="data" sd="1" x="244"/>
        <item t="data" sd="1" x="175"/>
        <item t="data" sd="1" x="779"/>
        <item t="data" sd="1" x="408"/>
        <item t="data" sd="1" x="879"/>
        <item t="data" sd="1" x="451"/>
        <item t="data" sd="1" x="26"/>
        <item t="data" sd="1" x="111"/>
        <item t="data" sd="1" x="199"/>
        <item t="data" sd="1" x="777"/>
        <item t="data" sd="1" x="249"/>
        <item t="data" sd="1" x="642"/>
        <item t="data" sd="1" x="768"/>
        <item t="data" sd="1" x="422"/>
        <item t="data" sd="1" x="266"/>
        <item t="data" sd="1" x="492"/>
        <item t="data" sd="1" x="447"/>
        <item t="data" sd="1" x="297"/>
        <item t="data" sd="1" x="61"/>
        <item t="data" sd="1" x="681"/>
        <item t="data" sd="1" x="475"/>
        <item t="data" sd="1" x="645"/>
        <item t="data" sd="1" x="518"/>
        <item t="data" sd="1" x="293"/>
        <item t="data" sd="1" x="185"/>
        <item t="data" sd="1" x="373"/>
        <item t="data" sd="1" x="574"/>
        <item t="data" sd="1" x="191"/>
        <item t="data" sd="1" x="586"/>
        <item t="data" sd="1" x="393"/>
        <item t="data" sd="1" x="404"/>
        <item t="data" sd="1" x="508"/>
        <item t="data" sd="1" x="358"/>
        <item t="data" sd="1" x="94"/>
        <item t="data" sd="1" x="336"/>
        <item t="data" sd="1" x="626"/>
        <item t="data" sd="1" x="667"/>
        <item t="data" sd="1" x="651"/>
        <item t="data" sd="1" x="911"/>
        <item t="data" sd="1" x="664"/>
        <item t="data" sd="1" x="613"/>
        <item t="data" sd="1" x="211"/>
        <item t="data" sd="1" x="320"/>
        <item t="data" sd="1" x="726"/>
        <item t="data" sd="1" x="791"/>
        <item t="data" sd="1" x="56"/>
        <item t="data" sd="1" x="888"/>
        <item t="data" sd="1" x="88"/>
        <item t="data" sd="1" x="760"/>
        <item t="data" sd="1" x="166"/>
        <item t="data" sd="1" x="39"/>
        <item t="data" sd="1" x="163"/>
        <item t="data" sd="1" x="804"/>
        <item t="data" sd="1" x="192"/>
        <item t="data" sd="1" x="449"/>
        <item t="data" sd="1" x="643"/>
        <item t="data" sd="1" x="406"/>
        <item t="data" sd="1" x="123"/>
        <item t="data" sd="1" x="136"/>
        <item t="data" sd="1" x="124"/>
        <item t="data" sd="1" x="16"/>
        <item t="data" sd="1" x="55"/>
        <item t="data" sd="1" x="292"/>
        <item t="data" sd="1" x="339"/>
        <item t="data" sd="1" x="261"/>
        <item t="data" sd="1" x="12"/>
        <item t="data" sd="1" x="819"/>
        <item t="data" sd="1" x="390"/>
        <item t="data" sd="1" x="838"/>
        <item t="data" sd="1" x="147"/>
        <item t="data" sd="1" x="100"/>
        <item t="data" sd="1" x="782"/>
        <item t="data" sd="1" x="284"/>
        <item t="data" sd="1" x="470"/>
        <item t="data" sd="1" x="40"/>
        <item t="data" sd="1" x="553"/>
        <item t="data" sd="1" x="801"/>
        <item t="data" sd="1" x="181"/>
        <item t="data" sd="1" x="532"/>
        <item t="data" sd="1" x="476"/>
        <item t="data" sd="1" x="214"/>
        <item t="data" sd="1" x="355"/>
        <item t="data" sd="1" x="418"/>
        <item t="data" sd="1" x="98"/>
        <item t="data" sd="1" x="311"/>
        <item t="data" sd="1" x="844"/>
        <item t="data" sd="1" x="141"/>
        <item t="data" sd="1" x="568"/>
        <item t="data" sd="1" x="796"/>
        <item t="data" sd="1" x="706"/>
        <item t="data" sd="1" x="118"/>
        <item t="data" sd="1" x="900"/>
        <item t="data" sd="1" x="491"/>
        <item t="data" sd="1" x="367"/>
        <item t="data" sd="1" x="430"/>
        <item t="data" sd="1" x="820"/>
        <item t="data" sd="1" x="414"/>
        <item t="data" sd="1" x="43"/>
        <item t="data" sd="1" x="493"/>
        <item t="data" sd="1" x="858"/>
        <item t="data" sd="1" x="516"/>
        <item t="data" sd="1" x="323"/>
        <item t="data" sd="1" x="789"/>
        <item t="data" sd="1" x="684"/>
        <item t="data" sd="1" x="531"/>
        <item t="data" sd="1" x="389"/>
        <item t="data" sd="1" x="534"/>
        <item t="data" sd="1" x="203"/>
        <item t="data" sd="1" x="423"/>
        <item t="data" sd="1" x="663"/>
        <item t="data" sd="1" x="713"/>
        <item t="data" sd="1" x="599"/>
        <item t="data" sd="1" x="15"/>
        <item t="data" sd="1" x="876"/>
        <item t="data" sd="1" x="436"/>
        <item t="data" sd="1" x="538"/>
        <item t="data" sd="1" x="870"/>
        <item t="data" sd="1" x="670"/>
        <item t="data" sd="1" x="130"/>
        <item t="data" sd="1" x="671"/>
        <item t="data" sd="1" x="402"/>
        <item t="data" sd="1" x="7"/>
        <item t="data" sd="1" x="427"/>
        <item t="data" sd="1" x="771"/>
        <item t="data" sd="1" x="794"/>
        <item t="data" sd="1" x="10"/>
        <item t="data" sd="1" x="238"/>
        <item t="data" sd="1" x="639"/>
        <item t="data" sd="1" x="441"/>
        <item t="data" sd="1" x="51"/>
        <item t="data" sd="1" x="93"/>
        <item t="data" sd="1" x="87"/>
        <item t="data" sd="1" x="504"/>
        <item t="data" sd="1" x="536"/>
        <item t="data" sd="1" x="374"/>
        <item t="data" sd="1" x="91"/>
        <item t="data" sd="1" x="824"/>
        <item t="data" sd="1" x="657"/>
        <item t="data" sd="1" x="891"/>
        <item t="data" sd="1" x="49"/>
        <item t="data" sd="1" x="219"/>
        <item t="data" sd="1" x="686"/>
        <item t="data" sd="1" x="704"/>
        <item t="data" sd="1" x="341"/>
        <item t="data" sd="1" x="189"/>
        <item t="data" sd="1" x="148"/>
        <item t="data" sd="1" x="817"/>
        <item t="data" sd="1" x="455"/>
        <item t="data" sd="1" x="23"/>
        <item t="data" sd="1" x="655"/>
        <item t="data" sd="1" x="672"/>
        <item t="data" sd="1" x="298"/>
        <item t="data" sd="1" x="160"/>
        <item t="data" sd="1" x="64"/>
        <item t="data" sd="1" x="821"/>
        <item t="data" sd="1" x="887"/>
        <item t="data" sd="1" x="703"/>
        <item t="data" sd="1" x="105"/>
        <item t="data" sd="1" x="566"/>
        <item t="data" sd="1" x="4"/>
        <item t="data" sd="1" x="649"/>
        <item t="data" sd="1" x="788"/>
        <item t="data" sd="1" x="652"/>
        <item t="data" sd="1" x="325"/>
        <item t="data" sd="1" x="75"/>
        <item t="data" sd="1" x="156"/>
        <item t="data" sd="1" x="609"/>
        <item t="data" sd="1" x="361"/>
        <item t="data" sd="1" x="65"/>
        <item t="data" sd="1" x="226"/>
        <item t="data" sd="1" x="537"/>
        <item t="data" sd="1" x="513"/>
        <item t="data" sd="1" x="656"/>
        <item t="data" sd="1" x="727"/>
        <item t="data" sd="1" x="250"/>
        <item t="data" sd="1" x="750"/>
        <item t="data" sd="1" x="342"/>
        <item t="data" sd="1" x="32"/>
        <item t="data" sd="1" x="420"/>
        <item t="data" sd="1" x="695"/>
        <item t="data" sd="1" x="215"/>
        <item t="data" sd="1" x="826"/>
        <item t="data" sd="1" x="785"/>
        <item t="data" sd="1" x="459"/>
        <item t="data" sd="1" x="302"/>
        <item t="data" sd="1" x="364"/>
        <item t="data" sd="1" x="780"/>
        <item t="data" sd="1" x="295"/>
        <item t="data" sd="1" x="424"/>
        <item t="data" sd="1" x="115"/>
        <item t="data" sd="1" x="53"/>
        <item t="data" sd="1" x="158"/>
        <item t="data" sd="1" x="448"/>
        <item t="data" sd="1" x="489"/>
        <item t="data" sd="1" x="654"/>
        <item t="data" sd="1" x="116"/>
        <item t="data" sd="1" x="709"/>
        <item t="data" sd="1" x="603"/>
        <item t="data" sd="1" x="187"/>
        <item t="data" sd="1" x="157"/>
        <item t="data" sd="1" x="227"/>
        <item t="data" sd="1" x="243"/>
        <item t="data" sd="1" x="377"/>
        <item t="data" sd="1" x="833"/>
        <item t="data" sd="1" x="257"/>
        <item t="data" sd="1" x="689"/>
        <item t="data" sd="1" x="563"/>
        <item t="data" sd="1" x="11"/>
        <item t="data" sd="1" x="315"/>
        <item t="data" sd="1" x="347"/>
        <item t="data" sd="1" x="620"/>
        <item t="data" sd="1" x="102"/>
        <item t="data" sd="1" x="685"/>
        <item t="data" sd="1" x="758"/>
        <item t="data" sd="1" x="299"/>
        <item t="data" sd="1" x="50"/>
        <item t="data" sd="1" x="413"/>
        <item t="data" sd="1" x="628"/>
        <item t="data" sd="1" x="25"/>
        <item t="data" sd="1" x="169"/>
        <item t="data" sd="1" x="477"/>
        <item t="data" sd="1" x="119"/>
        <item t="data" sd="1" x="495"/>
        <item t="data" sd="1" x="218"/>
        <item t="data" sd="1" x="334"/>
        <item t="data" sd="1" x="82"/>
        <item t="data" sd="1" x="172"/>
        <item t="data" sd="1" x="283"/>
        <item t="data" sd="1" x="305"/>
        <item t="data" sd="1" x="774"/>
        <item t="data" sd="1" x="588"/>
        <item t="data" sd="1" x="533"/>
        <item t="data" sd="1" x="717"/>
        <item t="data" sd="1" x="29"/>
        <item t="data" sd="1" x="458"/>
        <item t="data" sd="1" x="607"/>
        <item t="data" sd="1" x="542"/>
        <item t="data" sd="1" x="131"/>
        <item t="data" sd="1" x="188"/>
        <item t="data" sd="1" x="352"/>
        <item t="data" sd="1" x="482"/>
        <item t="data" sd="1" x="511"/>
        <item t="data" sd="1" x="718"/>
        <item t="data" sd="1" x="865"/>
        <item t="data" sd="1" x="89"/>
        <item t="data" sd="1" x="912"/>
        <item t="data" sd="1" x="693"/>
        <item t="data" sd="1" x="273"/>
        <item t="data" sd="1" x="248"/>
        <item t="data" sd="1" x="359"/>
        <item t="data" sd="1" x="24"/>
        <item t="data" sd="1" x="312"/>
        <item t="data" sd="1" x="646"/>
        <item t="data" sd="1" x="416"/>
        <item t="data" sd="1" x="468"/>
        <item t="data" sd="1" x="577"/>
        <item t="data" sd="1" x="206"/>
        <item t="data" sd="1" x="558"/>
        <item t="data" sd="1" x="255"/>
        <item t="data" sd="1" x="386"/>
        <item t="data" sd="1" x="350"/>
        <item t="data" sd="1" x="486"/>
        <item t="data" sd="1" x="318"/>
        <item t="data" sd="1" x="506"/>
        <item t="data" sd="1" x="885"/>
        <item t="data" sd="1" x="52"/>
        <item t="data" sd="1" x="407"/>
        <item t="data" sd="1" x="660"/>
        <item t="data" sd="1" x="332"/>
        <item t="data" sd="1" x="862"/>
        <item t="data" sd="1" x="632"/>
        <item t="data" sd="1" x="836"/>
        <item t="data" sd="1" x="135"/>
        <item t="data" sd="1" x="570"/>
        <item t="data" sd="1" x="401"/>
        <item t="data" sd="1" x="604"/>
        <item t="data" sd="1" x="732"/>
        <item t="data" sd="1" x="316"/>
        <item t="data" sd="1" x="369"/>
        <item t="data" sd="1" x="589"/>
        <item t="data" sd="1" x="395"/>
        <item t="data" sd="1" x="335"/>
        <item t="data" sd="1" x="880"/>
        <item t="data" sd="1" x="78"/>
        <item t="data" sd="1" x="254"/>
        <item t="data" sd="1" x="233"/>
        <item t="data" sd="1" x="805"/>
        <item t="data" sd="1" x="501"/>
        <item t="data" sd="1" x="884"/>
        <item t="data" sd="1" x="540"/>
        <item t="data" sd="1" x="3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ascending" defaultSubtotal="0">
      <items count="3">
        <item t="data" sd="1" x="1"/>
        <item t="data" sd="1" x="2"/>
        <item t="data" sd="1" x="0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numFmtId="166" outline="0" subtotalTop="1" dragToRow="1" dragToCol="1" dragToPage="1" dragToData="1" dragOff="1" showAll="0" topAutoShow="1" itemPageCount="10" sortType="manual" defaultSubtotal="0">
      <items count="4">
        <item t="data" sd="1" x="3"/>
        <item t="data" sd="1" x="1"/>
        <item t="data" sd="1" x="0"/>
        <item t="data" sd="1" x="2"/>
      </items>
    </pivotField>
    <pivotField showDropDowns="1" compact="0" numFmtId="167" outline="0" subtotalTop="1" dragToRow="1" dragToCol="1" dragToPage="1" dragToData="1" dragOff="1" showAll="0" topAutoShow="1" itemPageCount="10" sortType="manual" defaultSubtotal="0"/>
    <pivotField dataField="1" showDropDowns="1" compact="0" numFmtId="167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>
      <items count="4">
        <item t="data" sd="1" x="2"/>
        <item t="data" sd="1" x="1"/>
        <item t="data" sd="1" x="3"/>
        <item t="data" sd="1" x="0"/>
      </items>
    </pivotField>
    <pivotField showDropDowns="1" compact="0" outline="0" subtotalTop="1" dragToRow="1" dragToCol="1" dragToPage="1" dragToData="1" dragOff="1" showAll="0" topAutoShow="1" itemPageCount="10" sortType="manual" defaultSubtotal="0">
      <items count="3">
        <item t="data" sd="1" x="2"/>
        <item t="data" sd="1" x="1"/>
        <item t="data" sd="1" x="0"/>
      </items>
    </pivotField>
    <pivotField showDropDowns="1" compact="0" outline="0" subtotalTop="0" dragToRow="1" dragToCol="1" dragToPage="1" dragToData="1" dragOff="1" showAll="0" topAutoShow="1" itemPageCount="10" sortType="manual" defaultSubtotal="0">
      <items count="2">
        <item t="data" sd="1" x="1"/>
        <item t="data" sd="1" x="0"/>
      </items>
    </pivotField>
    <pivotField showDropDowns="1" compact="0" outline="0" subtotalTop="1" dragToRow="1" dragToCol="1" dragToPage="1" dragToData="1" dragOff="1" showAll="0" topAutoShow="1" itemPageCount="10" sortType="manual" defaultSubtotal="0">
      <items count="1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</items>
    </pivotField>
    <pivotField showDropDowns="1" compact="0" outline="0" subtotalTop="1" dragToRow="1" dragToCol="1" dragToPage="1" dragToData="1" dragOff="1" showAll="0" topAutoShow="1" itemPageCount="10" sortType="manual" defaultSubtotal="0">
      <items count="6">
        <item t="data" sd="1" x="0"/>
        <item t="data" sd="1" x="1"/>
        <item t="data" sd="1" x="2"/>
        <item t="data" sd="1" x="3"/>
        <item t="data" sd="1" x="4"/>
        <item t="data" sd="1" x="5"/>
      </items>
    </pivotField>
  </pivotFields>
  <rowFields count="1">
    <field x="5"/>
  </rowFields>
  <rowItems count="5">
    <i t="data" r="0" i="0">
      <x v="255"/>
    </i>
    <i t="data" r="0" i="0">
      <x v="646"/>
    </i>
    <i t="data" r="0" i="0">
      <x v="831"/>
    </i>
    <i t="data" r="0" i="0">
      <x v="125"/>
    </i>
    <i t="data" r="0" i="0">
      <x v="28"/>
    </i>
  </rowItems>
  <colItems count="1">
    <i t="data" r="0" i="0"/>
  </colItems>
  <dataFields count="1">
    <dataField name="Sum of Sales" fld="12" subtotal="sum" showDataAs="normal" baseField="7" baseItem="0" numFmtId="168"/>
  </dataFields>
  <chartFormats count="5">
    <chartFormat chart="2" format="8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5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7" format="8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8" format="9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5" type="count" evalOrder="-1" id="19" iMeasureFld="0">
      <autoFilter ref="A1">
        <filterColumn colId="0">
          <top10 val="5" filterVal="5"/>
        </filterColumn>
      </autoFilter>
    </filter>
  </filters>
</pivotTableDefinition>
</file>

<file path=xl/tables/table1.xml><?xml version="1.0" encoding="utf-8"?>
<table xmlns="http://schemas.openxmlformats.org/spreadsheetml/2006/main" id="1" name="Orders" displayName="Orders" ref="A1:P1001" headerRowCount="1" totalsRowShown="0" headerRowDxfId="11">
  <autoFilter ref="A1:P1001"/>
  <tableColumns count="16">
    <tableColumn id="1" name="Order ID" dataDxfId="10"/>
    <tableColumn id="2" name="Order Date" dataDxfId="9"/>
    <tableColumn id="3" name="Customer ID" dataDxfId="8"/>
    <tableColumn id="4" name="Product ID"/>
    <tableColumn id="5" name="Quantity" dataDxfId="7"/>
    <tableColumn id="6" name="Customer Name" dataDxfId="6">
      <calculatedColumnFormula>_xlfn.XLOOKUP(C2,customers!$A$1:$A$1001,customers!$B$1:$B$1001,,0)</calculatedColumnFormula>
    </tableColumn>
    <tableColumn id="7" name="Email" dataDxfId="5">
      <calculatedColumnFormula>IF(_xlfn.XLOOKUP(C2,customers!$A$1:$A$1001,customers!$C$1:$C$1001,,0)=0,"",_xlfn.XLOOKUP(C2,customers!$A$1:$A$1001,customers!$C$1:$C$1001,,0))</calculatedColumnFormula>
    </tableColumn>
    <tableColumn id="8" name="Country" dataDxfId="4">
      <calculatedColumnFormula>_xlfn.XLOOKUP(C2,customers!$A$1:$A$1001,customers!$G$1:$G$1001,,0)</calculatedColumnFormula>
    </tableColumn>
    <tableColumn id="9" name="Coffee Type">
      <calculatedColumnFormula>INDEX(products!$A$1:$G$49,MATCH(orders!$D2,products!$A$1:$A$49,0),MATCH(orders!I$1,products!$A$1:$G$1,0))</calculatedColumnFormula>
    </tableColumn>
    <tableColumn id="10" name="Roast Type">
      <calculatedColumnFormula>INDEX(products!$A$1:$G$49,MATCH(orders!$D2,products!$A$1:$A$49,0),MATCH(orders!J$1,products!$A$1:$G$1,0))</calculatedColumnFormula>
    </tableColumn>
    <tableColumn id="11" name="Size" dataDxfId="3">
      <calculatedColumnFormula>INDEX(products!$A$1:$G$49,MATCH(orders!$D2,products!$A$1:$A$49,0),MATCH(orders!K$1,products!$A$1:$G$1,0))</calculatedColumnFormula>
    </tableColumn>
    <tableColumn id="12" name="Unit Price" dataDxfId="2">
      <calculatedColumnFormula>INDEX(products!$A$1:$G$49,MATCH(orders!$D2,products!$A$1:$A$49,0),MATCH(orders!L$1,products!$A$1:$G$1,0))</calculatedColumnFormula>
    </tableColumn>
    <tableColumn id="13" name="Sales" dataDxfId="1">
      <calculatedColumnFormula>L2*E2</calculatedColumnFormula>
    </tableColumn>
    <tableColumn id="14" name="Coffee Type Name">
      <calculatedColumnFormula>IF(I2="Rob","Robusta",IF(I2="Exc","Excelsa",IF(I2="Ara","Arabica",IF(I2="Lib","Liberica",""))))</calculatedColumnFormula>
    </tableColumn>
    <tableColumn id="15" name="Roast Type Name">
      <calculatedColumnFormula>IF(J2="M","Medium",IF(J2="L","Light",IF(J2="D","Dark","")))</calculatedColumnFormula>
    </tableColumn>
    <tableColumn id="16" name="Loyalty Card" dataDxfId="0">
      <calculatedColumnFormula>_xlfn.XLOOKUP(Orders[[#This Row],[Customer ID]],customers!$A$1:$A$1001,customers!$I$1:$I$1001,,0)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tabSelected="1" zoomScale="80" zoomScaleNormal="80" workbookViewId="0">
      <selection activeCell="AB3" sqref="AB3"/>
    </sheetView>
  </sheetViews>
  <sheetFormatPr baseColWidth="8" defaultRowHeight="14.5"/>
  <cols>
    <col width="1.7265625" customWidth="1" min="1" max="1"/>
    <col width="1.7265625" customWidth="1" min="16" max="16"/>
    <col width="1.7265625" customWidth="1" min="19" max="19"/>
    <col width="1.7265625" customWidth="1" min="23" max="23"/>
  </cols>
  <sheetData>
    <row r="1" ht="5.15" customHeight="1">
      <c r="A1" s="9" t="n"/>
      <c r="B1" s="9" t="n"/>
      <c r="C1" s="10" t="n"/>
      <c r="D1" s="11" t="n"/>
      <c r="E1" s="12" t="n"/>
      <c r="F1" s="13" t="n"/>
      <c r="G1" s="9" t="n"/>
      <c r="H1" s="14" t="n"/>
      <c r="I1" s="13" t="n"/>
      <c r="J1" s="15" t="n"/>
    </row>
    <row r="2">
      <c r="A2" s="9" t="n"/>
      <c r="B2" s="13" t="n"/>
      <c r="C2" s="16" t="n"/>
      <c r="D2" s="12" t="n"/>
      <c r="E2" s="15" t="n"/>
      <c r="F2" s="17" t="n"/>
      <c r="G2" s="13" t="n"/>
      <c r="H2" s="17" t="n"/>
      <c r="I2" s="9" t="n"/>
      <c r="J2" s="15" t="n"/>
    </row>
    <row r="3">
      <c r="A3" s="9" t="n"/>
      <c r="B3" s="11" t="n"/>
      <c r="C3" s="14" t="n"/>
      <c r="D3" s="17" t="n"/>
      <c r="E3" s="11" t="n"/>
      <c r="F3" s="9" t="n"/>
      <c r="G3" s="10" t="n"/>
      <c r="H3" s="10" t="n"/>
      <c r="I3" s="14" t="n"/>
      <c r="J3" s="12" t="n"/>
    </row>
    <row r="4">
      <c r="A4" s="16" t="n"/>
      <c r="B4" s="14" t="n"/>
      <c r="C4" s="16" t="n"/>
      <c r="D4" s="12" t="n"/>
      <c r="E4" s="15" t="n"/>
      <c r="F4" s="10" t="n"/>
      <c r="G4" s="11" t="n"/>
      <c r="H4" s="9" t="n"/>
      <c r="I4" s="14" t="n"/>
      <c r="J4" s="16" t="n"/>
    </row>
    <row r="5">
      <c r="A5" s="17" t="n"/>
      <c r="B5" s="15" t="n"/>
      <c r="C5" s="12" t="n"/>
      <c r="D5" s="9" t="n"/>
      <c r="E5" s="17" t="n"/>
      <c r="F5" s="14" t="n"/>
      <c r="G5" s="17" t="n"/>
      <c r="H5" s="14" t="n"/>
      <c r="I5" s="16" t="n"/>
      <c r="J5" s="10" t="n"/>
    </row>
    <row r="6" ht="5.15" customHeight="1">
      <c r="A6" s="13" t="n"/>
      <c r="B6" s="14" t="n"/>
      <c r="C6" s="9" t="n"/>
      <c r="D6" s="9" t="n"/>
      <c r="E6" s="15" t="n"/>
      <c r="F6" s="9" t="n"/>
      <c r="G6" s="12" t="n"/>
      <c r="H6" s="17" t="n"/>
      <c r="I6" s="14" t="n"/>
      <c r="J6" s="16" t="n"/>
    </row>
    <row r="7">
      <c r="A7" s="16" t="n"/>
      <c r="B7" s="9" t="n"/>
      <c r="C7" s="14" t="n"/>
      <c r="D7" s="13" t="n"/>
      <c r="E7" s="9" t="n"/>
      <c r="F7" s="15" t="n"/>
      <c r="G7" s="14" t="n"/>
      <c r="H7" s="11" t="n"/>
      <c r="I7" s="10" t="n"/>
      <c r="J7" s="10" t="n"/>
    </row>
    <row r="8">
      <c r="A8" s="10" t="n"/>
      <c r="B8" s="12" t="n"/>
      <c r="C8" s="14" t="n"/>
      <c r="D8" s="16" t="n"/>
      <c r="E8" s="15" t="n"/>
      <c r="F8" s="11" t="n"/>
      <c r="G8" s="9" t="n"/>
      <c r="H8" s="16" t="n"/>
      <c r="I8" s="13" t="n"/>
      <c r="J8" s="9" t="n"/>
    </row>
    <row r="9">
      <c r="A9" s="16" t="n"/>
      <c r="B9" s="11" t="n"/>
      <c r="C9" s="16" t="n"/>
      <c r="D9" s="12" t="n"/>
      <c r="E9" s="11" t="n"/>
      <c r="F9" s="14" t="n"/>
      <c r="G9" s="12" t="n"/>
      <c r="H9" s="16" t="n"/>
      <c r="I9" s="11" t="n"/>
      <c r="J9" s="15" t="n"/>
    </row>
    <row r="10">
      <c r="A10" s="13" t="n"/>
      <c r="B10" s="16" t="n"/>
      <c r="C10" s="15" t="n"/>
      <c r="D10" s="9" t="n"/>
      <c r="E10" s="12" t="n"/>
      <c r="F10" s="15" t="n"/>
      <c r="G10" s="17" t="n"/>
      <c r="H10" s="10" t="n"/>
      <c r="I10" s="15" t="n"/>
      <c r="J10" s="12" t="n"/>
    </row>
    <row r="11" ht="5.15" customHeight="1">
      <c r="A11" s="12" t="n"/>
      <c r="B11" s="11" t="n"/>
      <c r="C11" s="11" t="n"/>
      <c r="D11" s="12" t="n"/>
      <c r="E11" s="16" t="n"/>
      <c r="F11" s="17" t="n"/>
      <c r="G11" s="11" t="n"/>
      <c r="H11" s="10" t="n"/>
      <c r="I11" s="17" t="n"/>
      <c r="J11" s="12" t="n"/>
    </row>
    <row r="12">
      <c r="A12" s="14" t="n"/>
      <c r="B12" s="12" t="n"/>
      <c r="C12" s="10" t="n"/>
      <c r="D12" s="11" t="n"/>
      <c r="E12" s="11" t="n"/>
      <c r="F12" s="13" t="n"/>
      <c r="G12" s="9" t="n"/>
      <c r="H12" s="12" t="n"/>
      <c r="I12" s="16" t="n"/>
      <c r="J12" s="10" t="n"/>
    </row>
    <row r="13">
      <c r="A13" s="10" t="n"/>
      <c r="B13" s="12" t="n"/>
      <c r="C13" s="14" t="n"/>
      <c r="D13" s="12" t="n"/>
      <c r="E13" s="17" t="n"/>
      <c r="F13" s="17" t="n"/>
      <c r="G13" s="15" t="n"/>
      <c r="H13" s="12" t="n"/>
      <c r="I13" s="13" t="n"/>
      <c r="J13" s="15" t="n"/>
    </row>
    <row r="14">
      <c r="A14" s="14" t="n"/>
      <c r="B14" s="10" t="n"/>
      <c r="C14" s="14" t="n"/>
      <c r="D14" s="9" t="n"/>
      <c r="E14" s="13" t="n"/>
      <c r="F14" s="13" t="n"/>
      <c r="G14" s="9" t="n"/>
      <c r="H14" s="10" t="n"/>
      <c r="I14" s="13" t="n"/>
      <c r="J14" s="12" t="n"/>
    </row>
    <row r="15">
      <c r="A15" s="12" t="n"/>
      <c r="B15" s="10" t="n"/>
      <c r="C15" s="12" t="n"/>
      <c r="D15" s="12" t="n"/>
      <c r="E15" s="11" t="n"/>
      <c r="F15" s="15" t="n"/>
      <c r="G15" s="10" t="n"/>
      <c r="H15" s="12" t="n"/>
      <c r="I15" s="15" t="n"/>
      <c r="J15" s="10" t="n"/>
    </row>
    <row r="16">
      <c r="A16" s="10" t="n"/>
      <c r="B16" s="17" t="n"/>
      <c r="C16" s="15" t="n"/>
      <c r="D16" s="12" t="n"/>
      <c r="E16" s="10" t="n"/>
      <c r="F16" s="9" t="n"/>
      <c r="G16" s="9" t="n"/>
      <c r="H16" s="13" t="n"/>
      <c r="I16" s="12" t="n"/>
      <c r="J16" s="9" t="n"/>
    </row>
    <row r="17" ht="5.15" customHeight="1">
      <c r="A17" s="13" t="n"/>
      <c r="B17" s="10" t="n"/>
      <c r="C17" s="16" t="n"/>
      <c r="D17" s="13" t="n"/>
      <c r="E17" s="17" t="n"/>
      <c r="F17" s="16" t="n"/>
      <c r="G17" s="11" t="n"/>
      <c r="H17" s="10" t="n"/>
      <c r="I17" s="9" t="n"/>
      <c r="J17" s="16" t="n"/>
    </row>
    <row r="18">
      <c r="A18" s="14" t="n"/>
      <c r="B18" s="9" t="n"/>
      <c r="C18" s="17" t="n"/>
      <c r="D18" s="9" t="n"/>
      <c r="E18" s="11" t="n"/>
      <c r="F18" s="11" t="n"/>
      <c r="G18" s="12" t="n"/>
      <c r="H18" s="10" t="n"/>
      <c r="I18" s="15" t="n"/>
      <c r="J18" s="13" t="n"/>
    </row>
    <row r="19">
      <c r="A19" s="14" t="n"/>
      <c r="B19" s="12" t="n"/>
      <c r="C19" s="17" t="n"/>
      <c r="D19" s="12" t="n"/>
      <c r="E19" s="11" t="n"/>
      <c r="F19" s="14" t="n"/>
      <c r="G19" s="13" t="n"/>
      <c r="H19" s="12" t="n"/>
      <c r="I19" s="13" t="n"/>
      <c r="J19" s="16" t="n"/>
    </row>
    <row r="20">
      <c r="A20" s="15" t="n"/>
      <c r="B20" s="16" t="n"/>
      <c r="C20" s="17" t="n"/>
      <c r="D20" s="17" t="n"/>
      <c r="E20" s="16" t="n"/>
      <c r="F20" s="17" t="n"/>
      <c r="G20" s="10" t="n"/>
      <c r="H20" s="14" t="n"/>
      <c r="I20" s="13" t="n"/>
      <c r="J20" s="16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G36" sqref="G36"/>
    </sheetView>
  </sheetViews>
  <sheetFormatPr baseColWidth="8" defaultRowHeight="14.5"/>
  <cols>
    <col width="13.1796875" bestFit="1" customWidth="1" min="1" max="1"/>
    <col width="20.90625" bestFit="1" customWidth="1" min="2" max="2"/>
    <col width="18.453125" bestFit="1" customWidth="1" min="3" max="3"/>
    <col width="6.81640625" bestFit="1" customWidth="1" min="4" max="4"/>
    <col width="7.1796875" bestFit="1" customWidth="1" min="5" max="5"/>
    <col width="7.7265625" bestFit="1" customWidth="1" min="6" max="6"/>
  </cols>
  <sheetData>
    <row r="1"/>
    <row r="3">
      <c r="A3" s="6" t="inlineStr">
        <is>
          <t>Sum of Sales</t>
        </is>
      </c>
      <c r="C3" s="6" t="inlineStr">
        <is>
          <t>Coffee Type Name</t>
        </is>
      </c>
    </row>
    <row r="4">
      <c r="A4" s="6" t="inlineStr">
        <is>
          <t>Years (Order Date)</t>
        </is>
      </c>
      <c r="B4" s="6" t="inlineStr">
        <is>
          <t>Months (Order Date)</t>
        </is>
      </c>
      <c r="C4" t="inlineStr">
        <is>
          <t>Arabica</t>
        </is>
      </c>
      <c r="D4" t="inlineStr">
        <is>
          <t>Excelsa</t>
        </is>
      </c>
      <c r="E4" t="inlineStr">
        <is>
          <t>Liberica</t>
        </is>
      </c>
      <c r="F4" t="inlineStr">
        <is>
          <t>Robusta</t>
        </is>
      </c>
    </row>
    <row r="5">
      <c r="A5" t="inlineStr">
        <is>
          <t>2019</t>
        </is>
      </c>
      <c r="B5" t="inlineStr">
        <is>
          <t>Jan</t>
        </is>
      </c>
      <c r="C5" s="7" t="n">
        <v>186.855</v>
      </c>
      <c r="D5" s="7" t="n">
        <v>305.97</v>
      </c>
      <c r="E5" s="7" t="n">
        <v>213.16</v>
      </c>
      <c r="F5" s="7" t="n">
        <v>123</v>
      </c>
    </row>
    <row r="6">
      <c r="B6" t="inlineStr">
        <is>
          <t>Feb</t>
        </is>
      </c>
      <c r="C6" s="7" t="n">
        <v>251.965</v>
      </c>
      <c r="D6" s="7" t="n">
        <v>129.46</v>
      </c>
      <c r="E6" s="7" t="n">
        <v>434.04</v>
      </c>
      <c r="F6" s="7" t="n">
        <v>171.94</v>
      </c>
    </row>
    <row r="7">
      <c r="B7" t="inlineStr">
        <is>
          <t>Mar</t>
        </is>
      </c>
      <c r="C7" s="7" t="n">
        <v>224.945</v>
      </c>
      <c r="D7" s="7" t="n">
        <v>349.12</v>
      </c>
      <c r="E7" s="7" t="n">
        <v>321.04</v>
      </c>
      <c r="F7" s="7" t="n">
        <v>126.035</v>
      </c>
    </row>
    <row r="8">
      <c r="B8" t="inlineStr">
        <is>
          <t>Apr</t>
        </is>
      </c>
      <c r="C8" s="7" t="n">
        <v>307.12</v>
      </c>
      <c r="D8" s="7" t="n">
        <v>681.0749999999999</v>
      </c>
      <c r="E8" s="7" t="n">
        <v>533.7049999999999</v>
      </c>
      <c r="F8" s="7" t="n">
        <v>158.85</v>
      </c>
    </row>
    <row r="9">
      <c r="B9" t="inlineStr">
        <is>
          <t>May</t>
        </is>
      </c>
      <c r="C9" s="7" t="n">
        <v>53.66499999999999</v>
      </c>
      <c r="D9" s="7" t="n">
        <v>83.02500000000001</v>
      </c>
      <c r="E9" s="7" t="n">
        <v>193.835</v>
      </c>
      <c r="F9" s="7" t="n">
        <v>68.03999999999999</v>
      </c>
    </row>
    <row r="10">
      <c r="B10" t="inlineStr">
        <is>
          <t>Jun</t>
        </is>
      </c>
      <c r="C10" s="7" t="n">
        <v>163.02</v>
      </c>
      <c r="D10" s="7" t="n">
        <v>678.3599999999999</v>
      </c>
      <c r="E10" s="7" t="n">
        <v>171.045</v>
      </c>
      <c r="F10" s="7" t="n">
        <v>372.255</v>
      </c>
    </row>
    <row r="11">
      <c r="B11" t="inlineStr">
        <is>
          <t>Jul</t>
        </is>
      </c>
      <c r="C11" s="7" t="n">
        <v>345.02</v>
      </c>
      <c r="D11" s="7" t="n">
        <v>273.8699999999999</v>
      </c>
      <c r="E11" s="7" t="n">
        <v>184.13</v>
      </c>
      <c r="F11" s="7" t="n">
        <v>201.115</v>
      </c>
    </row>
    <row r="12">
      <c r="B12" t="inlineStr">
        <is>
          <t>Aug</t>
        </is>
      </c>
      <c r="C12" s="7" t="n">
        <v>334.89</v>
      </c>
      <c r="D12" s="7" t="n">
        <v>70.95</v>
      </c>
      <c r="E12" s="7" t="n">
        <v>134.23</v>
      </c>
      <c r="F12" s="7" t="n">
        <v>166.275</v>
      </c>
    </row>
    <row r="13">
      <c r="B13" t="inlineStr">
        <is>
          <t>Sep</t>
        </is>
      </c>
      <c r="C13" s="7" t="n">
        <v>178.71</v>
      </c>
      <c r="D13" s="7" t="n">
        <v>166.1</v>
      </c>
      <c r="E13" s="7" t="n">
        <v>439.3099999999999</v>
      </c>
      <c r="F13" s="7" t="n">
        <v>492.9</v>
      </c>
    </row>
    <row r="14">
      <c r="B14" t="inlineStr">
        <is>
          <t>Oct</t>
        </is>
      </c>
      <c r="C14" s="7" t="n">
        <v>301.985</v>
      </c>
      <c r="D14" s="7" t="n">
        <v>153.765</v>
      </c>
      <c r="E14" s="7" t="n">
        <v>215.555</v>
      </c>
      <c r="F14" s="7" t="n">
        <v>213.665</v>
      </c>
    </row>
    <row r="15">
      <c r="B15" t="inlineStr">
        <is>
          <t>Nov</t>
        </is>
      </c>
      <c r="C15" s="7" t="n">
        <v>312.835</v>
      </c>
      <c r="D15" s="7" t="n">
        <v>63.24999999999999</v>
      </c>
      <c r="E15" s="7" t="n">
        <v>350.895</v>
      </c>
      <c r="F15" s="7" t="n">
        <v>96.405</v>
      </c>
    </row>
    <row r="16">
      <c r="B16" t="inlineStr">
        <is>
          <t>Dec</t>
        </is>
      </c>
      <c r="C16" s="7" t="n">
        <v>265.62</v>
      </c>
      <c r="D16" s="7" t="n">
        <v>526.5149999999999</v>
      </c>
      <c r="E16" s="7" t="n">
        <v>187.06</v>
      </c>
      <c r="F16" s="7" t="n">
        <v>210.59</v>
      </c>
    </row>
    <row r="17">
      <c r="A17" t="inlineStr">
        <is>
          <t>2020</t>
        </is>
      </c>
      <c r="B17" t="inlineStr">
        <is>
          <t>Jan</t>
        </is>
      </c>
      <c r="C17" s="7" t="n">
        <v>47.25</v>
      </c>
      <c r="D17" s="7" t="n">
        <v>65.80500000000001</v>
      </c>
      <c r="E17" s="7" t="n">
        <v>274.675</v>
      </c>
      <c r="F17" s="7" t="n">
        <v>179.22</v>
      </c>
    </row>
    <row r="18">
      <c r="B18" t="inlineStr">
        <is>
          <t>Feb</t>
        </is>
      </c>
      <c r="C18" s="7" t="n">
        <v>745.4499999999999</v>
      </c>
      <c r="D18" s="7" t="n">
        <v>428.885</v>
      </c>
      <c r="E18" s="7" t="n">
        <v>194.175</v>
      </c>
      <c r="F18" s="7" t="n">
        <v>429.8299999999999</v>
      </c>
    </row>
    <row r="19">
      <c r="B19" t="inlineStr">
        <is>
          <t>Mar</t>
        </is>
      </c>
      <c r="C19" s="7" t="n">
        <v>130.47</v>
      </c>
      <c r="D19" s="7" t="n">
        <v>271.485</v>
      </c>
      <c r="E19" s="7" t="n">
        <v>281.205</v>
      </c>
      <c r="F19" s="7" t="n">
        <v>231.63</v>
      </c>
    </row>
    <row r="20">
      <c r="B20" t="inlineStr">
        <is>
          <t>Apr</t>
        </is>
      </c>
      <c r="C20" s="7" t="n">
        <v>27</v>
      </c>
      <c r="D20" s="7" t="n">
        <v>347.26</v>
      </c>
      <c r="E20" s="7" t="n">
        <v>147.51</v>
      </c>
      <c r="F20" s="7" t="n">
        <v>240.04</v>
      </c>
    </row>
    <row r="21">
      <c r="B21" t="inlineStr">
        <is>
          <t>May</t>
        </is>
      </c>
      <c r="C21" s="7" t="n">
        <v>255.115</v>
      </c>
      <c r="D21" s="7" t="n">
        <v>541.73</v>
      </c>
      <c r="E21" s="7" t="n">
        <v>83.43000000000001</v>
      </c>
      <c r="F21" s="7" t="n">
        <v>59.07999999999999</v>
      </c>
    </row>
    <row r="22">
      <c r="B22" t="inlineStr">
        <is>
          <t>Jun</t>
        </is>
      </c>
      <c r="C22" s="7" t="n">
        <v>584.7899999999998</v>
      </c>
      <c r="D22" s="7" t="n">
        <v>357.4299999999999</v>
      </c>
      <c r="E22" s="7" t="n">
        <v>355.34</v>
      </c>
      <c r="F22" s="7" t="n">
        <v>140.88</v>
      </c>
    </row>
    <row r="23">
      <c r="B23" t="inlineStr">
        <is>
          <t>Jul</t>
        </is>
      </c>
      <c r="C23" s="7" t="n">
        <v>430.62</v>
      </c>
      <c r="D23" s="7" t="n">
        <v>227.425</v>
      </c>
      <c r="E23" s="7" t="n">
        <v>236.315</v>
      </c>
      <c r="F23" s="7" t="n">
        <v>414.5849999999999</v>
      </c>
    </row>
    <row r="24">
      <c r="B24" t="inlineStr">
        <is>
          <t>Aug</t>
        </is>
      </c>
      <c r="C24" s="7" t="n">
        <v>22.5</v>
      </c>
      <c r="D24" s="7" t="n">
        <v>77.72</v>
      </c>
      <c r="E24" s="7" t="n">
        <v>60.5</v>
      </c>
      <c r="F24" s="7" t="n">
        <v>139.68</v>
      </c>
    </row>
    <row r="25">
      <c r="B25" t="inlineStr">
        <is>
          <t>Sep</t>
        </is>
      </c>
      <c r="C25" s="7" t="n">
        <v>126.15</v>
      </c>
      <c r="D25" s="7" t="n">
        <v>195.11</v>
      </c>
      <c r="E25" s="7" t="n">
        <v>89.13</v>
      </c>
      <c r="F25" s="7" t="n">
        <v>302.66</v>
      </c>
    </row>
    <row r="26">
      <c r="B26" t="inlineStr">
        <is>
          <t>Oct</t>
        </is>
      </c>
      <c r="C26" s="7" t="n">
        <v>376.03</v>
      </c>
      <c r="D26" s="7" t="n">
        <v>523.24</v>
      </c>
      <c r="E26" s="7" t="n">
        <v>440.965</v>
      </c>
      <c r="F26" s="7" t="n">
        <v>174.47</v>
      </c>
    </row>
    <row r="27">
      <c r="B27" t="inlineStr">
        <is>
          <t>Nov</t>
        </is>
      </c>
      <c r="C27" s="7" t="n">
        <v>515.1799999999999</v>
      </c>
      <c r="D27" s="7" t="n">
        <v>142.56</v>
      </c>
      <c r="E27" s="7" t="n">
        <v>347.04</v>
      </c>
      <c r="F27" s="7" t="n">
        <v>104.085</v>
      </c>
    </row>
    <row r="28">
      <c r="B28" t="inlineStr">
        <is>
          <t>Dec</t>
        </is>
      </c>
      <c r="C28" s="7" t="n">
        <v>95.85999999999999</v>
      </c>
      <c r="D28" s="7" t="n">
        <v>484.76</v>
      </c>
      <c r="E28" s="7" t="n">
        <v>94.17</v>
      </c>
      <c r="F28" s="7" t="n">
        <v>77.10499999999999</v>
      </c>
    </row>
    <row r="29">
      <c r="A29" t="inlineStr">
        <is>
          <t>2021</t>
        </is>
      </c>
      <c r="B29" t="inlineStr">
        <is>
          <t>Jan</t>
        </is>
      </c>
      <c r="C29" s="7" t="n">
        <v>258.345</v>
      </c>
      <c r="D29" s="7" t="n">
        <v>139.625</v>
      </c>
      <c r="E29" s="7" t="n">
        <v>279.52</v>
      </c>
      <c r="F29" s="7" t="n">
        <v>160.195</v>
      </c>
    </row>
    <row r="30">
      <c r="B30" t="inlineStr">
        <is>
          <t>Feb</t>
        </is>
      </c>
      <c r="C30" s="7" t="n">
        <v>342.2</v>
      </c>
      <c r="D30" s="7" t="n">
        <v>284.2499999999999</v>
      </c>
      <c r="E30" s="7" t="n">
        <v>251.83</v>
      </c>
      <c r="F30" s="7" t="n">
        <v>80.55000000000001</v>
      </c>
    </row>
    <row r="31">
      <c r="B31" t="inlineStr">
        <is>
          <t>Mar</t>
        </is>
      </c>
      <c r="C31" s="7" t="n">
        <v>418.3049999999999</v>
      </c>
      <c r="D31" s="7" t="n">
        <v>468.125</v>
      </c>
      <c r="E31" s="7" t="n">
        <v>405.0550000000001</v>
      </c>
      <c r="F31" s="7" t="n">
        <v>253.155</v>
      </c>
    </row>
    <row r="32">
      <c r="B32" t="inlineStr">
        <is>
          <t>Apr</t>
        </is>
      </c>
      <c r="C32" s="7" t="n">
        <v>102.33</v>
      </c>
      <c r="D32" s="7" t="n">
        <v>242.14</v>
      </c>
      <c r="E32" s="7" t="n">
        <v>554.875</v>
      </c>
      <c r="F32" s="7" t="n">
        <v>106.24</v>
      </c>
    </row>
    <row r="33">
      <c r="B33" t="inlineStr">
        <is>
          <t>May</t>
        </is>
      </c>
      <c r="C33" s="7" t="n">
        <v>234.72</v>
      </c>
      <c r="D33" s="7" t="n">
        <v>133.08</v>
      </c>
      <c r="E33" s="7" t="n">
        <v>267.2</v>
      </c>
      <c r="F33" s="7" t="n">
        <v>272.6899999999999</v>
      </c>
    </row>
    <row r="34">
      <c r="B34" t="inlineStr">
        <is>
          <t>Jun</t>
        </is>
      </c>
      <c r="C34" s="7" t="n">
        <v>430.39</v>
      </c>
      <c r="D34" s="7" t="n">
        <v>136.205</v>
      </c>
      <c r="E34" s="7" t="n">
        <v>209.6</v>
      </c>
      <c r="F34" s="7" t="n">
        <v>88.33499999999999</v>
      </c>
    </row>
    <row r="35">
      <c r="B35" t="inlineStr">
        <is>
          <t>Jul</t>
        </is>
      </c>
      <c r="C35" s="7" t="n">
        <v>109.005</v>
      </c>
      <c r="D35" s="7" t="n">
        <v>393.575</v>
      </c>
      <c r="E35" s="7" t="n">
        <v>61.035</v>
      </c>
      <c r="F35" s="7" t="n">
        <v>199.49</v>
      </c>
    </row>
    <row r="36">
      <c r="B36" t="inlineStr">
        <is>
          <t>Aug</t>
        </is>
      </c>
      <c r="C36" s="7" t="n">
        <v>287.525</v>
      </c>
      <c r="D36" s="7" t="n">
        <v>288.67</v>
      </c>
      <c r="E36" s="7" t="n">
        <v>125.58</v>
      </c>
      <c r="F36" s="7" t="n">
        <v>374.135</v>
      </c>
    </row>
    <row r="37">
      <c r="B37" t="inlineStr">
        <is>
          <t>Sep</t>
        </is>
      </c>
      <c r="C37" s="7" t="n">
        <v>840.9299999999998</v>
      </c>
      <c r="D37" s="7" t="n">
        <v>409.875</v>
      </c>
      <c r="E37" s="7" t="n">
        <v>171.33</v>
      </c>
      <c r="F37" s="7" t="n">
        <v>221.44</v>
      </c>
    </row>
    <row r="38">
      <c r="B38" t="inlineStr">
        <is>
          <t>Oct</t>
        </is>
      </c>
      <c r="C38" s="7" t="n">
        <v>299.07</v>
      </c>
      <c r="D38" s="7" t="n">
        <v>260.325</v>
      </c>
      <c r="E38" s="7" t="n">
        <v>584.64</v>
      </c>
      <c r="F38" s="7" t="n">
        <v>256.365</v>
      </c>
    </row>
    <row r="39">
      <c r="B39" t="inlineStr">
        <is>
          <t>Nov</t>
        </is>
      </c>
      <c r="C39" s="7" t="n">
        <v>323.325</v>
      </c>
      <c r="D39" s="7" t="n">
        <v>565.5700000000001</v>
      </c>
      <c r="E39" s="7" t="n">
        <v>537.8099999999999</v>
      </c>
      <c r="F39" s="7" t="n">
        <v>189.475</v>
      </c>
    </row>
    <row r="40">
      <c r="B40" t="inlineStr">
        <is>
          <t>Dec</t>
        </is>
      </c>
      <c r="C40" s="7" t="n">
        <v>399.485</v>
      </c>
      <c r="D40" s="7" t="n">
        <v>148.2</v>
      </c>
      <c r="E40" s="7" t="n">
        <v>388.22</v>
      </c>
      <c r="F40" s="7" t="n">
        <v>212.075</v>
      </c>
    </row>
    <row r="41">
      <c r="A41" t="inlineStr">
        <is>
          <t>2022</t>
        </is>
      </c>
      <c r="B41" t="inlineStr">
        <is>
          <t>Jan</t>
        </is>
      </c>
      <c r="C41" s="7" t="n">
        <v>112.695</v>
      </c>
      <c r="D41" s="7" t="n">
        <v>166.32</v>
      </c>
      <c r="E41" s="7" t="n">
        <v>843.7149999999999</v>
      </c>
      <c r="F41" s="7" t="n">
        <v>146.685</v>
      </c>
    </row>
    <row r="42">
      <c r="B42" t="inlineStr">
        <is>
          <t>Feb</t>
        </is>
      </c>
      <c r="C42" s="7" t="n">
        <v>114.88</v>
      </c>
      <c r="D42" s="7" t="n">
        <v>133.815</v>
      </c>
      <c r="E42" s="7" t="n">
        <v>91.17500000000001</v>
      </c>
      <c r="F42" s="7" t="n">
        <v>53.75999999999999</v>
      </c>
    </row>
    <row r="43">
      <c r="B43" t="inlineStr">
        <is>
          <t>Mar</t>
        </is>
      </c>
      <c r="C43" s="7" t="n">
        <v>277.76</v>
      </c>
      <c r="D43" s="7" t="n">
        <v>175.41</v>
      </c>
      <c r="E43" s="7" t="n">
        <v>462.5099999999999</v>
      </c>
      <c r="F43" s="7" t="n">
        <v>399.525</v>
      </c>
    </row>
    <row r="44">
      <c r="B44" t="inlineStr">
        <is>
          <t>Apr</t>
        </is>
      </c>
      <c r="C44" s="7" t="n">
        <v>197.895</v>
      </c>
      <c r="D44" s="7" t="n">
        <v>289.755</v>
      </c>
      <c r="E44" s="7" t="n">
        <v>88.545</v>
      </c>
      <c r="F44" s="7" t="n">
        <v>200.255</v>
      </c>
    </row>
    <row r="45">
      <c r="B45" t="inlineStr">
        <is>
          <t>May</t>
        </is>
      </c>
      <c r="C45" s="7" t="n">
        <v>193.115</v>
      </c>
      <c r="D45" s="7" t="n">
        <v>212.495</v>
      </c>
      <c r="E45" s="7" t="n">
        <v>292.29</v>
      </c>
      <c r="F45" s="7" t="n">
        <v>304.47</v>
      </c>
    </row>
    <row r="46">
      <c r="B46" t="inlineStr">
        <is>
          <t>Jun</t>
        </is>
      </c>
      <c r="C46" s="7" t="n">
        <v>179.79</v>
      </c>
      <c r="D46" s="7" t="n">
        <v>426.2</v>
      </c>
      <c r="E46" s="7" t="n">
        <v>170.09</v>
      </c>
      <c r="F46" s="7" t="n">
        <v>379.31</v>
      </c>
    </row>
    <row r="47">
      <c r="B47" t="inlineStr">
        <is>
          <t>Jul</t>
        </is>
      </c>
      <c r="C47" s="7" t="n">
        <v>247.29</v>
      </c>
      <c r="D47" s="7" t="n">
        <v>246.685</v>
      </c>
      <c r="E47" s="7" t="n">
        <v>271.0549999999999</v>
      </c>
      <c r="F47" s="7" t="n">
        <v>141.7</v>
      </c>
    </row>
    <row r="48">
      <c r="B48" t="inlineStr">
        <is>
          <t>Aug</t>
        </is>
      </c>
      <c r="C48" s="7" t="n">
        <v>116.395</v>
      </c>
      <c r="D48" s="7" t="n">
        <v>41.25</v>
      </c>
      <c r="E48" s="7" t="n">
        <v>15.54</v>
      </c>
      <c r="F48" s="7" t="n">
        <v>71.06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F34" sqref="F34"/>
    </sheetView>
  </sheetViews>
  <sheetFormatPr baseColWidth="8" defaultRowHeight="14.5"/>
  <cols>
    <col width="14.1796875" bestFit="1" customWidth="1" min="1" max="1"/>
    <col width="11.26953125" bestFit="1" customWidth="1" min="2" max="2"/>
    <col width="7.453125" bestFit="1" customWidth="1" min="3" max="3"/>
    <col width="7.81640625" bestFit="1" customWidth="1" min="4" max="4"/>
    <col width="8.1796875" bestFit="1" customWidth="1" min="5" max="6"/>
  </cols>
  <sheetData>
    <row r="1"/>
    <row r="3">
      <c r="A3" s="6" t="inlineStr">
        <is>
          <t>Country</t>
        </is>
      </c>
      <c r="B3" t="inlineStr">
        <is>
          <t>Sum of Sales</t>
        </is>
      </c>
    </row>
    <row r="4">
      <c r="A4" t="inlineStr">
        <is>
          <t>United Kingdom</t>
        </is>
      </c>
      <c r="B4" s="8" t="n">
        <v>2798.505</v>
      </c>
    </row>
    <row r="5">
      <c r="A5" t="inlineStr">
        <is>
          <t>Ireland</t>
        </is>
      </c>
      <c r="B5" s="8" t="n">
        <v>6696.864999999999</v>
      </c>
    </row>
    <row r="6">
      <c r="A6" t="inlineStr">
        <is>
          <t>United States</t>
        </is>
      </c>
      <c r="B6" s="8" t="n">
        <v>35638.88499999998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R21" sqref="R21"/>
    </sheetView>
  </sheetViews>
  <sheetFormatPr baseColWidth="8" defaultRowHeight="14.5"/>
  <cols>
    <col width="16.7265625" bestFit="1" customWidth="1" min="1" max="1"/>
    <col width="11.26953125" bestFit="1" customWidth="1" min="2" max="2"/>
    <col width="7.453125" bestFit="1" customWidth="1" min="3" max="3"/>
    <col width="7.81640625" bestFit="1" customWidth="1" min="4" max="4"/>
    <col width="8.1796875" bestFit="1" customWidth="1" min="5" max="6"/>
  </cols>
  <sheetData>
    <row r="1"/>
    <row r="3">
      <c r="A3" s="6" t="inlineStr">
        <is>
          <t>Customer Name</t>
        </is>
      </c>
      <c r="B3" t="inlineStr">
        <is>
          <t>Sum of Sales</t>
        </is>
      </c>
    </row>
    <row r="4">
      <c r="A4" t="inlineStr">
        <is>
          <t>Don Flintiff</t>
        </is>
      </c>
      <c r="B4" s="8" t="n">
        <v>278.01</v>
      </c>
    </row>
    <row r="5">
      <c r="A5" t="inlineStr">
        <is>
          <t>Nealson Cuttler</t>
        </is>
      </c>
      <c r="B5" s="8" t="n">
        <v>281.675</v>
      </c>
    </row>
    <row r="6">
      <c r="A6" t="inlineStr">
        <is>
          <t>Terri Farra</t>
        </is>
      </c>
      <c r="B6" s="8" t="n">
        <v>289.11</v>
      </c>
    </row>
    <row r="7">
      <c r="A7" t="inlineStr">
        <is>
          <t>Brenn Dundredge</t>
        </is>
      </c>
      <c r="B7" s="8" t="n">
        <v>307.045</v>
      </c>
    </row>
    <row r="8">
      <c r="A8" t="inlineStr">
        <is>
          <t>Allis Wilmore</t>
        </is>
      </c>
      <c r="B8" s="8" t="n">
        <v>317.0699999999999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01"/>
  <sheetViews>
    <sheetView topLeftCell="C1" zoomScale="115" zoomScaleNormal="115" workbookViewId="0">
      <selection activeCell="N3" sqref="N3"/>
    </sheetView>
  </sheetViews>
  <sheetFormatPr baseColWidth="8" defaultRowHeight="14.5"/>
  <cols>
    <col width="16.54296875" bestFit="1" customWidth="1" min="1" max="1"/>
    <col width="13" bestFit="1" customWidth="1" min="2" max="2"/>
    <col width="17.453125" bestFit="1" customWidth="1" min="3" max="3"/>
    <col width="12" customWidth="1" min="4" max="4"/>
    <col width="10.453125" customWidth="1" min="5" max="5"/>
    <col width="23.7265625" bestFit="1" customWidth="1" min="6" max="6"/>
    <col width="39.453125" bestFit="1" customWidth="1" min="7" max="7"/>
    <col width="12.81640625" bestFit="1" customWidth="1" min="8" max="8"/>
    <col width="13.1796875" customWidth="1" min="9" max="9"/>
    <col width="12.453125" customWidth="1" min="10" max="10"/>
    <col width="6.26953125" bestFit="1" customWidth="1" min="11" max="11"/>
    <col width="11.26953125" customWidth="1" min="12" max="12"/>
    <col width="10.54296875" customWidth="1" min="13" max="13"/>
    <col width="18.81640625" customWidth="1" min="14" max="14"/>
    <col width="18.1796875" customWidth="1" min="15" max="15"/>
    <col width="14" bestFit="1" customWidth="1" min="16" max="16"/>
  </cols>
  <sheetData>
    <row r="1">
      <c r="A1" s="2" t="inlineStr">
        <is>
          <t>Order ID</t>
        </is>
      </c>
      <c r="B1" s="2" t="inlineStr">
        <is>
          <t>Order Date</t>
        </is>
      </c>
      <c r="C1" s="2" t="inlineStr">
        <is>
          <t>Customer ID</t>
        </is>
      </c>
      <c r="D1" s="2" t="inlineStr">
        <is>
          <t>Product ID</t>
        </is>
      </c>
      <c r="E1" s="2" t="inlineStr">
        <is>
          <t>Quantity</t>
        </is>
      </c>
      <c r="F1" s="2" t="inlineStr">
        <is>
          <t>Customer Name</t>
        </is>
      </c>
      <c r="G1" s="2" t="inlineStr">
        <is>
          <t>Email</t>
        </is>
      </c>
      <c r="H1" s="2" t="inlineStr">
        <is>
          <t>Country</t>
        </is>
      </c>
      <c r="I1" s="2" t="inlineStr">
        <is>
          <t>Coffee Type</t>
        </is>
      </c>
      <c r="J1" s="2" t="inlineStr">
        <is>
          <t>Roast Type</t>
        </is>
      </c>
      <c r="K1" s="2" t="inlineStr">
        <is>
          <t>Size</t>
        </is>
      </c>
      <c r="L1" s="2" t="inlineStr">
        <is>
          <t>Unit Price</t>
        </is>
      </c>
      <c r="M1" s="2" t="inlineStr">
        <is>
          <t>Sales</t>
        </is>
      </c>
      <c r="N1" s="2" t="inlineStr">
        <is>
          <t>Coffee Type Name</t>
        </is>
      </c>
      <c r="O1" s="2" t="inlineStr">
        <is>
          <t>Roast Type Name</t>
        </is>
      </c>
      <c r="P1" s="2" t="inlineStr">
        <is>
          <t>Loyalty Card</t>
        </is>
      </c>
    </row>
    <row r="2">
      <c r="A2" s="2" t="inlineStr">
        <is>
          <t>O8349</t>
        </is>
      </c>
      <c r="B2" s="3" t="inlineStr">
        <is>
          <t>2024-01-18</t>
        </is>
      </c>
      <c r="C2" s="2" t="inlineStr">
        <is>
          <t>O8889</t>
        </is>
      </c>
      <c r="D2" t="inlineStr">
        <is>
          <t>O9079</t>
        </is>
      </c>
      <c r="E2" s="2" t="n">
        <v>32</v>
      </c>
      <c r="F2" s="2">
        <f>_xlfn.XLOOKUP(C2,customers!$A$1:$A$1001,customers!$B$1:$B$1001,,0)</f>
        <v/>
      </c>
      <c r="G2" s="2">
        <f>IF(_xlfn.XLOOKUP(C2,customers!$A$1:$A$1001,customers!$C$1:$C$1001,,0)=0,"",_xlfn.XLOOKUP(C2,customers!$A$1:$A$1001,customers!$C$1:$C$1001,,0))</f>
        <v/>
      </c>
      <c r="H2" s="2">
        <f>_xlfn.XLOOKUP(C2,customers!$A$1:$A$1001,customers!$G$1:$G$1001,,0)</f>
        <v/>
      </c>
      <c r="I2">
        <f>INDEX(products!$A$1:$G$49,MATCH(orders!$D2,products!$A$1:$A$49,0),MATCH(orders!I$1,products!$A$1:$G$1,0))</f>
        <v/>
      </c>
      <c r="J2">
        <f>INDEX(products!$A$1:$G$49,MATCH(orders!$D2,products!$A$1:$A$49,0),MATCH(orders!J$1,products!$A$1:$G$1,0))</f>
        <v/>
      </c>
      <c r="K2" s="4">
        <f>INDEX(products!$A$1:$G$49,MATCH(orders!$D2,products!$A$1:$A$49,0),MATCH(orders!K$1,products!$A$1:$G$1,0))</f>
        <v/>
      </c>
      <c r="L2" s="5">
        <f>INDEX(products!$A$1:$G$49,MATCH(orders!$D2,products!$A$1:$A$49,0),MATCH(orders!L$1,products!$A$1:$G$1,0))</f>
        <v/>
      </c>
      <c r="M2" s="5">
        <f>L2*E2</f>
        <v/>
      </c>
      <c r="N2">
        <f>IF(I2="Rob","Robusta",IF(I2="Exc","Excelsa",IF(I2="Ara","Arabica",IF(I2="Lib","Liberica",""))))</f>
        <v/>
      </c>
      <c r="O2">
        <f>IF(J2="M","Medium",IF(J2="L","Light",IF(J2="D","Dark","")))</f>
        <v/>
      </c>
      <c r="P2">
        <f>_xlfn.XLOOKUP(Orders[[#This Row],[Customer ID]],customers!$A$1:$A$1001,customers!$I$1:$I$1001,,0)</f>
        <v/>
      </c>
    </row>
    <row r="3">
      <c r="A3" s="2" t="inlineStr">
        <is>
          <t>O7319</t>
        </is>
      </c>
      <c r="B3" s="3" t="inlineStr">
        <is>
          <t>2023-07-28</t>
        </is>
      </c>
      <c r="C3" s="2" t="inlineStr">
        <is>
          <t>O5435</t>
        </is>
      </c>
      <c r="D3" t="inlineStr">
        <is>
          <t>O6541</t>
        </is>
      </c>
      <c r="E3" s="2" t="n">
        <v>265</v>
      </c>
      <c r="F3" s="2">
        <f>_xlfn.XLOOKUP(C3,customers!$A$1:$A$1001,customers!$B$1:$B$1001,,0)</f>
        <v/>
      </c>
      <c r="G3" s="2">
        <f>IF(_xlfn.XLOOKUP(C3,customers!$A$1:$A$1001,customers!$C$1:$C$1001,,0)=0,"",_xlfn.XLOOKUP(C3,customers!$A$1:$A$1001,customers!$C$1:$C$1001,,0))</f>
        <v/>
      </c>
      <c r="H3" s="2">
        <f>_xlfn.XLOOKUP(C3,customers!$A$1:$A$1001,customers!$G$1:$G$1001,,0)</f>
        <v/>
      </c>
      <c r="I3">
        <f>INDEX(products!$A$1:$G$49,MATCH(orders!$D3,products!$A$1:$A$49,0),MATCH(orders!I$1,products!$A$1:$G$1,0))</f>
        <v/>
      </c>
      <c r="J3">
        <f>INDEX(products!$A$1:$G$49,MATCH(orders!$D3,products!$A$1:$A$49,0),MATCH(orders!J$1,products!$A$1:$G$1,0))</f>
        <v/>
      </c>
      <c r="K3" s="4">
        <f>INDEX(products!$A$1:$G$49,MATCH(orders!$D3,products!$A$1:$A$49,0),MATCH(orders!K$1,products!$A$1:$G$1,0))</f>
        <v/>
      </c>
      <c r="L3" s="5">
        <f>INDEX(products!$A$1:$G$49,MATCH(orders!$D3,products!$A$1:$A$49,0),MATCH(orders!L$1,products!$A$1:$G$1,0))</f>
        <v/>
      </c>
      <c r="M3" s="5">
        <f>L3*E3</f>
        <v/>
      </c>
      <c r="N3">
        <f>IF(I3="Rob","Robusta",IF(I3="Exc","Excelsa",IF(I3="Ara","Arabica",IF(I3="Lib","Liberica",""))))</f>
        <v/>
      </c>
      <c r="O3">
        <f>IF(J3="M","Medium",IF(J3="L","Light",IF(J3="D","Dark","")))</f>
        <v/>
      </c>
      <c r="P3">
        <f>_xlfn.XLOOKUP(Orders[[#This Row],[Customer ID]],customers!$A$1:$A$1001,customers!$I$1:$I$1001,,0)</f>
        <v/>
      </c>
    </row>
    <row r="4">
      <c r="A4" s="2" t="inlineStr">
        <is>
          <t>O6076</t>
        </is>
      </c>
      <c r="B4" s="3" t="inlineStr">
        <is>
          <t>2023-08-20</t>
        </is>
      </c>
      <c r="C4" s="2" t="inlineStr">
        <is>
          <t>O1551</t>
        </is>
      </c>
      <c r="D4" t="inlineStr">
        <is>
          <t>O7841</t>
        </is>
      </c>
      <c r="E4" s="2" t="n">
        <v>15</v>
      </c>
      <c r="F4" s="2">
        <f>_xlfn.XLOOKUP(C4,customers!$A$1:$A$1001,customers!$B$1:$B$1001,,0)</f>
        <v/>
      </c>
      <c r="G4" s="2">
        <f>IF(_xlfn.XLOOKUP(C4,customers!$A$1:$A$1001,customers!$C$1:$C$1001,,0)=0,"",_xlfn.XLOOKUP(C4,customers!$A$1:$A$1001,customers!$C$1:$C$1001,,0))</f>
        <v/>
      </c>
      <c r="H4" s="2">
        <f>_xlfn.XLOOKUP(C4,customers!$A$1:$A$1001,customers!$G$1:$G$1001,,0)</f>
        <v/>
      </c>
      <c r="I4">
        <f>INDEX(products!$A$1:$G$49,MATCH(orders!$D4,products!$A$1:$A$49,0),MATCH(orders!I$1,products!$A$1:$G$1,0))</f>
        <v/>
      </c>
      <c r="J4">
        <f>INDEX(products!$A$1:$G$49,MATCH(orders!$D4,products!$A$1:$A$49,0),MATCH(orders!J$1,products!$A$1:$G$1,0))</f>
        <v/>
      </c>
      <c r="K4" s="4">
        <f>INDEX(products!$A$1:$G$49,MATCH(orders!$D4,products!$A$1:$A$49,0),MATCH(orders!K$1,products!$A$1:$G$1,0))</f>
        <v/>
      </c>
      <c r="L4" s="5">
        <f>INDEX(products!$A$1:$G$49,MATCH(orders!$D4,products!$A$1:$A$49,0),MATCH(orders!L$1,products!$A$1:$G$1,0))</f>
        <v/>
      </c>
      <c r="M4" s="5">
        <f>L4*E4</f>
        <v/>
      </c>
      <c r="N4">
        <f>IF(I4="Rob","Robusta",IF(I4="Exc","Excelsa",IF(I4="Ara","Arabica",IF(I4="Lib","Liberica",""))))</f>
        <v/>
      </c>
      <c r="O4">
        <f>IF(J4="M","Medium",IF(J4="L","Light",IF(J4="D","Dark","")))</f>
        <v/>
      </c>
      <c r="P4">
        <f>_xlfn.XLOOKUP(Orders[[#This Row],[Customer ID]],customers!$A$1:$A$1001,customers!$I$1:$I$1001,,0)</f>
        <v/>
      </c>
    </row>
    <row r="5">
      <c r="A5" s="2" t="inlineStr">
        <is>
          <t>O8601</t>
        </is>
      </c>
      <c r="B5" s="3" t="inlineStr">
        <is>
          <t>2025-07-12</t>
        </is>
      </c>
      <c r="C5" s="2" t="inlineStr">
        <is>
          <t>O7867</t>
        </is>
      </c>
      <c r="D5" t="inlineStr">
        <is>
          <t>O6609</t>
        </is>
      </c>
      <c r="E5" s="2" t="n">
        <v>79</v>
      </c>
      <c r="F5" s="2">
        <f>_xlfn.XLOOKUP(C5,customers!$A$1:$A$1001,customers!$B$1:$B$1001,,0)</f>
        <v/>
      </c>
      <c r="G5" s="2">
        <f>IF(_xlfn.XLOOKUP(C5,customers!$A$1:$A$1001,customers!$C$1:$C$1001,,0)=0,"",_xlfn.XLOOKUP(C5,customers!$A$1:$A$1001,customers!$C$1:$C$1001,,0))</f>
        <v/>
      </c>
      <c r="H5" s="2">
        <f>_xlfn.XLOOKUP(C5,customers!$A$1:$A$1001,customers!$G$1:$G$1001,,0)</f>
        <v/>
      </c>
      <c r="I5">
        <f>INDEX(products!$A$1:$G$49,MATCH(orders!$D5,products!$A$1:$A$49,0),MATCH(orders!I$1,products!$A$1:$G$1,0))</f>
        <v/>
      </c>
      <c r="J5">
        <f>INDEX(products!$A$1:$G$49,MATCH(orders!$D5,products!$A$1:$A$49,0),MATCH(orders!J$1,products!$A$1:$G$1,0))</f>
        <v/>
      </c>
      <c r="K5" s="4">
        <f>INDEX(products!$A$1:$G$49,MATCH(orders!$D5,products!$A$1:$A$49,0),MATCH(orders!K$1,products!$A$1:$G$1,0))</f>
        <v/>
      </c>
      <c r="L5" s="5">
        <f>INDEX(products!$A$1:$G$49,MATCH(orders!$D5,products!$A$1:$A$49,0),MATCH(orders!L$1,products!$A$1:$G$1,0))</f>
        <v/>
      </c>
      <c r="M5" s="5">
        <f>L5*E5</f>
        <v/>
      </c>
      <c r="N5">
        <f>IF(I5="Rob","Robusta",IF(I5="Exc","Excelsa",IF(I5="Ara","Arabica",IF(I5="Lib","Liberica",""))))</f>
        <v/>
      </c>
      <c r="O5">
        <f>IF(J5="M","Medium",IF(J5="L","Light",IF(J5="D","Dark","")))</f>
        <v/>
      </c>
      <c r="P5">
        <f>_xlfn.XLOOKUP(Orders[[#This Row],[Customer ID]],customers!$A$1:$A$1001,customers!$I$1:$I$1001,,0)</f>
        <v/>
      </c>
    </row>
    <row r="6">
      <c r="A6" s="2" t="inlineStr">
        <is>
          <t>O7007</t>
        </is>
      </c>
      <c r="B6" s="3" t="inlineStr">
        <is>
          <t>2024-06-05</t>
        </is>
      </c>
      <c r="C6" s="2" t="inlineStr">
        <is>
          <t>O1432</t>
        </is>
      </c>
      <c r="D6" t="inlineStr">
        <is>
          <t>O8803</t>
        </is>
      </c>
      <c r="E6" s="2" t="n">
        <v>157</v>
      </c>
      <c r="F6" s="2">
        <f>_xlfn.XLOOKUP(C6,customers!$A$1:$A$1001,customers!$B$1:$B$1001,,0)</f>
        <v/>
      </c>
      <c r="G6" s="2">
        <f>IF(_xlfn.XLOOKUP(C6,customers!$A$1:$A$1001,customers!$C$1:$C$1001,,0)=0,"",_xlfn.XLOOKUP(C6,customers!$A$1:$A$1001,customers!$C$1:$C$1001,,0))</f>
        <v/>
      </c>
      <c r="H6" s="2">
        <f>_xlfn.XLOOKUP(C6,customers!$A$1:$A$1001,customers!$G$1:$G$1001,,0)</f>
        <v/>
      </c>
      <c r="I6">
        <f>INDEX(products!$A$1:$G$49,MATCH(orders!$D6,products!$A$1:$A$49,0),MATCH(orders!I$1,products!$A$1:$G$1,0))</f>
        <v/>
      </c>
      <c r="J6">
        <f>INDEX(products!$A$1:$G$49,MATCH(orders!$D6,products!$A$1:$A$49,0),MATCH(orders!J$1,products!$A$1:$G$1,0))</f>
        <v/>
      </c>
      <c r="K6" s="4">
        <f>INDEX(products!$A$1:$G$49,MATCH(orders!$D6,products!$A$1:$A$49,0),MATCH(orders!K$1,products!$A$1:$G$1,0))</f>
        <v/>
      </c>
      <c r="L6" s="5">
        <f>INDEX(products!$A$1:$G$49,MATCH(orders!$D6,products!$A$1:$A$49,0),MATCH(orders!L$1,products!$A$1:$G$1,0))</f>
        <v/>
      </c>
      <c r="M6" s="5">
        <f>L6*E6</f>
        <v/>
      </c>
      <c r="N6">
        <f>IF(I6="Rob","Robusta",IF(I6="Exc","Excelsa",IF(I6="Ara","Arabica",IF(I6="Lib","Liberica",""))))</f>
        <v/>
      </c>
      <c r="O6">
        <f>IF(J6="M","Medium",IF(J6="L","Light",IF(J6="D","Dark","")))</f>
        <v/>
      </c>
      <c r="P6">
        <f>_xlfn.XLOOKUP(Orders[[#This Row],[Customer ID]],customers!$A$1:$A$1001,customers!$I$1:$I$1001,,0)</f>
        <v/>
      </c>
    </row>
    <row r="7">
      <c r="A7" s="2" t="inlineStr">
        <is>
          <t>O3562</t>
        </is>
      </c>
      <c r="B7" s="3" t="inlineStr">
        <is>
          <t>2022-12-31</t>
        </is>
      </c>
      <c r="C7" s="2" t="inlineStr">
        <is>
          <t>O1139</t>
        </is>
      </c>
      <c r="D7" t="inlineStr">
        <is>
          <t>O3683</t>
        </is>
      </c>
      <c r="E7" s="2" t="n">
        <v>95</v>
      </c>
      <c r="F7" s="2">
        <f>_xlfn.XLOOKUP(C7,customers!$A$1:$A$1001,customers!$B$1:$B$1001,,0)</f>
        <v/>
      </c>
      <c r="G7" s="2">
        <f>IF(_xlfn.XLOOKUP(C7,customers!$A$1:$A$1001,customers!$C$1:$C$1001,,0)=0,"",_xlfn.XLOOKUP(C7,customers!$A$1:$A$1001,customers!$C$1:$C$1001,,0))</f>
        <v/>
      </c>
      <c r="H7" s="2">
        <f>_xlfn.XLOOKUP(C7,customers!$A$1:$A$1001,customers!$G$1:$G$1001,,0)</f>
        <v/>
      </c>
      <c r="I7">
        <f>INDEX(products!$A$1:$G$49,MATCH(orders!$D7,products!$A$1:$A$49,0),MATCH(orders!I$1,products!$A$1:$G$1,0))</f>
        <v/>
      </c>
      <c r="J7">
        <f>INDEX(products!$A$1:$G$49,MATCH(orders!$D7,products!$A$1:$A$49,0),MATCH(orders!J$1,products!$A$1:$G$1,0))</f>
        <v/>
      </c>
      <c r="K7" s="4">
        <f>INDEX(products!$A$1:$G$49,MATCH(orders!$D7,products!$A$1:$A$49,0),MATCH(orders!K$1,products!$A$1:$G$1,0))</f>
        <v/>
      </c>
      <c r="L7" s="5">
        <f>INDEX(products!$A$1:$G$49,MATCH(orders!$D7,products!$A$1:$A$49,0),MATCH(orders!L$1,products!$A$1:$G$1,0))</f>
        <v/>
      </c>
      <c r="M7" s="5">
        <f>L7*E7</f>
        <v/>
      </c>
      <c r="N7">
        <f>IF(I7="Rob","Robusta",IF(I7="Exc","Excelsa",IF(I7="Ara","Arabica",IF(I7="Lib","Liberica",""))))</f>
        <v/>
      </c>
      <c r="O7">
        <f>IF(J7="M","Medium",IF(J7="L","Light",IF(J7="D","Dark","")))</f>
        <v/>
      </c>
      <c r="P7">
        <f>_xlfn.XLOOKUP(Orders[[#This Row],[Customer ID]],customers!$A$1:$A$1001,customers!$I$1:$I$1001,,0)</f>
        <v/>
      </c>
    </row>
    <row r="8">
      <c r="A8" s="2" t="inlineStr">
        <is>
          <t>O1622</t>
        </is>
      </c>
      <c r="B8" s="3" t="inlineStr">
        <is>
          <t>2020-05-22</t>
        </is>
      </c>
      <c r="C8" s="2" t="inlineStr">
        <is>
          <t>O9643</t>
        </is>
      </c>
      <c r="D8" t="inlineStr">
        <is>
          <t>O5137</t>
        </is>
      </c>
      <c r="E8" s="2" t="n">
        <v>341</v>
      </c>
      <c r="F8" s="2">
        <f>_xlfn.XLOOKUP(C8,customers!$A$1:$A$1001,customers!$B$1:$B$1001,,0)</f>
        <v/>
      </c>
      <c r="G8" s="2">
        <f>IF(_xlfn.XLOOKUP(C8,customers!$A$1:$A$1001,customers!$C$1:$C$1001,,0)=0,"",_xlfn.XLOOKUP(C8,customers!$A$1:$A$1001,customers!$C$1:$C$1001,,0))</f>
        <v/>
      </c>
      <c r="H8" s="2">
        <f>_xlfn.XLOOKUP(C8,customers!$A$1:$A$1001,customers!$G$1:$G$1001,,0)</f>
        <v/>
      </c>
      <c r="I8">
        <f>INDEX(products!$A$1:$G$49,MATCH(orders!$D8,products!$A$1:$A$49,0),MATCH(orders!I$1,products!$A$1:$G$1,0))</f>
        <v/>
      </c>
      <c r="J8">
        <f>INDEX(products!$A$1:$G$49,MATCH(orders!$D8,products!$A$1:$A$49,0),MATCH(orders!J$1,products!$A$1:$G$1,0))</f>
        <v/>
      </c>
      <c r="K8" s="4">
        <f>INDEX(products!$A$1:$G$49,MATCH(orders!$D8,products!$A$1:$A$49,0),MATCH(orders!K$1,products!$A$1:$G$1,0))</f>
        <v/>
      </c>
      <c r="L8" s="5">
        <f>INDEX(products!$A$1:$G$49,MATCH(orders!$D8,products!$A$1:$A$49,0),MATCH(orders!L$1,products!$A$1:$G$1,0))</f>
        <v/>
      </c>
      <c r="M8" s="5">
        <f>L8*E8</f>
        <v/>
      </c>
      <c r="N8">
        <f>IF(I8="Rob","Robusta",IF(I8="Exc","Excelsa",IF(I8="Ara","Arabica",IF(I8="Lib","Liberica",""))))</f>
        <v/>
      </c>
      <c r="O8">
        <f>IF(J8="M","Medium",IF(J8="L","Light",IF(J8="D","Dark","")))</f>
        <v/>
      </c>
      <c r="P8">
        <f>_xlfn.XLOOKUP(Orders[[#This Row],[Customer ID]],customers!$A$1:$A$1001,customers!$I$1:$I$1001,,0)</f>
        <v/>
      </c>
    </row>
    <row r="9">
      <c r="A9" s="2" t="inlineStr">
        <is>
          <t>O9014</t>
        </is>
      </c>
      <c r="B9" s="3" t="inlineStr">
        <is>
          <t>2023-01-13</t>
        </is>
      </c>
      <c r="C9" s="2" t="inlineStr">
        <is>
          <t>O4854</t>
        </is>
      </c>
      <c r="D9" t="inlineStr">
        <is>
          <t>O8268</t>
        </is>
      </c>
      <c r="E9" s="2" t="n">
        <v>331</v>
      </c>
      <c r="F9" s="2">
        <f>_xlfn.XLOOKUP(C9,customers!$A$1:$A$1001,customers!$B$1:$B$1001,,0)</f>
        <v/>
      </c>
      <c r="G9" s="2">
        <f>IF(_xlfn.XLOOKUP(C9,customers!$A$1:$A$1001,customers!$C$1:$C$1001,,0)=0,"",_xlfn.XLOOKUP(C9,customers!$A$1:$A$1001,customers!$C$1:$C$1001,,0))</f>
        <v/>
      </c>
      <c r="H9" s="2">
        <f>_xlfn.XLOOKUP(C9,customers!$A$1:$A$1001,customers!$G$1:$G$1001,,0)</f>
        <v/>
      </c>
      <c r="I9">
        <f>INDEX(products!$A$1:$G$49,MATCH(orders!$D9,products!$A$1:$A$49,0),MATCH(orders!I$1,products!$A$1:$G$1,0))</f>
        <v/>
      </c>
      <c r="J9">
        <f>INDEX(products!$A$1:$G$49,MATCH(orders!$D9,products!$A$1:$A$49,0),MATCH(orders!J$1,products!$A$1:$G$1,0))</f>
        <v/>
      </c>
      <c r="K9" s="4">
        <f>INDEX(products!$A$1:$G$49,MATCH(orders!$D9,products!$A$1:$A$49,0),MATCH(orders!K$1,products!$A$1:$G$1,0))</f>
        <v/>
      </c>
      <c r="L9" s="5">
        <f>INDEX(products!$A$1:$G$49,MATCH(orders!$D9,products!$A$1:$A$49,0),MATCH(orders!L$1,products!$A$1:$G$1,0))</f>
        <v/>
      </c>
      <c r="M9" s="5">
        <f>L9*E9</f>
        <v/>
      </c>
      <c r="N9">
        <f>IF(I9="Rob","Robusta",IF(I9="Exc","Excelsa",IF(I9="Ara","Arabica",IF(I9="Lib","Liberica",""))))</f>
        <v/>
      </c>
      <c r="O9">
        <f>IF(J9="M","Medium",IF(J9="L","Light",IF(J9="D","Dark","")))</f>
        <v/>
      </c>
      <c r="P9">
        <f>_xlfn.XLOOKUP(Orders[[#This Row],[Customer ID]],customers!$A$1:$A$1001,customers!$I$1:$I$1001,,0)</f>
        <v/>
      </c>
    </row>
    <row r="10">
      <c r="A10" s="2" t="inlineStr">
        <is>
          <t>O4021</t>
        </is>
      </c>
      <c r="B10" s="3" t="inlineStr">
        <is>
          <t>2020-01-02</t>
        </is>
      </c>
      <c r="C10" s="2" t="inlineStr">
        <is>
          <t>O3688</t>
        </is>
      </c>
      <c r="D10" t="inlineStr">
        <is>
          <t>O2479</t>
        </is>
      </c>
      <c r="E10" s="2" t="n">
        <v>394</v>
      </c>
      <c r="F10" s="2">
        <f>_xlfn.XLOOKUP(C10,customers!$A$1:$A$1001,customers!$B$1:$B$1001,,0)</f>
        <v/>
      </c>
      <c r="G10" s="2">
        <f>IF(_xlfn.XLOOKUP(C10,customers!$A$1:$A$1001,customers!$C$1:$C$1001,,0)=0,"",_xlfn.XLOOKUP(C10,customers!$A$1:$A$1001,customers!$C$1:$C$1001,,0))</f>
        <v/>
      </c>
      <c r="H10" s="2">
        <f>_xlfn.XLOOKUP(C10,customers!$A$1:$A$1001,customers!$G$1:$G$1001,,0)</f>
        <v/>
      </c>
      <c r="I10">
        <f>INDEX(products!$A$1:$G$49,MATCH(orders!$D10,products!$A$1:$A$49,0),MATCH(orders!I$1,products!$A$1:$G$1,0))</f>
        <v/>
      </c>
      <c r="J10">
        <f>INDEX(products!$A$1:$G$49,MATCH(orders!$D10,products!$A$1:$A$49,0),MATCH(orders!J$1,products!$A$1:$G$1,0))</f>
        <v/>
      </c>
      <c r="K10" s="4">
        <f>INDEX(products!$A$1:$G$49,MATCH(orders!$D10,products!$A$1:$A$49,0),MATCH(orders!K$1,products!$A$1:$G$1,0))</f>
        <v/>
      </c>
      <c r="L10" s="5">
        <f>INDEX(products!$A$1:$G$49,MATCH(orders!$D10,products!$A$1:$A$49,0),MATCH(orders!L$1,products!$A$1:$G$1,0))</f>
        <v/>
      </c>
      <c r="M10" s="5">
        <f>L10*E10</f>
        <v/>
      </c>
      <c r="N10">
        <f>IF(I10="Rob","Robusta",IF(I10="Exc","Excelsa",IF(I10="Ara","Arabica",IF(I10="Lib","Liberica",""))))</f>
        <v/>
      </c>
      <c r="O10">
        <f>IF(J10="M","Medium",IF(J10="L","Light",IF(J10="D","Dark","")))</f>
        <v/>
      </c>
      <c r="P10">
        <f>_xlfn.XLOOKUP(Orders[[#This Row],[Customer ID]],customers!$A$1:$A$1001,customers!$I$1:$I$1001,,0)</f>
        <v/>
      </c>
    </row>
    <row r="11">
      <c r="A11" s="2" t="inlineStr">
        <is>
          <t>O5477</t>
        </is>
      </c>
      <c r="B11" s="3" t="inlineStr">
        <is>
          <t>2022-05-21</t>
        </is>
      </c>
      <c r="C11" s="2" t="inlineStr">
        <is>
          <t>O5119</t>
        </is>
      </c>
      <c r="D11" t="inlineStr">
        <is>
          <t>O2906</t>
        </is>
      </c>
      <c r="E11" s="2" t="n">
        <v>87</v>
      </c>
      <c r="F11" s="2">
        <f>_xlfn.XLOOKUP(C11,customers!$A$1:$A$1001,customers!$B$1:$B$1001,,0)</f>
        <v/>
      </c>
      <c r="G11" s="2">
        <f>IF(_xlfn.XLOOKUP(C11,customers!$A$1:$A$1001,customers!$C$1:$C$1001,,0)=0,"",_xlfn.XLOOKUP(C11,customers!$A$1:$A$1001,customers!$C$1:$C$1001,,0))</f>
        <v/>
      </c>
      <c r="H11" s="2">
        <f>_xlfn.XLOOKUP(C11,customers!$A$1:$A$1001,customers!$G$1:$G$1001,,0)</f>
        <v/>
      </c>
      <c r="I11">
        <f>INDEX(products!$A$1:$G$49,MATCH(orders!$D11,products!$A$1:$A$49,0),MATCH(orders!I$1,products!$A$1:$G$1,0))</f>
        <v/>
      </c>
      <c r="J11">
        <f>INDEX(products!$A$1:$G$49,MATCH(orders!$D11,products!$A$1:$A$49,0),MATCH(orders!J$1,products!$A$1:$G$1,0))</f>
        <v/>
      </c>
      <c r="K11" s="4">
        <f>INDEX(products!$A$1:$G$49,MATCH(orders!$D11,products!$A$1:$A$49,0),MATCH(orders!K$1,products!$A$1:$G$1,0))</f>
        <v/>
      </c>
      <c r="L11" s="5">
        <f>INDEX(products!$A$1:$G$49,MATCH(orders!$D11,products!$A$1:$A$49,0),MATCH(orders!L$1,products!$A$1:$G$1,0))</f>
        <v/>
      </c>
      <c r="M11" s="5">
        <f>L11*E11</f>
        <v/>
      </c>
      <c r="N11">
        <f>IF(I11="Rob","Robusta",IF(I11="Exc","Excelsa",IF(I11="Ara","Arabica",IF(I11="Lib","Liberica",""))))</f>
        <v/>
      </c>
      <c r="O11">
        <f>IF(J11="M","Medium",IF(J11="L","Light",IF(J11="D","Dark","")))</f>
        <v/>
      </c>
      <c r="P11">
        <f>_xlfn.XLOOKUP(Orders[[#This Row],[Customer ID]],customers!$A$1:$A$1001,customers!$I$1:$I$1001,,0)</f>
        <v/>
      </c>
    </row>
    <row r="12">
      <c r="A12" s="2" t="inlineStr">
        <is>
          <t>O3513</t>
        </is>
      </c>
      <c r="B12" s="3" t="inlineStr">
        <is>
          <t>2022-07-24</t>
        </is>
      </c>
      <c r="C12" s="2" t="inlineStr">
        <is>
          <t>O9439</t>
        </is>
      </c>
      <c r="D12" t="inlineStr">
        <is>
          <t>O8071</t>
        </is>
      </c>
      <c r="E12" s="2" t="n">
        <v>484</v>
      </c>
      <c r="F12" s="2">
        <f>_xlfn.XLOOKUP(C12,customers!$A$1:$A$1001,customers!$B$1:$B$1001,,0)</f>
        <v/>
      </c>
      <c r="G12" s="2">
        <f>IF(_xlfn.XLOOKUP(C12,customers!$A$1:$A$1001,customers!$C$1:$C$1001,,0)=0,"",_xlfn.XLOOKUP(C12,customers!$A$1:$A$1001,customers!$C$1:$C$1001,,0))</f>
        <v/>
      </c>
      <c r="H12" s="2">
        <f>_xlfn.XLOOKUP(C12,customers!$A$1:$A$1001,customers!$G$1:$G$1001,,0)</f>
        <v/>
      </c>
      <c r="I12">
        <f>INDEX(products!$A$1:$G$49,MATCH(orders!$D12,products!$A$1:$A$49,0),MATCH(orders!I$1,products!$A$1:$G$1,0))</f>
        <v/>
      </c>
      <c r="J12">
        <f>INDEX(products!$A$1:$G$49,MATCH(orders!$D12,products!$A$1:$A$49,0),MATCH(orders!J$1,products!$A$1:$G$1,0))</f>
        <v/>
      </c>
      <c r="K12" s="4">
        <f>INDEX(products!$A$1:$G$49,MATCH(orders!$D12,products!$A$1:$A$49,0),MATCH(orders!K$1,products!$A$1:$G$1,0))</f>
        <v/>
      </c>
      <c r="L12" s="5">
        <f>INDEX(products!$A$1:$G$49,MATCH(orders!$D12,products!$A$1:$A$49,0),MATCH(orders!L$1,products!$A$1:$G$1,0))</f>
        <v/>
      </c>
      <c r="M12" s="5">
        <f>L12*E12</f>
        <v/>
      </c>
      <c r="N12">
        <f>IF(I12="Rob","Robusta",IF(I12="Exc","Excelsa",IF(I12="Ara","Arabica",IF(I12="Lib","Liberica",""))))</f>
        <v/>
      </c>
      <c r="O12">
        <f>IF(J12="M","Medium",IF(J12="L","Light",IF(J12="D","Dark","")))</f>
        <v/>
      </c>
      <c r="P12">
        <f>_xlfn.XLOOKUP(Orders[[#This Row],[Customer ID]],customers!$A$1:$A$1001,customers!$I$1:$I$1001,,0)</f>
        <v/>
      </c>
    </row>
    <row r="13">
      <c r="A13" s="2" t="inlineStr">
        <is>
          <t>O2983</t>
        </is>
      </c>
      <c r="B13" s="3" t="inlineStr">
        <is>
          <t>2020-10-21</t>
        </is>
      </c>
      <c r="C13" s="2" t="inlineStr">
        <is>
          <t>O4818</t>
        </is>
      </c>
      <c r="D13" t="inlineStr">
        <is>
          <t>O8291</t>
        </is>
      </c>
      <c r="E13" s="2" t="n">
        <v>312</v>
      </c>
      <c r="F13" s="2">
        <f>_xlfn.XLOOKUP(C13,customers!$A$1:$A$1001,customers!$B$1:$B$1001,,0)</f>
        <v/>
      </c>
      <c r="G13" s="2">
        <f>IF(_xlfn.XLOOKUP(C13,customers!$A$1:$A$1001,customers!$C$1:$C$1001,,0)=0,"",_xlfn.XLOOKUP(C13,customers!$A$1:$A$1001,customers!$C$1:$C$1001,,0))</f>
        <v/>
      </c>
      <c r="H13" s="2">
        <f>_xlfn.XLOOKUP(C13,customers!$A$1:$A$1001,customers!$G$1:$G$1001,,0)</f>
        <v/>
      </c>
      <c r="I13">
        <f>INDEX(products!$A$1:$G$49,MATCH(orders!$D13,products!$A$1:$A$49,0),MATCH(orders!I$1,products!$A$1:$G$1,0))</f>
        <v/>
      </c>
      <c r="J13">
        <f>INDEX(products!$A$1:$G$49,MATCH(orders!$D13,products!$A$1:$A$49,0),MATCH(orders!J$1,products!$A$1:$G$1,0))</f>
        <v/>
      </c>
      <c r="K13" s="4">
        <f>INDEX(products!$A$1:$G$49,MATCH(orders!$D13,products!$A$1:$A$49,0),MATCH(orders!K$1,products!$A$1:$G$1,0))</f>
        <v/>
      </c>
      <c r="L13" s="5">
        <f>INDEX(products!$A$1:$G$49,MATCH(orders!$D13,products!$A$1:$A$49,0),MATCH(orders!L$1,products!$A$1:$G$1,0))</f>
        <v/>
      </c>
      <c r="M13" s="5">
        <f>L13*E13</f>
        <v/>
      </c>
      <c r="N13">
        <f>IF(I13="Rob","Robusta",IF(I13="Exc","Excelsa",IF(I13="Ara","Arabica",IF(I13="Lib","Liberica",""))))</f>
        <v/>
      </c>
      <c r="O13">
        <f>IF(J13="M","Medium",IF(J13="L","Light",IF(J13="D","Dark","")))</f>
        <v/>
      </c>
      <c r="P13">
        <f>_xlfn.XLOOKUP(Orders[[#This Row],[Customer ID]],customers!$A$1:$A$1001,customers!$I$1:$I$1001,,0)</f>
        <v/>
      </c>
    </row>
    <row r="14">
      <c r="A14" s="2" t="inlineStr">
        <is>
          <t>O3802</t>
        </is>
      </c>
      <c r="B14" s="3" t="inlineStr">
        <is>
          <t>2021-03-08</t>
        </is>
      </c>
      <c r="C14" s="2" t="inlineStr">
        <is>
          <t>O3963</t>
        </is>
      </c>
      <c r="D14" t="inlineStr">
        <is>
          <t>O3682</t>
        </is>
      </c>
      <c r="E14" s="2" t="n">
        <v>326</v>
      </c>
      <c r="F14" s="2">
        <f>_xlfn.XLOOKUP(C14,customers!$A$1:$A$1001,customers!$B$1:$B$1001,,0)</f>
        <v/>
      </c>
      <c r="G14" s="2">
        <f>IF(_xlfn.XLOOKUP(C14,customers!$A$1:$A$1001,customers!$C$1:$C$1001,,0)=0,"",_xlfn.XLOOKUP(C14,customers!$A$1:$A$1001,customers!$C$1:$C$1001,,0))</f>
        <v/>
      </c>
      <c r="H14" s="2">
        <f>_xlfn.XLOOKUP(C14,customers!$A$1:$A$1001,customers!$G$1:$G$1001,,0)</f>
        <v/>
      </c>
      <c r="I14">
        <f>INDEX(products!$A$1:$G$49,MATCH(orders!$D14,products!$A$1:$A$49,0),MATCH(orders!I$1,products!$A$1:$G$1,0))</f>
        <v/>
      </c>
      <c r="J14">
        <f>INDEX(products!$A$1:$G$49,MATCH(orders!$D14,products!$A$1:$A$49,0),MATCH(orders!J$1,products!$A$1:$G$1,0))</f>
        <v/>
      </c>
      <c r="K14" s="4">
        <f>INDEX(products!$A$1:$G$49,MATCH(orders!$D14,products!$A$1:$A$49,0),MATCH(orders!K$1,products!$A$1:$G$1,0))</f>
        <v/>
      </c>
      <c r="L14" s="5">
        <f>INDEX(products!$A$1:$G$49,MATCH(orders!$D14,products!$A$1:$A$49,0),MATCH(orders!L$1,products!$A$1:$G$1,0))</f>
        <v/>
      </c>
      <c r="M14" s="5">
        <f>L14*E14</f>
        <v/>
      </c>
      <c r="N14">
        <f>IF(I14="Rob","Robusta",IF(I14="Exc","Excelsa",IF(I14="Ara","Arabica",IF(I14="Lib","Liberica",""))))</f>
        <v/>
      </c>
      <c r="O14">
        <f>IF(J14="M","Medium",IF(J14="L","Light",IF(J14="D","Dark","")))</f>
        <v/>
      </c>
      <c r="P14">
        <f>_xlfn.XLOOKUP(Orders[[#This Row],[Customer ID]],customers!$A$1:$A$1001,customers!$I$1:$I$1001,,0)</f>
        <v/>
      </c>
    </row>
    <row r="15">
      <c r="A15" s="2" t="inlineStr">
        <is>
          <t>O2582</t>
        </is>
      </c>
      <c r="B15" s="3" t="inlineStr">
        <is>
          <t>2021-04-12</t>
        </is>
      </c>
      <c r="C15" s="2" t="inlineStr">
        <is>
          <t>O5734</t>
        </is>
      </c>
      <c r="D15" t="inlineStr">
        <is>
          <t>O6144</t>
        </is>
      </c>
      <c r="E15" s="2" t="n">
        <v>376</v>
      </c>
      <c r="F15" s="2">
        <f>_xlfn.XLOOKUP(C15,customers!$A$1:$A$1001,customers!$B$1:$B$1001,,0)</f>
        <v/>
      </c>
      <c r="G15" s="2">
        <f>IF(_xlfn.XLOOKUP(C15,customers!$A$1:$A$1001,customers!$C$1:$C$1001,,0)=0,"",_xlfn.XLOOKUP(C15,customers!$A$1:$A$1001,customers!$C$1:$C$1001,,0))</f>
        <v/>
      </c>
      <c r="H15" s="2">
        <f>_xlfn.XLOOKUP(C15,customers!$A$1:$A$1001,customers!$G$1:$G$1001,,0)</f>
        <v/>
      </c>
      <c r="I15">
        <f>INDEX(products!$A$1:$G$49,MATCH(orders!$D15,products!$A$1:$A$49,0),MATCH(orders!I$1,products!$A$1:$G$1,0))</f>
        <v/>
      </c>
      <c r="J15">
        <f>INDEX(products!$A$1:$G$49,MATCH(orders!$D15,products!$A$1:$A$49,0),MATCH(orders!J$1,products!$A$1:$G$1,0))</f>
        <v/>
      </c>
      <c r="K15" s="4">
        <f>INDEX(products!$A$1:$G$49,MATCH(orders!$D15,products!$A$1:$A$49,0),MATCH(orders!K$1,products!$A$1:$G$1,0))</f>
        <v/>
      </c>
      <c r="L15" s="5">
        <f>INDEX(products!$A$1:$G$49,MATCH(orders!$D15,products!$A$1:$A$49,0),MATCH(orders!L$1,products!$A$1:$G$1,0))</f>
        <v/>
      </c>
      <c r="M15" s="5">
        <f>L15*E15</f>
        <v/>
      </c>
      <c r="N15">
        <f>IF(I15="Rob","Robusta",IF(I15="Exc","Excelsa",IF(I15="Ara","Arabica",IF(I15="Lib","Liberica",""))))</f>
        <v/>
      </c>
      <c r="O15">
        <f>IF(J15="M","Medium",IF(J15="L","Light",IF(J15="D","Dark","")))</f>
        <v/>
      </c>
      <c r="P15">
        <f>_xlfn.XLOOKUP(Orders[[#This Row],[Customer ID]],customers!$A$1:$A$1001,customers!$I$1:$I$1001,,0)</f>
        <v/>
      </c>
    </row>
    <row r="16">
      <c r="A16" s="2" t="inlineStr">
        <is>
          <t>O8738</t>
        </is>
      </c>
      <c r="B16" s="3" t="inlineStr">
        <is>
          <t>2020-03-27</t>
        </is>
      </c>
      <c r="C16" s="2" t="inlineStr">
        <is>
          <t>O4584</t>
        </is>
      </c>
      <c r="D16" t="inlineStr">
        <is>
          <t>O2429</t>
        </is>
      </c>
      <c r="E16" s="2" t="n">
        <v>261</v>
      </c>
      <c r="F16" s="2">
        <f>_xlfn.XLOOKUP(C16,customers!$A$1:$A$1001,customers!$B$1:$B$1001,,0)</f>
        <v/>
      </c>
      <c r="G16" s="2">
        <f>IF(_xlfn.XLOOKUP(C16,customers!$A$1:$A$1001,customers!$C$1:$C$1001,,0)=0,"",_xlfn.XLOOKUP(C16,customers!$A$1:$A$1001,customers!$C$1:$C$1001,,0))</f>
        <v/>
      </c>
      <c r="H16" s="2">
        <f>_xlfn.XLOOKUP(C16,customers!$A$1:$A$1001,customers!$G$1:$G$1001,,0)</f>
        <v/>
      </c>
      <c r="I16">
        <f>INDEX(products!$A$1:$G$49,MATCH(orders!$D16,products!$A$1:$A$49,0),MATCH(orders!I$1,products!$A$1:$G$1,0))</f>
        <v/>
      </c>
      <c r="J16">
        <f>INDEX(products!$A$1:$G$49,MATCH(orders!$D16,products!$A$1:$A$49,0),MATCH(orders!J$1,products!$A$1:$G$1,0))</f>
        <v/>
      </c>
      <c r="K16" s="4">
        <f>INDEX(products!$A$1:$G$49,MATCH(orders!$D16,products!$A$1:$A$49,0),MATCH(orders!K$1,products!$A$1:$G$1,0))</f>
        <v/>
      </c>
      <c r="L16" s="5">
        <f>INDEX(products!$A$1:$G$49,MATCH(orders!$D16,products!$A$1:$A$49,0),MATCH(orders!L$1,products!$A$1:$G$1,0))</f>
        <v/>
      </c>
      <c r="M16" s="5">
        <f>L16*E16</f>
        <v/>
      </c>
      <c r="N16">
        <f>IF(I16="Rob","Robusta",IF(I16="Exc","Excelsa",IF(I16="Ara","Arabica",IF(I16="Lib","Liberica",""))))</f>
        <v/>
      </c>
      <c r="O16">
        <f>IF(J16="M","Medium",IF(J16="L","Light",IF(J16="D","Dark","")))</f>
        <v/>
      </c>
      <c r="P16">
        <f>_xlfn.XLOOKUP(Orders[[#This Row],[Customer ID]],customers!$A$1:$A$1001,customers!$I$1:$I$1001,,0)</f>
        <v/>
      </c>
    </row>
    <row r="17">
      <c r="A17" s="2" t="inlineStr">
        <is>
          <t>O6816</t>
        </is>
      </c>
      <c r="B17" s="3" t="inlineStr">
        <is>
          <t>2023-03-08</t>
        </is>
      </c>
      <c r="C17" s="2" t="inlineStr">
        <is>
          <t>O6741</t>
        </is>
      </c>
      <c r="D17" t="inlineStr">
        <is>
          <t>O1464</t>
        </is>
      </c>
      <c r="E17" s="2" t="n">
        <v>426</v>
      </c>
      <c r="F17" s="2">
        <f>_xlfn.XLOOKUP(C17,customers!$A$1:$A$1001,customers!$B$1:$B$1001,,0)</f>
        <v/>
      </c>
      <c r="G17" s="2">
        <f>IF(_xlfn.XLOOKUP(C17,customers!$A$1:$A$1001,customers!$C$1:$C$1001,,0)=0,"",_xlfn.XLOOKUP(C17,customers!$A$1:$A$1001,customers!$C$1:$C$1001,,0))</f>
        <v/>
      </c>
      <c r="H17" s="2">
        <f>_xlfn.XLOOKUP(C17,customers!$A$1:$A$1001,customers!$G$1:$G$1001,,0)</f>
        <v/>
      </c>
      <c r="I17">
        <f>INDEX(products!$A$1:$G$49,MATCH(orders!$D17,products!$A$1:$A$49,0),MATCH(orders!I$1,products!$A$1:$G$1,0))</f>
        <v/>
      </c>
      <c r="J17">
        <f>INDEX(products!$A$1:$G$49,MATCH(orders!$D17,products!$A$1:$A$49,0),MATCH(orders!J$1,products!$A$1:$G$1,0))</f>
        <v/>
      </c>
      <c r="K17" s="4">
        <f>INDEX(products!$A$1:$G$49,MATCH(orders!$D17,products!$A$1:$A$49,0),MATCH(orders!K$1,products!$A$1:$G$1,0))</f>
        <v/>
      </c>
      <c r="L17" s="5">
        <f>INDEX(products!$A$1:$G$49,MATCH(orders!$D17,products!$A$1:$A$49,0),MATCH(orders!L$1,products!$A$1:$G$1,0))</f>
        <v/>
      </c>
      <c r="M17" s="5">
        <f>L17*E17</f>
        <v/>
      </c>
      <c r="N17">
        <f>IF(I17="Rob","Robusta",IF(I17="Exc","Excelsa",IF(I17="Ara","Arabica",IF(I17="Lib","Liberica",""))))</f>
        <v/>
      </c>
      <c r="O17">
        <f>IF(J17="M","Medium",IF(J17="L","Light",IF(J17="D","Dark","")))</f>
        <v/>
      </c>
      <c r="P17">
        <f>_xlfn.XLOOKUP(Orders[[#This Row],[Customer ID]],customers!$A$1:$A$1001,customers!$I$1:$I$1001,,0)</f>
        <v/>
      </c>
    </row>
    <row r="18">
      <c r="A18" s="2" t="inlineStr">
        <is>
          <t>O2392</t>
        </is>
      </c>
      <c r="B18" s="3" t="inlineStr">
        <is>
          <t>2024-09-25</t>
        </is>
      </c>
      <c r="C18" s="2" t="inlineStr">
        <is>
          <t>O5961</t>
        </is>
      </c>
      <c r="D18" t="inlineStr">
        <is>
          <t>O3158</t>
        </is>
      </c>
      <c r="E18" s="2" t="n">
        <v>211</v>
      </c>
      <c r="F18" s="2">
        <f>_xlfn.XLOOKUP(C18,customers!$A$1:$A$1001,customers!$B$1:$B$1001,,0)</f>
        <v/>
      </c>
      <c r="G18" s="2">
        <f>IF(_xlfn.XLOOKUP(C18,customers!$A$1:$A$1001,customers!$C$1:$C$1001,,0)=0,"",_xlfn.XLOOKUP(C18,customers!$A$1:$A$1001,customers!$C$1:$C$1001,,0))</f>
        <v/>
      </c>
      <c r="H18" s="2">
        <f>_xlfn.XLOOKUP(C18,customers!$A$1:$A$1001,customers!$G$1:$G$1001,,0)</f>
        <v/>
      </c>
      <c r="I18">
        <f>INDEX(products!$A$1:$G$49,MATCH(orders!$D18,products!$A$1:$A$49,0),MATCH(orders!I$1,products!$A$1:$G$1,0))</f>
        <v/>
      </c>
      <c r="J18">
        <f>INDEX(products!$A$1:$G$49,MATCH(orders!$D18,products!$A$1:$A$49,0),MATCH(orders!J$1,products!$A$1:$G$1,0))</f>
        <v/>
      </c>
      <c r="K18" s="4">
        <f>INDEX(products!$A$1:$G$49,MATCH(orders!$D18,products!$A$1:$A$49,0),MATCH(orders!K$1,products!$A$1:$G$1,0))</f>
        <v/>
      </c>
      <c r="L18" s="5">
        <f>INDEX(products!$A$1:$G$49,MATCH(orders!$D18,products!$A$1:$A$49,0),MATCH(orders!L$1,products!$A$1:$G$1,0))</f>
        <v/>
      </c>
      <c r="M18" s="5">
        <f>L18*E18</f>
        <v/>
      </c>
      <c r="N18">
        <f>IF(I18="Rob","Robusta",IF(I18="Exc","Excelsa",IF(I18="Ara","Arabica",IF(I18="Lib","Liberica",""))))</f>
        <v/>
      </c>
      <c r="O18">
        <f>IF(J18="M","Medium",IF(J18="L","Light",IF(J18="D","Dark","")))</f>
        <v/>
      </c>
      <c r="P18">
        <f>_xlfn.XLOOKUP(Orders[[#This Row],[Customer ID]],customers!$A$1:$A$1001,customers!$I$1:$I$1001,,0)</f>
        <v/>
      </c>
    </row>
    <row r="19">
      <c r="A19" s="2" t="inlineStr">
        <is>
          <t>O4546</t>
        </is>
      </c>
      <c r="B19" s="3" t="inlineStr">
        <is>
          <t>2022-02-08</t>
        </is>
      </c>
      <c r="C19" s="2" t="inlineStr">
        <is>
          <t>O2300</t>
        </is>
      </c>
      <c r="D19" t="inlineStr">
        <is>
          <t>O8454</t>
        </is>
      </c>
      <c r="E19" s="2" t="n">
        <v>13</v>
      </c>
      <c r="F19" s="2">
        <f>_xlfn.XLOOKUP(C19,customers!$A$1:$A$1001,customers!$B$1:$B$1001,,0)</f>
        <v/>
      </c>
      <c r="G19" s="2">
        <f>IF(_xlfn.XLOOKUP(C19,customers!$A$1:$A$1001,customers!$C$1:$C$1001,,0)=0,"",_xlfn.XLOOKUP(C19,customers!$A$1:$A$1001,customers!$C$1:$C$1001,,0))</f>
        <v/>
      </c>
      <c r="H19" s="2">
        <f>_xlfn.XLOOKUP(C19,customers!$A$1:$A$1001,customers!$G$1:$G$1001,,0)</f>
        <v/>
      </c>
      <c r="I19">
        <f>INDEX(products!$A$1:$G$49,MATCH(orders!$D19,products!$A$1:$A$49,0),MATCH(orders!I$1,products!$A$1:$G$1,0))</f>
        <v/>
      </c>
      <c r="J19">
        <f>INDEX(products!$A$1:$G$49,MATCH(orders!$D19,products!$A$1:$A$49,0),MATCH(orders!J$1,products!$A$1:$G$1,0))</f>
        <v/>
      </c>
      <c r="K19" s="4">
        <f>INDEX(products!$A$1:$G$49,MATCH(orders!$D19,products!$A$1:$A$49,0),MATCH(orders!K$1,products!$A$1:$G$1,0))</f>
        <v/>
      </c>
      <c r="L19" s="5">
        <f>INDEX(products!$A$1:$G$49,MATCH(orders!$D19,products!$A$1:$A$49,0),MATCH(orders!L$1,products!$A$1:$G$1,0))</f>
        <v/>
      </c>
      <c r="M19" s="5">
        <f>L19*E19</f>
        <v/>
      </c>
      <c r="N19">
        <f>IF(I19="Rob","Robusta",IF(I19="Exc","Excelsa",IF(I19="Ara","Arabica",IF(I19="Lib","Liberica",""))))</f>
        <v/>
      </c>
      <c r="O19">
        <f>IF(J19="M","Medium",IF(J19="L","Light",IF(J19="D","Dark","")))</f>
        <v/>
      </c>
      <c r="P19">
        <f>_xlfn.XLOOKUP(Orders[[#This Row],[Customer ID]],customers!$A$1:$A$1001,customers!$I$1:$I$1001,,0)</f>
        <v/>
      </c>
    </row>
    <row r="20">
      <c r="A20" s="2" t="inlineStr">
        <is>
          <t>O9811</t>
        </is>
      </c>
      <c r="B20" s="3" t="inlineStr">
        <is>
          <t>2021-08-05</t>
        </is>
      </c>
      <c r="C20" s="2" t="inlineStr">
        <is>
          <t>O3099</t>
        </is>
      </c>
      <c r="D20" t="inlineStr">
        <is>
          <t>O8717</t>
        </is>
      </c>
      <c r="E20" s="2" t="n">
        <v>500</v>
      </c>
      <c r="F20" s="2">
        <f>_xlfn.XLOOKUP(C20,customers!$A$1:$A$1001,customers!$B$1:$B$1001,,0)</f>
        <v/>
      </c>
      <c r="G20" s="2">
        <f>IF(_xlfn.XLOOKUP(C20,customers!$A$1:$A$1001,customers!$C$1:$C$1001,,0)=0,"",_xlfn.XLOOKUP(C20,customers!$A$1:$A$1001,customers!$C$1:$C$1001,,0))</f>
        <v/>
      </c>
      <c r="H20" s="2">
        <f>_xlfn.XLOOKUP(C20,customers!$A$1:$A$1001,customers!$G$1:$G$1001,,0)</f>
        <v/>
      </c>
      <c r="I20">
        <f>INDEX(products!$A$1:$G$49,MATCH(orders!$D20,products!$A$1:$A$49,0),MATCH(orders!I$1,products!$A$1:$G$1,0))</f>
        <v/>
      </c>
      <c r="J20">
        <f>INDEX(products!$A$1:$G$49,MATCH(orders!$D20,products!$A$1:$A$49,0),MATCH(orders!J$1,products!$A$1:$G$1,0))</f>
        <v/>
      </c>
      <c r="K20" s="4">
        <f>INDEX(products!$A$1:$G$49,MATCH(orders!$D20,products!$A$1:$A$49,0),MATCH(orders!K$1,products!$A$1:$G$1,0))</f>
        <v/>
      </c>
      <c r="L20" s="5">
        <f>INDEX(products!$A$1:$G$49,MATCH(orders!$D20,products!$A$1:$A$49,0),MATCH(orders!L$1,products!$A$1:$G$1,0))</f>
        <v/>
      </c>
      <c r="M20" s="5">
        <f>L20*E20</f>
        <v/>
      </c>
      <c r="N20">
        <f>IF(I20="Rob","Robusta",IF(I20="Exc","Excelsa",IF(I20="Ara","Arabica",IF(I20="Lib","Liberica",""))))</f>
        <v/>
      </c>
      <c r="O20">
        <f>IF(J20="M","Medium",IF(J20="L","Light",IF(J20="D","Dark","")))</f>
        <v/>
      </c>
      <c r="P20">
        <f>_xlfn.XLOOKUP(Orders[[#This Row],[Customer ID]],customers!$A$1:$A$1001,customers!$I$1:$I$1001,,0)</f>
        <v/>
      </c>
    </row>
    <row r="21">
      <c r="A21" s="2" t="inlineStr">
        <is>
          <t>O6622</t>
        </is>
      </c>
      <c r="B21" s="3" t="inlineStr">
        <is>
          <t>2020-12-23</t>
        </is>
      </c>
      <c r="C21" s="2" t="inlineStr">
        <is>
          <t>O1138</t>
        </is>
      </c>
      <c r="D21" t="inlineStr">
        <is>
          <t>O7535</t>
        </is>
      </c>
      <c r="E21" s="2" t="n">
        <v>258</v>
      </c>
      <c r="F21" s="2">
        <f>_xlfn.XLOOKUP(C21,customers!$A$1:$A$1001,customers!$B$1:$B$1001,,0)</f>
        <v/>
      </c>
      <c r="G21" s="2">
        <f>IF(_xlfn.XLOOKUP(C21,customers!$A$1:$A$1001,customers!$C$1:$C$1001,,0)=0,"",_xlfn.XLOOKUP(C21,customers!$A$1:$A$1001,customers!$C$1:$C$1001,,0))</f>
        <v/>
      </c>
      <c r="H21" s="2">
        <f>_xlfn.XLOOKUP(C21,customers!$A$1:$A$1001,customers!$G$1:$G$1001,,0)</f>
        <v/>
      </c>
      <c r="I21">
        <f>INDEX(products!$A$1:$G$49,MATCH(orders!$D21,products!$A$1:$A$49,0),MATCH(orders!I$1,products!$A$1:$G$1,0))</f>
        <v/>
      </c>
      <c r="J21">
        <f>INDEX(products!$A$1:$G$49,MATCH(orders!$D21,products!$A$1:$A$49,0),MATCH(orders!J$1,products!$A$1:$G$1,0))</f>
        <v/>
      </c>
      <c r="K21" s="4">
        <f>INDEX(products!$A$1:$G$49,MATCH(orders!$D21,products!$A$1:$A$49,0),MATCH(orders!K$1,products!$A$1:$G$1,0))</f>
        <v/>
      </c>
      <c r="L21" s="5">
        <f>INDEX(products!$A$1:$G$49,MATCH(orders!$D21,products!$A$1:$A$49,0),MATCH(orders!L$1,products!$A$1:$G$1,0))</f>
        <v/>
      </c>
      <c r="M21" s="5">
        <f>L21*E21</f>
        <v/>
      </c>
      <c r="N21">
        <f>IF(I21="Rob","Robusta",IF(I21="Exc","Excelsa",IF(I21="Ara","Arabica",IF(I21="Lib","Liberica",""))))</f>
        <v/>
      </c>
      <c r="O21">
        <f>IF(J21="M","Medium",IF(J21="L","Light",IF(J21="D","Dark","")))</f>
        <v/>
      </c>
      <c r="P21">
        <f>_xlfn.XLOOKUP(Orders[[#This Row],[Customer ID]],customers!$A$1:$A$1001,customers!$I$1:$I$1001,,0)</f>
        <v/>
      </c>
    </row>
    <row r="22">
      <c r="A22" s="2" t="inlineStr">
        <is>
          <t>O7428</t>
        </is>
      </c>
      <c r="B22" s="3" t="inlineStr">
        <is>
          <t>2020-07-06</t>
        </is>
      </c>
      <c r="C22" s="2" t="inlineStr">
        <is>
          <t>O3706</t>
        </is>
      </c>
      <c r="D22" t="inlineStr">
        <is>
          <t>O2022</t>
        </is>
      </c>
      <c r="E22" s="2" t="n">
        <v>44</v>
      </c>
      <c r="F22" s="2">
        <f>_xlfn.XLOOKUP(C22,customers!$A$1:$A$1001,customers!$B$1:$B$1001,,0)</f>
        <v/>
      </c>
      <c r="G22" s="2">
        <f>IF(_xlfn.XLOOKUP(C22,customers!$A$1:$A$1001,customers!$C$1:$C$1001,,0)=0,"",_xlfn.XLOOKUP(C22,customers!$A$1:$A$1001,customers!$C$1:$C$1001,,0))</f>
        <v/>
      </c>
      <c r="H22" s="2">
        <f>_xlfn.XLOOKUP(C22,customers!$A$1:$A$1001,customers!$G$1:$G$1001,,0)</f>
        <v/>
      </c>
      <c r="I22">
        <f>INDEX(products!$A$1:$G$49,MATCH(orders!$D22,products!$A$1:$A$49,0),MATCH(orders!I$1,products!$A$1:$G$1,0))</f>
        <v/>
      </c>
      <c r="J22">
        <f>INDEX(products!$A$1:$G$49,MATCH(orders!$D22,products!$A$1:$A$49,0),MATCH(orders!J$1,products!$A$1:$G$1,0))</f>
        <v/>
      </c>
      <c r="K22" s="4">
        <f>INDEX(products!$A$1:$G$49,MATCH(orders!$D22,products!$A$1:$A$49,0),MATCH(orders!K$1,products!$A$1:$G$1,0))</f>
        <v/>
      </c>
      <c r="L22" s="5">
        <f>INDEX(products!$A$1:$G$49,MATCH(orders!$D22,products!$A$1:$A$49,0),MATCH(orders!L$1,products!$A$1:$G$1,0))</f>
        <v/>
      </c>
      <c r="M22" s="5">
        <f>L22*E22</f>
        <v/>
      </c>
      <c r="N22">
        <f>IF(I22="Rob","Robusta",IF(I22="Exc","Excelsa",IF(I22="Ara","Arabica",IF(I22="Lib","Liberica",""))))</f>
        <v/>
      </c>
      <c r="O22">
        <f>IF(J22="M","Medium",IF(J22="L","Light",IF(J22="D","Dark","")))</f>
        <v/>
      </c>
      <c r="P22">
        <f>_xlfn.XLOOKUP(Orders[[#This Row],[Customer ID]],customers!$A$1:$A$1001,customers!$I$1:$I$1001,,0)</f>
        <v/>
      </c>
    </row>
    <row r="23">
      <c r="A23" s="2" t="inlineStr">
        <is>
          <t>O7328</t>
        </is>
      </c>
      <c r="B23" s="3" t="inlineStr">
        <is>
          <t>2022-05-31</t>
        </is>
      </c>
      <c r="C23" s="2" t="inlineStr">
        <is>
          <t>O3584</t>
        </is>
      </c>
      <c r="D23" t="inlineStr">
        <is>
          <t>O8735</t>
        </is>
      </c>
      <c r="E23" s="2" t="n">
        <v>124</v>
      </c>
      <c r="F23" s="2">
        <f>_xlfn.XLOOKUP(C23,customers!$A$1:$A$1001,customers!$B$1:$B$1001,,0)</f>
        <v/>
      </c>
      <c r="G23" s="2">
        <f>IF(_xlfn.XLOOKUP(C23,customers!$A$1:$A$1001,customers!$C$1:$C$1001,,0)=0,"",_xlfn.XLOOKUP(C23,customers!$A$1:$A$1001,customers!$C$1:$C$1001,,0))</f>
        <v/>
      </c>
      <c r="H23" s="2">
        <f>_xlfn.XLOOKUP(C23,customers!$A$1:$A$1001,customers!$G$1:$G$1001,,0)</f>
        <v/>
      </c>
      <c r="I23">
        <f>INDEX(products!$A$1:$G$49,MATCH(orders!$D23,products!$A$1:$A$49,0),MATCH(orders!I$1,products!$A$1:$G$1,0))</f>
        <v/>
      </c>
      <c r="J23">
        <f>INDEX(products!$A$1:$G$49,MATCH(orders!$D23,products!$A$1:$A$49,0),MATCH(orders!J$1,products!$A$1:$G$1,0))</f>
        <v/>
      </c>
      <c r="K23" s="4">
        <f>INDEX(products!$A$1:$G$49,MATCH(orders!$D23,products!$A$1:$A$49,0),MATCH(orders!K$1,products!$A$1:$G$1,0))</f>
        <v/>
      </c>
      <c r="L23" s="5">
        <f>INDEX(products!$A$1:$G$49,MATCH(orders!$D23,products!$A$1:$A$49,0),MATCH(orders!L$1,products!$A$1:$G$1,0))</f>
        <v/>
      </c>
      <c r="M23" s="5">
        <f>L23*E23</f>
        <v/>
      </c>
      <c r="N23">
        <f>IF(I23="Rob","Robusta",IF(I23="Exc","Excelsa",IF(I23="Ara","Arabica",IF(I23="Lib","Liberica",""))))</f>
        <v/>
      </c>
      <c r="O23">
        <f>IF(J23="M","Medium",IF(J23="L","Light",IF(J23="D","Dark","")))</f>
        <v/>
      </c>
      <c r="P23">
        <f>_xlfn.XLOOKUP(Orders[[#This Row],[Customer ID]],customers!$A$1:$A$1001,customers!$I$1:$I$1001,,0)</f>
        <v/>
      </c>
    </row>
    <row r="24">
      <c r="A24" s="2" t="inlineStr">
        <is>
          <t>O7567</t>
        </is>
      </c>
      <c r="B24" s="3" t="inlineStr">
        <is>
          <t>2024-06-21</t>
        </is>
      </c>
      <c r="C24" s="2" t="inlineStr">
        <is>
          <t>O8445</t>
        </is>
      </c>
      <c r="D24" t="inlineStr">
        <is>
          <t>O9746</t>
        </is>
      </c>
      <c r="E24" s="2" t="n">
        <v>463</v>
      </c>
      <c r="F24" s="2">
        <f>_xlfn.XLOOKUP(C24,customers!$A$1:$A$1001,customers!$B$1:$B$1001,,0)</f>
        <v/>
      </c>
      <c r="G24" s="2">
        <f>IF(_xlfn.XLOOKUP(C24,customers!$A$1:$A$1001,customers!$C$1:$C$1001,,0)=0,"",_xlfn.XLOOKUP(C24,customers!$A$1:$A$1001,customers!$C$1:$C$1001,,0))</f>
        <v/>
      </c>
      <c r="H24" s="2">
        <f>_xlfn.XLOOKUP(C24,customers!$A$1:$A$1001,customers!$G$1:$G$1001,,0)</f>
        <v/>
      </c>
      <c r="I24">
        <f>INDEX(products!$A$1:$G$49,MATCH(orders!$D24,products!$A$1:$A$49,0),MATCH(orders!I$1,products!$A$1:$G$1,0))</f>
        <v/>
      </c>
      <c r="J24">
        <f>INDEX(products!$A$1:$G$49,MATCH(orders!$D24,products!$A$1:$A$49,0),MATCH(orders!J$1,products!$A$1:$G$1,0))</f>
        <v/>
      </c>
      <c r="K24" s="4">
        <f>INDEX(products!$A$1:$G$49,MATCH(orders!$D24,products!$A$1:$A$49,0),MATCH(orders!K$1,products!$A$1:$G$1,0))</f>
        <v/>
      </c>
      <c r="L24" s="5">
        <f>INDEX(products!$A$1:$G$49,MATCH(orders!$D24,products!$A$1:$A$49,0),MATCH(orders!L$1,products!$A$1:$G$1,0))</f>
        <v/>
      </c>
      <c r="M24" s="5">
        <f>L24*E24</f>
        <v/>
      </c>
      <c r="N24">
        <f>IF(I24="Rob","Robusta",IF(I24="Exc","Excelsa",IF(I24="Ara","Arabica",IF(I24="Lib","Liberica",""))))</f>
        <v/>
      </c>
      <c r="O24">
        <f>IF(J24="M","Medium",IF(J24="L","Light",IF(J24="D","Dark","")))</f>
        <v/>
      </c>
      <c r="P24">
        <f>_xlfn.XLOOKUP(Orders[[#This Row],[Customer ID]],customers!$A$1:$A$1001,customers!$I$1:$I$1001,,0)</f>
        <v/>
      </c>
    </row>
    <row r="25">
      <c r="A25" s="2" t="inlineStr">
        <is>
          <t>O3844</t>
        </is>
      </c>
      <c r="B25" s="3" t="inlineStr">
        <is>
          <t>2023-09-21</t>
        </is>
      </c>
      <c r="C25" s="2" t="inlineStr">
        <is>
          <t>O1545</t>
        </is>
      </c>
      <c r="D25" t="inlineStr">
        <is>
          <t>O7997</t>
        </is>
      </c>
      <c r="E25" s="2" t="n">
        <v>268</v>
      </c>
      <c r="F25" s="2">
        <f>_xlfn.XLOOKUP(C25,customers!$A$1:$A$1001,customers!$B$1:$B$1001,,0)</f>
        <v/>
      </c>
      <c r="G25" s="2">
        <f>IF(_xlfn.XLOOKUP(C25,customers!$A$1:$A$1001,customers!$C$1:$C$1001,,0)=0,"",_xlfn.XLOOKUP(C25,customers!$A$1:$A$1001,customers!$C$1:$C$1001,,0))</f>
        <v/>
      </c>
      <c r="H25" s="2">
        <f>_xlfn.XLOOKUP(C25,customers!$A$1:$A$1001,customers!$G$1:$G$1001,,0)</f>
        <v/>
      </c>
      <c r="I25">
        <f>INDEX(products!$A$1:$G$49,MATCH(orders!$D25,products!$A$1:$A$49,0),MATCH(orders!I$1,products!$A$1:$G$1,0))</f>
        <v/>
      </c>
      <c r="J25">
        <f>INDEX(products!$A$1:$G$49,MATCH(orders!$D25,products!$A$1:$A$49,0),MATCH(orders!J$1,products!$A$1:$G$1,0))</f>
        <v/>
      </c>
      <c r="K25" s="4">
        <f>INDEX(products!$A$1:$G$49,MATCH(orders!$D25,products!$A$1:$A$49,0),MATCH(orders!K$1,products!$A$1:$G$1,0))</f>
        <v/>
      </c>
      <c r="L25" s="5">
        <f>INDEX(products!$A$1:$G$49,MATCH(orders!$D25,products!$A$1:$A$49,0),MATCH(orders!L$1,products!$A$1:$G$1,0))</f>
        <v/>
      </c>
      <c r="M25" s="5">
        <f>L25*E25</f>
        <v/>
      </c>
      <c r="N25">
        <f>IF(I25="Rob","Robusta",IF(I25="Exc","Excelsa",IF(I25="Ara","Arabica",IF(I25="Lib","Liberica",""))))</f>
        <v/>
      </c>
      <c r="O25">
        <f>IF(J25="M","Medium",IF(J25="L","Light",IF(J25="D","Dark","")))</f>
        <v/>
      </c>
      <c r="P25">
        <f>_xlfn.XLOOKUP(Orders[[#This Row],[Customer ID]],customers!$A$1:$A$1001,customers!$I$1:$I$1001,,0)</f>
        <v/>
      </c>
    </row>
    <row r="26">
      <c r="A26" s="2" t="inlineStr">
        <is>
          <t>O6454</t>
        </is>
      </c>
      <c r="B26" s="3" t="inlineStr">
        <is>
          <t>2024-11-08</t>
        </is>
      </c>
      <c r="C26" s="2" t="inlineStr">
        <is>
          <t>O8656</t>
        </is>
      </c>
      <c r="D26" t="inlineStr">
        <is>
          <t>O3132</t>
        </is>
      </c>
      <c r="E26" s="2" t="n">
        <v>425</v>
      </c>
      <c r="F26" s="2">
        <f>_xlfn.XLOOKUP(C26,customers!$A$1:$A$1001,customers!$B$1:$B$1001,,0)</f>
        <v/>
      </c>
      <c r="G26" s="2">
        <f>IF(_xlfn.XLOOKUP(C26,customers!$A$1:$A$1001,customers!$C$1:$C$1001,,0)=0,"",_xlfn.XLOOKUP(C26,customers!$A$1:$A$1001,customers!$C$1:$C$1001,,0))</f>
        <v/>
      </c>
      <c r="H26" s="2">
        <f>_xlfn.XLOOKUP(C26,customers!$A$1:$A$1001,customers!$G$1:$G$1001,,0)</f>
        <v/>
      </c>
      <c r="I26">
        <f>INDEX(products!$A$1:$G$49,MATCH(orders!$D26,products!$A$1:$A$49,0),MATCH(orders!I$1,products!$A$1:$G$1,0))</f>
        <v/>
      </c>
      <c r="J26">
        <f>INDEX(products!$A$1:$G$49,MATCH(orders!$D26,products!$A$1:$A$49,0),MATCH(orders!J$1,products!$A$1:$G$1,0))</f>
        <v/>
      </c>
      <c r="K26" s="4">
        <f>INDEX(products!$A$1:$G$49,MATCH(orders!$D26,products!$A$1:$A$49,0),MATCH(orders!K$1,products!$A$1:$G$1,0))</f>
        <v/>
      </c>
      <c r="L26" s="5">
        <f>INDEX(products!$A$1:$G$49,MATCH(orders!$D26,products!$A$1:$A$49,0),MATCH(orders!L$1,products!$A$1:$G$1,0))</f>
        <v/>
      </c>
      <c r="M26" s="5">
        <f>L26*E26</f>
        <v/>
      </c>
      <c r="N26">
        <f>IF(I26="Rob","Robusta",IF(I26="Exc","Excelsa",IF(I26="Ara","Arabica",IF(I26="Lib","Liberica",""))))</f>
        <v/>
      </c>
      <c r="O26">
        <f>IF(J26="M","Medium",IF(J26="L","Light",IF(J26="D","Dark","")))</f>
        <v/>
      </c>
      <c r="P26">
        <f>_xlfn.XLOOKUP(Orders[[#This Row],[Customer ID]],customers!$A$1:$A$1001,customers!$I$1:$I$1001,,0)</f>
        <v/>
      </c>
    </row>
    <row r="27">
      <c r="A27" s="2" t="inlineStr">
        <is>
          <t>O7544</t>
        </is>
      </c>
      <c r="B27" s="3" t="inlineStr">
        <is>
          <t>2025-05-16</t>
        </is>
      </c>
      <c r="C27" s="2" t="inlineStr">
        <is>
          <t>O1616</t>
        </is>
      </c>
      <c r="D27" t="inlineStr">
        <is>
          <t>O6581</t>
        </is>
      </c>
      <c r="E27" s="2" t="n">
        <v>255</v>
      </c>
      <c r="F27" s="2">
        <f>_xlfn.XLOOKUP(C27,customers!$A$1:$A$1001,customers!$B$1:$B$1001,,0)</f>
        <v/>
      </c>
      <c r="G27" s="2">
        <f>IF(_xlfn.XLOOKUP(C27,customers!$A$1:$A$1001,customers!$C$1:$C$1001,,0)=0,"",_xlfn.XLOOKUP(C27,customers!$A$1:$A$1001,customers!$C$1:$C$1001,,0))</f>
        <v/>
      </c>
      <c r="H27" s="2">
        <f>_xlfn.XLOOKUP(C27,customers!$A$1:$A$1001,customers!$G$1:$G$1001,,0)</f>
        <v/>
      </c>
      <c r="I27">
        <f>INDEX(products!$A$1:$G$49,MATCH(orders!$D27,products!$A$1:$A$49,0),MATCH(orders!I$1,products!$A$1:$G$1,0))</f>
        <v/>
      </c>
      <c r="J27">
        <f>INDEX(products!$A$1:$G$49,MATCH(orders!$D27,products!$A$1:$A$49,0),MATCH(orders!J$1,products!$A$1:$G$1,0))</f>
        <v/>
      </c>
      <c r="K27" s="4">
        <f>INDEX(products!$A$1:$G$49,MATCH(orders!$D27,products!$A$1:$A$49,0),MATCH(orders!K$1,products!$A$1:$G$1,0))</f>
        <v/>
      </c>
      <c r="L27" s="5">
        <f>INDEX(products!$A$1:$G$49,MATCH(orders!$D27,products!$A$1:$A$49,0),MATCH(orders!L$1,products!$A$1:$G$1,0))</f>
        <v/>
      </c>
      <c r="M27" s="5">
        <f>L27*E27</f>
        <v/>
      </c>
      <c r="N27">
        <f>IF(I27="Rob","Robusta",IF(I27="Exc","Excelsa",IF(I27="Ara","Arabica",IF(I27="Lib","Liberica",""))))</f>
        <v/>
      </c>
      <c r="O27">
        <f>IF(J27="M","Medium",IF(J27="L","Light",IF(J27="D","Dark","")))</f>
        <v/>
      </c>
      <c r="P27">
        <f>_xlfn.XLOOKUP(Orders[[#This Row],[Customer ID]],customers!$A$1:$A$1001,customers!$I$1:$I$1001,,0)</f>
        <v/>
      </c>
    </row>
    <row r="28">
      <c r="A28" s="2" t="inlineStr">
        <is>
          <t>O4448</t>
        </is>
      </c>
      <c r="B28" s="3" t="inlineStr">
        <is>
          <t>2025-09-09</t>
        </is>
      </c>
      <c r="C28" s="2" t="inlineStr">
        <is>
          <t>O8628</t>
        </is>
      </c>
      <c r="D28" t="inlineStr">
        <is>
          <t>O4461</t>
        </is>
      </c>
      <c r="E28" s="2" t="n">
        <v>318</v>
      </c>
      <c r="F28" s="2">
        <f>_xlfn.XLOOKUP(C28,customers!$A$1:$A$1001,customers!$B$1:$B$1001,,0)</f>
        <v/>
      </c>
      <c r="G28" s="2">
        <f>IF(_xlfn.XLOOKUP(C28,customers!$A$1:$A$1001,customers!$C$1:$C$1001,,0)=0,"",_xlfn.XLOOKUP(C28,customers!$A$1:$A$1001,customers!$C$1:$C$1001,,0))</f>
        <v/>
      </c>
      <c r="H28" s="2">
        <f>_xlfn.XLOOKUP(C28,customers!$A$1:$A$1001,customers!$G$1:$G$1001,,0)</f>
        <v/>
      </c>
      <c r="I28">
        <f>INDEX(products!$A$1:$G$49,MATCH(orders!$D28,products!$A$1:$A$49,0),MATCH(orders!I$1,products!$A$1:$G$1,0))</f>
        <v/>
      </c>
      <c r="J28">
        <f>INDEX(products!$A$1:$G$49,MATCH(orders!$D28,products!$A$1:$A$49,0),MATCH(orders!J$1,products!$A$1:$G$1,0))</f>
        <v/>
      </c>
      <c r="K28" s="4">
        <f>INDEX(products!$A$1:$G$49,MATCH(orders!$D28,products!$A$1:$A$49,0),MATCH(orders!K$1,products!$A$1:$G$1,0))</f>
        <v/>
      </c>
      <c r="L28" s="5">
        <f>INDEX(products!$A$1:$G$49,MATCH(orders!$D28,products!$A$1:$A$49,0),MATCH(orders!L$1,products!$A$1:$G$1,0))</f>
        <v/>
      </c>
      <c r="M28" s="5">
        <f>L28*E28</f>
        <v/>
      </c>
      <c r="N28">
        <f>IF(I28="Rob","Robusta",IF(I28="Exc","Excelsa",IF(I28="Ara","Arabica",IF(I28="Lib","Liberica",""))))</f>
        <v/>
      </c>
      <c r="O28">
        <f>IF(J28="M","Medium",IF(J28="L","Light",IF(J28="D","Dark","")))</f>
        <v/>
      </c>
      <c r="P28">
        <f>_xlfn.XLOOKUP(Orders[[#This Row],[Customer ID]],customers!$A$1:$A$1001,customers!$I$1:$I$1001,,0)</f>
        <v/>
      </c>
    </row>
    <row r="29">
      <c r="A29" s="2" t="inlineStr">
        <is>
          <t>O9964</t>
        </is>
      </c>
      <c r="B29" s="3" t="inlineStr">
        <is>
          <t>2025-04-18</t>
        </is>
      </c>
      <c r="C29" s="2" t="inlineStr">
        <is>
          <t>O5746</t>
        </is>
      </c>
      <c r="D29" t="inlineStr">
        <is>
          <t>O4571</t>
        </is>
      </c>
      <c r="E29" s="2" t="n">
        <v>202</v>
      </c>
      <c r="F29" s="2">
        <f>_xlfn.XLOOKUP(C29,customers!$A$1:$A$1001,customers!$B$1:$B$1001,,0)</f>
        <v/>
      </c>
      <c r="G29" s="2">
        <f>IF(_xlfn.XLOOKUP(C29,customers!$A$1:$A$1001,customers!$C$1:$C$1001,,0)=0,"",_xlfn.XLOOKUP(C29,customers!$A$1:$A$1001,customers!$C$1:$C$1001,,0))</f>
        <v/>
      </c>
      <c r="H29" s="2">
        <f>_xlfn.XLOOKUP(C29,customers!$A$1:$A$1001,customers!$G$1:$G$1001,,0)</f>
        <v/>
      </c>
      <c r="I29">
        <f>INDEX(products!$A$1:$G$49,MATCH(orders!$D29,products!$A$1:$A$49,0),MATCH(orders!I$1,products!$A$1:$G$1,0))</f>
        <v/>
      </c>
      <c r="J29">
        <f>INDEX(products!$A$1:$G$49,MATCH(orders!$D29,products!$A$1:$A$49,0),MATCH(orders!J$1,products!$A$1:$G$1,0))</f>
        <v/>
      </c>
      <c r="K29" s="4">
        <f>INDEX(products!$A$1:$G$49,MATCH(orders!$D29,products!$A$1:$A$49,0),MATCH(orders!K$1,products!$A$1:$G$1,0))</f>
        <v/>
      </c>
      <c r="L29" s="5">
        <f>INDEX(products!$A$1:$G$49,MATCH(orders!$D29,products!$A$1:$A$49,0),MATCH(orders!L$1,products!$A$1:$G$1,0))</f>
        <v/>
      </c>
      <c r="M29" s="5">
        <f>L29*E29</f>
        <v/>
      </c>
      <c r="N29">
        <f>IF(I29="Rob","Robusta",IF(I29="Exc","Excelsa",IF(I29="Ara","Arabica",IF(I29="Lib","Liberica",""))))</f>
        <v/>
      </c>
      <c r="O29">
        <f>IF(J29="M","Medium",IF(J29="L","Light",IF(J29="D","Dark","")))</f>
        <v/>
      </c>
      <c r="P29">
        <f>_xlfn.XLOOKUP(Orders[[#This Row],[Customer ID]],customers!$A$1:$A$1001,customers!$I$1:$I$1001,,0)</f>
        <v/>
      </c>
    </row>
    <row r="30">
      <c r="A30" s="2" t="inlineStr">
        <is>
          <t>O4679</t>
        </is>
      </c>
      <c r="B30" s="3" t="inlineStr">
        <is>
          <t>2022-08-24</t>
        </is>
      </c>
      <c r="C30" s="2" t="inlineStr">
        <is>
          <t>O1065</t>
        </is>
      </c>
      <c r="D30" t="inlineStr">
        <is>
          <t>O9541</t>
        </is>
      </c>
      <c r="E30" s="2" t="n">
        <v>31</v>
      </c>
      <c r="F30" s="2">
        <f>_xlfn.XLOOKUP(C30,customers!$A$1:$A$1001,customers!$B$1:$B$1001,,0)</f>
        <v/>
      </c>
      <c r="G30" s="2">
        <f>IF(_xlfn.XLOOKUP(C30,customers!$A$1:$A$1001,customers!$C$1:$C$1001,,0)=0,"",_xlfn.XLOOKUP(C30,customers!$A$1:$A$1001,customers!$C$1:$C$1001,,0))</f>
        <v/>
      </c>
      <c r="H30" s="2">
        <f>_xlfn.XLOOKUP(C30,customers!$A$1:$A$1001,customers!$G$1:$G$1001,,0)</f>
        <v/>
      </c>
      <c r="I30">
        <f>INDEX(products!$A$1:$G$49,MATCH(orders!$D30,products!$A$1:$A$49,0),MATCH(orders!I$1,products!$A$1:$G$1,0))</f>
        <v/>
      </c>
      <c r="J30">
        <f>INDEX(products!$A$1:$G$49,MATCH(orders!$D30,products!$A$1:$A$49,0),MATCH(orders!J$1,products!$A$1:$G$1,0))</f>
        <v/>
      </c>
      <c r="K30" s="4">
        <f>INDEX(products!$A$1:$G$49,MATCH(orders!$D30,products!$A$1:$A$49,0),MATCH(orders!K$1,products!$A$1:$G$1,0))</f>
        <v/>
      </c>
      <c r="L30" s="5">
        <f>INDEX(products!$A$1:$G$49,MATCH(orders!$D30,products!$A$1:$A$49,0),MATCH(orders!L$1,products!$A$1:$G$1,0))</f>
        <v/>
      </c>
      <c r="M30" s="5">
        <f>L30*E30</f>
        <v/>
      </c>
      <c r="N30">
        <f>IF(I30="Rob","Robusta",IF(I30="Exc","Excelsa",IF(I30="Ara","Arabica",IF(I30="Lib","Liberica",""))))</f>
        <v/>
      </c>
      <c r="O30">
        <f>IF(J30="M","Medium",IF(J30="L","Light",IF(J30="D","Dark","")))</f>
        <v/>
      </c>
      <c r="P30">
        <f>_xlfn.XLOOKUP(Orders[[#This Row],[Customer ID]],customers!$A$1:$A$1001,customers!$I$1:$I$1001,,0)</f>
        <v/>
      </c>
    </row>
    <row r="31">
      <c r="A31" s="2" t="inlineStr">
        <is>
          <t>O8003</t>
        </is>
      </c>
      <c r="B31" s="3" t="inlineStr">
        <is>
          <t>2021-06-21</t>
        </is>
      </c>
      <c r="C31" s="2" t="inlineStr">
        <is>
          <t>O9891</t>
        </is>
      </c>
      <c r="D31" t="inlineStr">
        <is>
          <t>O6610</t>
        </is>
      </c>
      <c r="E31" s="2" t="n">
        <v>245</v>
      </c>
      <c r="F31" s="2">
        <f>_xlfn.XLOOKUP(C31,customers!$A$1:$A$1001,customers!$B$1:$B$1001,,0)</f>
        <v/>
      </c>
      <c r="G31" s="2">
        <f>IF(_xlfn.XLOOKUP(C31,customers!$A$1:$A$1001,customers!$C$1:$C$1001,,0)=0,"",_xlfn.XLOOKUP(C31,customers!$A$1:$A$1001,customers!$C$1:$C$1001,,0))</f>
        <v/>
      </c>
      <c r="H31" s="2">
        <f>_xlfn.XLOOKUP(C31,customers!$A$1:$A$1001,customers!$G$1:$G$1001,,0)</f>
        <v/>
      </c>
      <c r="I31">
        <f>INDEX(products!$A$1:$G$49,MATCH(orders!$D31,products!$A$1:$A$49,0),MATCH(orders!I$1,products!$A$1:$G$1,0))</f>
        <v/>
      </c>
      <c r="J31">
        <f>INDEX(products!$A$1:$G$49,MATCH(orders!$D31,products!$A$1:$A$49,0),MATCH(orders!J$1,products!$A$1:$G$1,0))</f>
        <v/>
      </c>
      <c r="K31" s="4">
        <f>INDEX(products!$A$1:$G$49,MATCH(orders!$D31,products!$A$1:$A$49,0),MATCH(orders!K$1,products!$A$1:$G$1,0))</f>
        <v/>
      </c>
      <c r="L31" s="5">
        <f>INDEX(products!$A$1:$G$49,MATCH(orders!$D31,products!$A$1:$A$49,0),MATCH(orders!L$1,products!$A$1:$G$1,0))</f>
        <v/>
      </c>
      <c r="M31" s="5">
        <f>L31*E31</f>
        <v/>
      </c>
      <c r="N31">
        <f>IF(I31="Rob","Robusta",IF(I31="Exc","Excelsa",IF(I31="Ara","Arabica",IF(I31="Lib","Liberica",""))))</f>
        <v/>
      </c>
      <c r="O31">
        <f>IF(J31="M","Medium",IF(J31="L","Light",IF(J31="D","Dark","")))</f>
        <v/>
      </c>
      <c r="P31">
        <f>_xlfn.XLOOKUP(Orders[[#This Row],[Customer ID]],customers!$A$1:$A$1001,customers!$I$1:$I$1001,,0)</f>
        <v/>
      </c>
    </row>
    <row r="32">
      <c r="A32" s="2" t="inlineStr">
        <is>
          <t>O3672</t>
        </is>
      </c>
      <c r="B32" s="3" t="inlineStr">
        <is>
          <t>2022-11-17</t>
        </is>
      </c>
      <c r="C32" s="2" t="inlineStr">
        <is>
          <t>O4057</t>
        </is>
      </c>
      <c r="D32" t="inlineStr">
        <is>
          <t>O4428</t>
        </is>
      </c>
      <c r="E32" s="2" t="n">
        <v>264</v>
      </c>
      <c r="F32" s="2">
        <f>_xlfn.XLOOKUP(C32,customers!$A$1:$A$1001,customers!$B$1:$B$1001,,0)</f>
        <v/>
      </c>
      <c r="G32" s="2">
        <f>IF(_xlfn.XLOOKUP(C32,customers!$A$1:$A$1001,customers!$C$1:$C$1001,,0)=0,"",_xlfn.XLOOKUP(C32,customers!$A$1:$A$1001,customers!$C$1:$C$1001,,0))</f>
        <v/>
      </c>
      <c r="H32" s="2">
        <f>_xlfn.XLOOKUP(C32,customers!$A$1:$A$1001,customers!$G$1:$G$1001,,0)</f>
        <v/>
      </c>
      <c r="I32">
        <f>INDEX(products!$A$1:$G$49,MATCH(orders!$D32,products!$A$1:$A$49,0),MATCH(orders!I$1,products!$A$1:$G$1,0))</f>
        <v/>
      </c>
      <c r="J32">
        <f>INDEX(products!$A$1:$G$49,MATCH(orders!$D32,products!$A$1:$A$49,0),MATCH(orders!J$1,products!$A$1:$G$1,0))</f>
        <v/>
      </c>
      <c r="K32" s="4">
        <f>INDEX(products!$A$1:$G$49,MATCH(orders!$D32,products!$A$1:$A$49,0),MATCH(orders!K$1,products!$A$1:$G$1,0))</f>
        <v/>
      </c>
      <c r="L32" s="5">
        <f>INDEX(products!$A$1:$G$49,MATCH(orders!$D32,products!$A$1:$A$49,0),MATCH(orders!L$1,products!$A$1:$G$1,0))</f>
        <v/>
      </c>
      <c r="M32" s="5">
        <f>L32*E32</f>
        <v/>
      </c>
      <c r="N32">
        <f>IF(I32="Rob","Robusta",IF(I32="Exc","Excelsa",IF(I32="Ara","Arabica",IF(I32="Lib","Liberica",""))))</f>
        <v/>
      </c>
      <c r="O32">
        <f>IF(J32="M","Medium",IF(J32="L","Light",IF(J32="D","Dark","")))</f>
        <v/>
      </c>
      <c r="P32">
        <f>_xlfn.XLOOKUP(Orders[[#This Row],[Customer ID]],customers!$A$1:$A$1001,customers!$I$1:$I$1001,,0)</f>
        <v/>
      </c>
    </row>
    <row r="33">
      <c r="A33" s="2" t="inlineStr">
        <is>
          <t>O4904</t>
        </is>
      </c>
      <c r="B33" s="3" t="inlineStr">
        <is>
          <t>2024-08-09</t>
        </is>
      </c>
      <c r="C33" s="2" t="inlineStr">
        <is>
          <t>O4708</t>
        </is>
      </c>
      <c r="D33" t="inlineStr">
        <is>
          <t>O3198</t>
        </is>
      </c>
      <c r="E33" s="2" t="n">
        <v>478</v>
      </c>
      <c r="F33" s="2">
        <f>_xlfn.XLOOKUP(C33,customers!$A$1:$A$1001,customers!$B$1:$B$1001,,0)</f>
        <v/>
      </c>
      <c r="G33" s="2">
        <f>IF(_xlfn.XLOOKUP(C33,customers!$A$1:$A$1001,customers!$C$1:$C$1001,,0)=0,"",_xlfn.XLOOKUP(C33,customers!$A$1:$A$1001,customers!$C$1:$C$1001,,0))</f>
        <v/>
      </c>
      <c r="H33" s="2">
        <f>_xlfn.XLOOKUP(C33,customers!$A$1:$A$1001,customers!$G$1:$G$1001,,0)</f>
        <v/>
      </c>
      <c r="I33">
        <f>INDEX(products!$A$1:$G$49,MATCH(orders!$D33,products!$A$1:$A$49,0),MATCH(orders!I$1,products!$A$1:$G$1,0))</f>
        <v/>
      </c>
      <c r="J33">
        <f>INDEX(products!$A$1:$G$49,MATCH(orders!$D33,products!$A$1:$A$49,0),MATCH(orders!J$1,products!$A$1:$G$1,0))</f>
        <v/>
      </c>
      <c r="K33" s="4">
        <f>INDEX(products!$A$1:$G$49,MATCH(orders!$D33,products!$A$1:$A$49,0),MATCH(orders!K$1,products!$A$1:$G$1,0))</f>
        <v/>
      </c>
      <c r="L33" s="5">
        <f>INDEX(products!$A$1:$G$49,MATCH(orders!$D33,products!$A$1:$A$49,0),MATCH(orders!L$1,products!$A$1:$G$1,0))</f>
        <v/>
      </c>
      <c r="M33" s="5">
        <f>L33*E33</f>
        <v/>
      </c>
      <c r="N33">
        <f>IF(I33="Rob","Robusta",IF(I33="Exc","Excelsa",IF(I33="Ara","Arabica",IF(I33="Lib","Liberica",""))))</f>
        <v/>
      </c>
      <c r="O33">
        <f>IF(J33="M","Medium",IF(J33="L","Light",IF(J33="D","Dark","")))</f>
        <v/>
      </c>
      <c r="P33">
        <f>_xlfn.XLOOKUP(Orders[[#This Row],[Customer ID]],customers!$A$1:$A$1001,customers!$I$1:$I$1001,,0)</f>
        <v/>
      </c>
    </row>
    <row r="34">
      <c r="A34" s="2" t="inlineStr">
        <is>
          <t>O3873</t>
        </is>
      </c>
      <c r="B34" s="3" t="inlineStr">
        <is>
          <t>2024-05-26</t>
        </is>
      </c>
      <c r="C34" s="2" t="inlineStr">
        <is>
          <t>O9676</t>
        </is>
      </c>
      <c r="D34" t="inlineStr">
        <is>
          <t>O6434</t>
        </is>
      </c>
      <c r="E34" s="2" t="n">
        <v>325</v>
      </c>
      <c r="F34" s="2">
        <f>_xlfn.XLOOKUP(C34,customers!$A$1:$A$1001,customers!$B$1:$B$1001,,0)</f>
        <v/>
      </c>
      <c r="G34" s="2">
        <f>IF(_xlfn.XLOOKUP(C34,customers!$A$1:$A$1001,customers!$C$1:$C$1001,,0)=0,"",_xlfn.XLOOKUP(C34,customers!$A$1:$A$1001,customers!$C$1:$C$1001,,0))</f>
        <v/>
      </c>
      <c r="H34" s="2">
        <f>_xlfn.XLOOKUP(C34,customers!$A$1:$A$1001,customers!$G$1:$G$1001,,0)</f>
        <v/>
      </c>
      <c r="I34">
        <f>INDEX(products!$A$1:$G$49,MATCH(orders!$D34,products!$A$1:$A$49,0),MATCH(orders!I$1,products!$A$1:$G$1,0))</f>
        <v/>
      </c>
      <c r="J34">
        <f>INDEX(products!$A$1:$G$49,MATCH(orders!$D34,products!$A$1:$A$49,0),MATCH(orders!J$1,products!$A$1:$G$1,0))</f>
        <v/>
      </c>
      <c r="K34" s="4">
        <f>INDEX(products!$A$1:$G$49,MATCH(orders!$D34,products!$A$1:$A$49,0),MATCH(orders!K$1,products!$A$1:$G$1,0))</f>
        <v/>
      </c>
      <c r="L34" s="5">
        <f>INDEX(products!$A$1:$G$49,MATCH(orders!$D34,products!$A$1:$A$49,0),MATCH(orders!L$1,products!$A$1:$G$1,0))</f>
        <v/>
      </c>
      <c r="M34" s="5">
        <f>L34*E34</f>
        <v/>
      </c>
      <c r="N34">
        <f>IF(I34="Rob","Robusta",IF(I34="Exc","Excelsa",IF(I34="Ara","Arabica",IF(I34="Lib","Liberica",""))))</f>
        <v/>
      </c>
      <c r="O34">
        <f>IF(J34="M","Medium",IF(J34="L","Light",IF(J34="D","Dark","")))</f>
        <v/>
      </c>
      <c r="P34">
        <f>_xlfn.XLOOKUP(Orders[[#This Row],[Customer ID]],customers!$A$1:$A$1001,customers!$I$1:$I$1001,,0)</f>
        <v/>
      </c>
    </row>
    <row r="35">
      <c r="A35" s="2" t="inlineStr">
        <is>
          <t>O9000</t>
        </is>
      </c>
      <c r="B35" s="3" t="inlineStr">
        <is>
          <t>2021-09-25</t>
        </is>
      </c>
      <c r="C35" s="2" t="inlineStr">
        <is>
          <t>O5549</t>
        </is>
      </c>
      <c r="D35" t="inlineStr">
        <is>
          <t>O1636</t>
        </is>
      </c>
      <c r="E35" s="2" t="n">
        <v>462</v>
      </c>
      <c r="F35" s="2">
        <f>_xlfn.XLOOKUP(C35,customers!$A$1:$A$1001,customers!$B$1:$B$1001,,0)</f>
        <v/>
      </c>
      <c r="G35" s="2">
        <f>IF(_xlfn.XLOOKUP(C35,customers!$A$1:$A$1001,customers!$C$1:$C$1001,,0)=0,"",_xlfn.XLOOKUP(C35,customers!$A$1:$A$1001,customers!$C$1:$C$1001,,0))</f>
        <v/>
      </c>
      <c r="H35" s="2">
        <f>_xlfn.XLOOKUP(C35,customers!$A$1:$A$1001,customers!$G$1:$G$1001,,0)</f>
        <v/>
      </c>
      <c r="I35">
        <f>INDEX(products!$A$1:$G$49,MATCH(orders!$D35,products!$A$1:$A$49,0),MATCH(orders!I$1,products!$A$1:$G$1,0))</f>
        <v/>
      </c>
      <c r="J35">
        <f>INDEX(products!$A$1:$G$49,MATCH(orders!$D35,products!$A$1:$A$49,0),MATCH(orders!J$1,products!$A$1:$G$1,0))</f>
        <v/>
      </c>
      <c r="K35" s="4">
        <f>INDEX(products!$A$1:$G$49,MATCH(orders!$D35,products!$A$1:$A$49,0),MATCH(orders!K$1,products!$A$1:$G$1,0))</f>
        <v/>
      </c>
      <c r="L35" s="5">
        <f>INDEX(products!$A$1:$G$49,MATCH(orders!$D35,products!$A$1:$A$49,0),MATCH(orders!L$1,products!$A$1:$G$1,0))</f>
        <v/>
      </c>
      <c r="M35" s="5">
        <f>L35*E35</f>
        <v/>
      </c>
      <c r="N35">
        <f>IF(I35="Rob","Robusta",IF(I35="Exc","Excelsa",IF(I35="Ara","Arabica",IF(I35="Lib","Liberica",""))))</f>
        <v/>
      </c>
      <c r="O35">
        <f>IF(J35="M","Medium",IF(J35="L","Light",IF(J35="D","Dark","")))</f>
        <v/>
      </c>
      <c r="P35">
        <f>_xlfn.XLOOKUP(Orders[[#This Row],[Customer ID]],customers!$A$1:$A$1001,customers!$I$1:$I$1001,,0)</f>
        <v/>
      </c>
    </row>
    <row r="36">
      <c r="A36" s="2" t="inlineStr">
        <is>
          <t>O9197</t>
        </is>
      </c>
      <c r="B36" s="3" t="inlineStr">
        <is>
          <t>2024-04-29</t>
        </is>
      </c>
      <c r="C36" s="2" t="inlineStr">
        <is>
          <t>O8865</t>
        </is>
      </c>
      <c r="D36" t="inlineStr">
        <is>
          <t>O1525</t>
        </is>
      </c>
      <c r="E36" s="2" t="n">
        <v>212</v>
      </c>
      <c r="F36" s="2">
        <f>_xlfn.XLOOKUP(C36,customers!$A$1:$A$1001,customers!$B$1:$B$1001,,0)</f>
        <v/>
      </c>
      <c r="G36" s="2">
        <f>IF(_xlfn.XLOOKUP(C36,customers!$A$1:$A$1001,customers!$C$1:$C$1001,,0)=0,"",_xlfn.XLOOKUP(C36,customers!$A$1:$A$1001,customers!$C$1:$C$1001,,0))</f>
        <v/>
      </c>
      <c r="H36" s="2">
        <f>_xlfn.XLOOKUP(C36,customers!$A$1:$A$1001,customers!$G$1:$G$1001,,0)</f>
        <v/>
      </c>
      <c r="I36">
        <f>INDEX(products!$A$1:$G$49,MATCH(orders!$D36,products!$A$1:$A$49,0),MATCH(orders!I$1,products!$A$1:$G$1,0))</f>
        <v/>
      </c>
      <c r="J36">
        <f>INDEX(products!$A$1:$G$49,MATCH(orders!$D36,products!$A$1:$A$49,0),MATCH(orders!J$1,products!$A$1:$G$1,0))</f>
        <v/>
      </c>
      <c r="K36" s="4">
        <f>INDEX(products!$A$1:$G$49,MATCH(orders!$D36,products!$A$1:$A$49,0),MATCH(orders!K$1,products!$A$1:$G$1,0))</f>
        <v/>
      </c>
      <c r="L36" s="5">
        <f>INDEX(products!$A$1:$G$49,MATCH(orders!$D36,products!$A$1:$A$49,0),MATCH(orders!L$1,products!$A$1:$G$1,0))</f>
        <v/>
      </c>
      <c r="M36" s="5">
        <f>L36*E36</f>
        <v/>
      </c>
      <c r="N36">
        <f>IF(I36="Rob","Robusta",IF(I36="Exc","Excelsa",IF(I36="Ara","Arabica",IF(I36="Lib","Liberica",""))))</f>
        <v/>
      </c>
      <c r="O36">
        <f>IF(J36="M","Medium",IF(J36="L","Light",IF(J36="D","Dark","")))</f>
        <v/>
      </c>
      <c r="P36">
        <f>_xlfn.XLOOKUP(Orders[[#This Row],[Customer ID]],customers!$A$1:$A$1001,customers!$I$1:$I$1001,,0)</f>
        <v/>
      </c>
    </row>
    <row r="37">
      <c r="A37" s="2" t="inlineStr">
        <is>
          <t>O7751</t>
        </is>
      </c>
      <c r="B37" s="3" t="inlineStr">
        <is>
          <t>2021-05-05</t>
        </is>
      </c>
      <c r="C37" s="2" t="inlineStr">
        <is>
          <t>O7614</t>
        </is>
      </c>
      <c r="D37" t="inlineStr">
        <is>
          <t>O5096</t>
        </is>
      </c>
      <c r="E37" s="2" t="n">
        <v>444</v>
      </c>
      <c r="F37" s="2">
        <f>_xlfn.XLOOKUP(C37,customers!$A$1:$A$1001,customers!$B$1:$B$1001,,0)</f>
        <v/>
      </c>
      <c r="G37" s="2">
        <f>IF(_xlfn.XLOOKUP(C37,customers!$A$1:$A$1001,customers!$C$1:$C$1001,,0)=0,"",_xlfn.XLOOKUP(C37,customers!$A$1:$A$1001,customers!$C$1:$C$1001,,0))</f>
        <v/>
      </c>
      <c r="H37" s="2">
        <f>_xlfn.XLOOKUP(C37,customers!$A$1:$A$1001,customers!$G$1:$G$1001,,0)</f>
        <v/>
      </c>
      <c r="I37">
        <f>INDEX(products!$A$1:$G$49,MATCH(orders!$D37,products!$A$1:$A$49,0),MATCH(orders!I$1,products!$A$1:$G$1,0))</f>
        <v/>
      </c>
      <c r="J37">
        <f>INDEX(products!$A$1:$G$49,MATCH(orders!$D37,products!$A$1:$A$49,0),MATCH(orders!J$1,products!$A$1:$G$1,0))</f>
        <v/>
      </c>
      <c r="K37" s="4">
        <f>INDEX(products!$A$1:$G$49,MATCH(orders!$D37,products!$A$1:$A$49,0),MATCH(orders!K$1,products!$A$1:$G$1,0))</f>
        <v/>
      </c>
      <c r="L37" s="5">
        <f>INDEX(products!$A$1:$G$49,MATCH(orders!$D37,products!$A$1:$A$49,0),MATCH(orders!L$1,products!$A$1:$G$1,0))</f>
        <v/>
      </c>
      <c r="M37" s="5">
        <f>L37*E37</f>
        <v/>
      </c>
      <c r="N37">
        <f>IF(I37="Rob","Robusta",IF(I37="Exc","Excelsa",IF(I37="Ara","Arabica",IF(I37="Lib","Liberica",""))))</f>
        <v/>
      </c>
      <c r="O37">
        <f>IF(J37="M","Medium",IF(J37="L","Light",IF(J37="D","Dark","")))</f>
        <v/>
      </c>
      <c r="P37">
        <f>_xlfn.XLOOKUP(Orders[[#This Row],[Customer ID]],customers!$A$1:$A$1001,customers!$I$1:$I$1001,,0)</f>
        <v/>
      </c>
    </row>
    <row r="38">
      <c r="A38" s="2" t="inlineStr">
        <is>
          <t>O7094</t>
        </is>
      </c>
      <c r="B38" s="3" t="inlineStr">
        <is>
          <t>2023-04-14</t>
        </is>
      </c>
      <c r="C38" s="2" t="inlineStr">
        <is>
          <t>O1482</t>
        </is>
      </c>
      <c r="D38" t="inlineStr">
        <is>
          <t>O8722</t>
        </is>
      </c>
      <c r="E38" s="2" t="n">
        <v>466</v>
      </c>
      <c r="F38" s="2">
        <f>_xlfn.XLOOKUP(C38,customers!$A$1:$A$1001,customers!$B$1:$B$1001,,0)</f>
        <v/>
      </c>
      <c r="G38" s="2">
        <f>IF(_xlfn.XLOOKUP(C38,customers!$A$1:$A$1001,customers!$C$1:$C$1001,,0)=0,"",_xlfn.XLOOKUP(C38,customers!$A$1:$A$1001,customers!$C$1:$C$1001,,0))</f>
        <v/>
      </c>
      <c r="H38" s="2">
        <f>_xlfn.XLOOKUP(C38,customers!$A$1:$A$1001,customers!$G$1:$G$1001,,0)</f>
        <v/>
      </c>
      <c r="I38">
        <f>INDEX(products!$A$1:$G$49,MATCH(orders!$D38,products!$A$1:$A$49,0),MATCH(orders!I$1,products!$A$1:$G$1,0))</f>
        <v/>
      </c>
      <c r="J38">
        <f>INDEX(products!$A$1:$G$49,MATCH(orders!$D38,products!$A$1:$A$49,0),MATCH(orders!J$1,products!$A$1:$G$1,0))</f>
        <v/>
      </c>
      <c r="K38" s="4">
        <f>INDEX(products!$A$1:$G$49,MATCH(orders!$D38,products!$A$1:$A$49,0),MATCH(orders!K$1,products!$A$1:$G$1,0))</f>
        <v/>
      </c>
      <c r="L38" s="5">
        <f>INDEX(products!$A$1:$G$49,MATCH(orders!$D38,products!$A$1:$A$49,0),MATCH(orders!L$1,products!$A$1:$G$1,0))</f>
        <v/>
      </c>
      <c r="M38" s="5">
        <f>L38*E38</f>
        <v/>
      </c>
      <c r="N38">
        <f>IF(I38="Rob","Robusta",IF(I38="Exc","Excelsa",IF(I38="Ara","Arabica",IF(I38="Lib","Liberica",""))))</f>
        <v/>
      </c>
      <c r="O38">
        <f>IF(J38="M","Medium",IF(J38="L","Light",IF(J38="D","Dark","")))</f>
        <v/>
      </c>
      <c r="P38">
        <f>_xlfn.XLOOKUP(Orders[[#This Row],[Customer ID]],customers!$A$1:$A$1001,customers!$I$1:$I$1001,,0)</f>
        <v/>
      </c>
    </row>
    <row r="39">
      <c r="A39" s="2" t="inlineStr">
        <is>
          <t>O4343</t>
        </is>
      </c>
      <c r="B39" s="3" t="inlineStr">
        <is>
          <t>2021-05-22</t>
        </is>
      </c>
      <c r="C39" s="2" t="inlineStr">
        <is>
          <t>O2663</t>
        </is>
      </c>
      <c r="D39" t="inlineStr">
        <is>
          <t>O4761</t>
        </is>
      </c>
      <c r="E39" s="2" t="n">
        <v>188</v>
      </c>
      <c r="F39" s="2">
        <f>_xlfn.XLOOKUP(C39,customers!$A$1:$A$1001,customers!$B$1:$B$1001,,0)</f>
        <v/>
      </c>
      <c r="G39" s="2">
        <f>IF(_xlfn.XLOOKUP(C39,customers!$A$1:$A$1001,customers!$C$1:$C$1001,,0)=0,"",_xlfn.XLOOKUP(C39,customers!$A$1:$A$1001,customers!$C$1:$C$1001,,0))</f>
        <v/>
      </c>
      <c r="H39" s="2">
        <f>_xlfn.XLOOKUP(C39,customers!$A$1:$A$1001,customers!$G$1:$G$1001,,0)</f>
        <v/>
      </c>
      <c r="I39">
        <f>INDEX(products!$A$1:$G$49,MATCH(orders!$D39,products!$A$1:$A$49,0),MATCH(orders!I$1,products!$A$1:$G$1,0))</f>
        <v/>
      </c>
      <c r="J39">
        <f>INDEX(products!$A$1:$G$49,MATCH(orders!$D39,products!$A$1:$A$49,0),MATCH(orders!J$1,products!$A$1:$G$1,0))</f>
        <v/>
      </c>
      <c r="K39" s="4">
        <f>INDEX(products!$A$1:$G$49,MATCH(orders!$D39,products!$A$1:$A$49,0),MATCH(orders!K$1,products!$A$1:$G$1,0))</f>
        <v/>
      </c>
      <c r="L39" s="5">
        <f>INDEX(products!$A$1:$G$49,MATCH(orders!$D39,products!$A$1:$A$49,0),MATCH(orders!L$1,products!$A$1:$G$1,0))</f>
        <v/>
      </c>
      <c r="M39" s="5">
        <f>L39*E39</f>
        <v/>
      </c>
      <c r="N39">
        <f>IF(I39="Rob","Robusta",IF(I39="Exc","Excelsa",IF(I39="Ara","Arabica",IF(I39="Lib","Liberica",""))))</f>
        <v/>
      </c>
      <c r="O39">
        <f>IF(J39="M","Medium",IF(J39="L","Light",IF(J39="D","Dark","")))</f>
        <v/>
      </c>
      <c r="P39">
        <f>_xlfn.XLOOKUP(Orders[[#This Row],[Customer ID]],customers!$A$1:$A$1001,customers!$I$1:$I$1001,,0)</f>
        <v/>
      </c>
    </row>
    <row r="40">
      <c r="A40" s="2" t="inlineStr">
        <is>
          <t>O7330</t>
        </is>
      </c>
      <c r="B40" s="3" t="inlineStr">
        <is>
          <t>2020-04-14</t>
        </is>
      </c>
      <c r="C40" s="2" t="inlineStr">
        <is>
          <t>O8430</t>
        </is>
      </c>
      <c r="D40" t="inlineStr">
        <is>
          <t>O6643</t>
        </is>
      </c>
      <c r="E40" s="2" t="n">
        <v>36</v>
      </c>
      <c r="F40" s="2">
        <f>_xlfn.XLOOKUP(C40,customers!$A$1:$A$1001,customers!$B$1:$B$1001,,0)</f>
        <v/>
      </c>
      <c r="G40" s="2">
        <f>IF(_xlfn.XLOOKUP(C40,customers!$A$1:$A$1001,customers!$C$1:$C$1001,,0)=0,"",_xlfn.XLOOKUP(C40,customers!$A$1:$A$1001,customers!$C$1:$C$1001,,0))</f>
        <v/>
      </c>
      <c r="H40" s="2">
        <f>_xlfn.XLOOKUP(C40,customers!$A$1:$A$1001,customers!$G$1:$G$1001,,0)</f>
        <v/>
      </c>
      <c r="I40">
        <f>INDEX(products!$A$1:$G$49,MATCH(orders!$D40,products!$A$1:$A$49,0),MATCH(orders!I$1,products!$A$1:$G$1,0))</f>
        <v/>
      </c>
      <c r="J40">
        <f>INDEX(products!$A$1:$G$49,MATCH(orders!$D40,products!$A$1:$A$49,0),MATCH(orders!J$1,products!$A$1:$G$1,0))</f>
        <v/>
      </c>
      <c r="K40" s="4">
        <f>INDEX(products!$A$1:$G$49,MATCH(orders!$D40,products!$A$1:$A$49,0),MATCH(orders!K$1,products!$A$1:$G$1,0))</f>
        <v/>
      </c>
      <c r="L40" s="5">
        <f>INDEX(products!$A$1:$G$49,MATCH(orders!$D40,products!$A$1:$A$49,0),MATCH(orders!L$1,products!$A$1:$G$1,0))</f>
        <v/>
      </c>
      <c r="M40" s="5">
        <f>L40*E40</f>
        <v/>
      </c>
      <c r="N40">
        <f>IF(I40="Rob","Robusta",IF(I40="Exc","Excelsa",IF(I40="Ara","Arabica",IF(I40="Lib","Liberica",""))))</f>
        <v/>
      </c>
      <c r="O40">
        <f>IF(J40="M","Medium",IF(J40="L","Light",IF(J40="D","Dark","")))</f>
        <v/>
      </c>
      <c r="P40">
        <f>_xlfn.XLOOKUP(Orders[[#This Row],[Customer ID]],customers!$A$1:$A$1001,customers!$I$1:$I$1001,,0)</f>
        <v/>
      </c>
    </row>
    <row r="41">
      <c r="A41" s="2" t="inlineStr">
        <is>
          <t>O2793</t>
        </is>
      </c>
      <c r="B41" s="3" t="inlineStr">
        <is>
          <t>2023-06-15</t>
        </is>
      </c>
      <c r="C41" s="2" t="inlineStr">
        <is>
          <t>O1175</t>
        </is>
      </c>
      <c r="D41" t="inlineStr">
        <is>
          <t>O9016</t>
        </is>
      </c>
      <c r="E41" s="2" t="n">
        <v>404</v>
      </c>
      <c r="F41" s="2">
        <f>_xlfn.XLOOKUP(C41,customers!$A$1:$A$1001,customers!$B$1:$B$1001,,0)</f>
        <v/>
      </c>
      <c r="G41" s="2">
        <f>IF(_xlfn.XLOOKUP(C41,customers!$A$1:$A$1001,customers!$C$1:$C$1001,,0)=0,"",_xlfn.XLOOKUP(C41,customers!$A$1:$A$1001,customers!$C$1:$C$1001,,0))</f>
        <v/>
      </c>
      <c r="H41" s="2">
        <f>_xlfn.XLOOKUP(C41,customers!$A$1:$A$1001,customers!$G$1:$G$1001,,0)</f>
        <v/>
      </c>
      <c r="I41">
        <f>INDEX(products!$A$1:$G$49,MATCH(orders!$D41,products!$A$1:$A$49,0),MATCH(orders!I$1,products!$A$1:$G$1,0))</f>
        <v/>
      </c>
      <c r="J41">
        <f>INDEX(products!$A$1:$G$49,MATCH(orders!$D41,products!$A$1:$A$49,0),MATCH(orders!J$1,products!$A$1:$G$1,0))</f>
        <v/>
      </c>
      <c r="K41" s="4">
        <f>INDEX(products!$A$1:$G$49,MATCH(orders!$D41,products!$A$1:$A$49,0),MATCH(orders!K$1,products!$A$1:$G$1,0))</f>
        <v/>
      </c>
      <c r="L41" s="5">
        <f>INDEX(products!$A$1:$G$49,MATCH(orders!$D41,products!$A$1:$A$49,0),MATCH(orders!L$1,products!$A$1:$G$1,0))</f>
        <v/>
      </c>
      <c r="M41" s="5">
        <f>L41*E41</f>
        <v/>
      </c>
      <c r="N41">
        <f>IF(I41="Rob","Robusta",IF(I41="Exc","Excelsa",IF(I41="Ara","Arabica",IF(I41="Lib","Liberica",""))))</f>
        <v/>
      </c>
      <c r="O41">
        <f>IF(J41="M","Medium",IF(J41="L","Light",IF(J41="D","Dark","")))</f>
        <v/>
      </c>
      <c r="P41">
        <f>_xlfn.XLOOKUP(Orders[[#This Row],[Customer ID]],customers!$A$1:$A$1001,customers!$I$1:$I$1001,,0)</f>
        <v/>
      </c>
    </row>
    <row r="42">
      <c r="A42" s="2" t="inlineStr">
        <is>
          <t>O8952</t>
        </is>
      </c>
      <c r="B42" s="3" t="inlineStr">
        <is>
          <t>2020-07-02</t>
        </is>
      </c>
      <c r="C42" s="2" t="inlineStr">
        <is>
          <t>O2643</t>
        </is>
      </c>
      <c r="D42" t="inlineStr">
        <is>
          <t>O2442</t>
        </is>
      </c>
      <c r="E42" s="2" t="n">
        <v>244</v>
      </c>
      <c r="F42" s="2">
        <f>_xlfn.XLOOKUP(C42,customers!$A$1:$A$1001,customers!$B$1:$B$1001,,0)</f>
        <v/>
      </c>
      <c r="G42" s="2">
        <f>IF(_xlfn.XLOOKUP(C42,customers!$A$1:$A$1001,customers!$C$1:$C$1001,,0)=0,"",_xlfn.XLOOKUP(C42,customers!$A$1:$A$1001,customers!$C$1:$C$1001,,0))</f>
        <v/>
      </c>
      <c r="H42" s="2">
        <f>_xlfn.XLOOKUP(C42,customers!$A$1:$A$1001,customers!$G$1:$G$1001,,0)</f>
        <v/>
      </c>
      <c r="I42">
        <f>INDEX(products!$A$1:$G$49,MATCH(orders!$D42,products!$A$1:$A$49,0),MATCH(orders!I$1,products!$A$1:$G$1,0))</f>
        <v/>
      </c>
      <c r="J42">
        <f>INDEX(products!$A$1:$G$49,MATCH(orders!$D42,products!$A$1:$A$49,0),MATCH(orders!J$1,products!$A$1:$G$1,0))</f>
        <v/>
      </c>
      <c r="K42" s="4">
        <f>INDEX(products!$A$1:$G$49,MATCH(orders!$D42,products!$A$1:$A$49,0),MATCH(orders!K$1,products!$A$1:$G$1,0))</f>
        <v/>
      </c>
      <c r="L42" s="5">
        <f>INDEX(products!$A$1:$G$49,MATCH(orders!$D42,products!$A$1:$A$49,0),MATCH(orders!L$1,products!$A$1:$G$1,0))</f>
        <v/>
      </c>
      <c r="M42" s="5">
        <f>L42*E42</f>
        <v/>
      </c>
      <c r="N42">
        <f>IF(I42="Rob","Robusta",IF(I42="Exc","Excelsa",IF(I42="Ara","Arabica",IF(I42="Lib","Liberica",""))))</f>
        <v/>
      </c>
      <c r="O42">
        <f>IF(J42="M","Medium",IF(J42="L","Light",IF(J42="D","Dark","")))</f>
        <v/>
      </c>
      <c r="P42">
        <f>_xlfn.XLOOKUP(Orders[[#This Row],[Customer ID]],customers!$A$1:$A$1001,customers!$I$1:$I$1001,,0)</f>
        <v/>
      </c>
    </row>
    <row r="43">
      <c r="A43" s="2" t="inlineStr">
        <is>
          <t>O8618</t>
        </is>
      </c>
      <c r="B43" s="3" t="inlineStr">
        <is>
          <t>2022-12-13</t>
        </is>
      </c>
      <c r="C43" s="2" t="inlineStr">
        <is>
          <t>O7249</t>
        </is>
      </c>
      <c r="D43" t="inlineStr">
        <is>
          <t>O1772</t>
        </is>
      </c>
      <c r="E43" s="2" t="n">
        <v>304</v>
      </c>
      <c r="F43" s="2">
        <f>_xlfn.XLOOKUP(C43,customers!$A$1:$A$1001,customers!$B$1:$B$1001,,0)</f>
        <v/>
      </c>
      <c r="G43" s="2">
        <f>IF(_xlfn.XLOOKUP(C43,customers!$A$1:$A$1001,customers!$C$1:$C$1001,,0)=0,"",_xlfn.XLOOKUP(C43,customers!$A$1:$A$1001,customers!$C$1:$C$1001,,0))</f>
        <v/>
      </c>
      <c r="H43" s="2">
        <f>_xlfn.XLOOKUP(C43,customers!$A$1:$A$1001,customers!$G$1:$G$1001,,0)</f>
        <v/>
      </c>
      <c r="I43">
        <f>INDEX(products!$A$1:$G$49,MATCH(orders!$D43,products!$A$1:$A$49,0),MATCH(orders!I$1,products!$A$1:$G$1,0))</f>
        <v/>
      </c>
      <c r="J43">
        <f>INDEX(products!$A$1:$G$49,MATCH(orders!$D43,products!$A$1:$A$49,0),MATCH(orders!J$1,products!$A$1:$G$1,0))</f>
        <v/>
      </c>
      <c r="K43" s="4">
        <f>INDEX(products!$A$1:$G$49,MATCH(orders!$D43,products!$A$1:$A$49,0),MATCH(orders!K$1,products!$A$1:$G$1,0))</f>
        <v/>
      </c>
      <c r="L43" s="5">
        <f>INDEX(products!$A$1:$G$49,MATCH(orders!$D43,products!$A$1:$A$49,0),MATCH(orders!L$1,products!$A$1:$G$1,0))</f>
        <v/>
      </c>
      <c r="M43" s="5">
        <f>L43*E43</f>
        <v/>
      </c>
      <c r="N43">
        <f>IF(I43="Rob","Robusta",IF(I43="Exc","Excelsa",IF(I43="Ara","Arabica",IF(I43="Lib","Liberica",""))))</f>
        <v/>
      </c>
      <c r="O43">
        <f>IF(J43="M","Medium",IF(J43="L","Light",IF(J43="D","Dark","")))</f>
        <v/>
      </c>
      <c r="P43">
        <f>_xlfn.XLOOKUP(Orders[[#This Row],[Customer ID]],customers!$A$1:$A$1001,customers!$I$1:$I$1001,,0)</f>
        <v/>
      </c>
    </row>
    <row r="44">
      <c r="A44" s="2" t="inlineStr">
        <is>
          <t>O8149</t>
        </is>
      </c>
      <c r="B44" s="3" t="inlineStr">
        <is>
          <t>2022-06-15</t>
        </is>
      </c>
      <c r="C44" s="2" t="inlineStr">
        <is>
          <t>O3739</t>
        </is>
      </c>
      <c r="D44" t="inlineStr">
        <is>
          <t>O5939</t>
        </is>
      </c>
      <c r="E44" s="2" t="n">
        <v>36</v>
      </c>
      <c r="F44" s="2">
        <f>_xlfn.XLOOKUP(C44,customers!$A$1:$A$1001,customers!$B$1:$B$1001,,0)</f>
        <v/>
      </c>
      <c r="G44" s="2">
        <f>IF(_xlfn.XLOOKUP(C44,customers!$A$1:$A$1001,customers!$C$1:$C$1001,,0)=0,"",_xlfn.XLOOKUP(C44,customers!$A$1:$A$1001,customers!$C$1:$C$1001,,0))</f>
        <v/>
      </c>
      <c r="H44" s="2">
        <f>_xlfn.XLOOKUP(C44,customers!$A$1:$A$1001,customers!$G$1:$G$1001,,0)</f>
        <v/>
      </c>
      <c r="I44">
        <f>INDEX(products!$A$1:$G$49,MATCH(orders!$D44,products!$A$1:$A$49,0),MATCH(orders!I$1,products!$A$1:$G$1,0))</f>
        <v/>
      </c>
      <c r="J44">
        <f>INDEX(products!$A$1:$G$49,MATCH(orders!$D44,products!$A$1:$A$49,0),MATCH(orders!J$1,products!$A$1:$G$1,0))</f>
        <v/>
      </c>
      <c r="K44" s="4">
        <f>INDEX(products!$A$1:$G$49,MATCH(orders!$D44,products!$A$1:$A$49,0),MATCH(orders!K$1,products!$A$1:$G$1,0))</f>
        <v/>
      </c>
      <c r="L44" s="5">
        <f>INDEX(products!$A$1:$G$49,MATCH(orders!$D44,products!$A$1:$A$49,0),MATCH(orders!L$1,products!$A$1:$G$1,0))</f>
        <v/>
      </c>
      <c r="M44" s="5">
        <f>L44*E44</f>
        <v/>
      </c>
      <c r="N44">
        <f>IF(I44="Rob","Robusta",IF(I44="Exc","Excelsa",IF(I44="Ara","Arabica",IF(I44="Lib","Liberica",""))))</f>
        <v/>
      </c>
      <c r="O44">
        <f>IF(J44="M","Medium",IF(J44="L","Light",IF(J44="D","Dark","")))</f>
        <v/>
      </c>
      <c r="P44">
        <f>_xlfn.XLOOKUP(Orders[[#This Row],[Customer ID]],customers!$A$1:$A$1001,customers!$I$1:$I$1001,,0)</f>
        <v/>
      </c>
    </row>
    <row r="45">
      <c r="A45" s="2" t="inlineStr">
        <is>
          <t>O9765</t>
        </is>
      </c>
      <c r="B45" s="3" t="inlineStr">
        <is>
          <t>2024-08-11</t>
        </is>
      </c>
      <c r="C45" s="2" t="inlineStr">
        <is>
          <t>O6706</t>
        </is>
      </c>
      <c r="D45" t="inlineStr">
        <is>
          <t>O3903</t>
        </is>
      </c>
      <c r="E45" s="2" t="n">
        <v>261</v>
      </c>
      <c r="F45" s="2">
        <f>_xlfn.XLOOKUP(C45,customers!$A$1:$A$1001,customers!$B$1:$B$1001,,0)</f>
        <v/>
      </c>
      <c r="G45" s="2">
        <f>IF(_xlfn.XLOOKUP(C45,customers!$A$1:$A$1001,customers!$C$1:$C$1001,,0)=0,"",_xlfn.XLOOKUP(C45,customers!$A$1:$A$1001,customers!$C$1:$C$1001,,0))</f>
        <v/>
      </c>
      <c r="H45" s="2">
        <f>_xlfn.XLOOKUP(C45,customers!$A$1:$A$1001,customers!$G$1:$G$1001,,0)</f>
        <v/>
      </c>
      <c r="I45">
        <f>INDEX(products!$A$1:$G$49,MATCH(orders!$D45,products!$A$1:$A$49,0),MATCH(orders!I$1,products!$A$1:$G$1,0))</f>
        <v/>
      </c>
      <c r="J45">
        <f>INDEX(products!$A$1:$G$49,MATCH(orders!$D45,products!$A$1:$A$49,0),MATCH(orders!J$1,products!$A$1:$G$1,0))</f>
        <v/>
      </c>
      <c r="K45" s="4">
        <f>INDEX(products!$A$1:$G$49,MATCH(orders!$D45,products!$A$1:$A$49,0),MATCH(orders!K$1,products!$A$1:$G$1,0))</f>
        <v/>
      </c>
      <c r="L45" s="5">
        <f>INDEX(products!$A$1:$G$49,MATCH(orders!$D45,products!$A$1:$A$49,0),MATCH(orders!L$1,products!$A$1:$G$1,0))</f>
        <v/>
      </c>
      <c r="M45" s="5">
        <f>L45*E45</f>
        <v/>
      </c>
      <c r="N45">
        <f>IF(I45="Rob","Robusta",IF(I45="Exc","Excelsa",IF(I45="Ara","Arabica",IF(I45="Lib","Liberica",""))))</f>
        <v/>
      </c>
      <c r="O45">
        <f>IF(J45="M","Medium",IF(J45="L","Light",IF(J45="D","Dark","")))</f>
        <v/>
      </c>
      <c r="P45">
        <f>_xlfn.XLOOKUP(Orders[[#This Row],[Customer ID]],customers!$A$1:$A$1001,customers!$I$1:$I$1001,,0)</f>
        <v/>
      </c>
    </row>
    <row r="46">
      <c r="A46" s="2" t="inlineStr">
        <is>
          <t>O3551</t>
        </is>
      </c>
      <c r="B46" s="3" t="inlineStr">
        <is>
          <t>2022-02-02</t>
        </is>
      </c>
      <c r="C46" s="2" t="inlineStr">
        <is>
          <t>O4170</t>
        </is>
      </c>
      <c r="D46" t="inlineStr">
        <is>
          <t>O3945</t>
        </is>
      </c>
      <c r="E46" s="2" t="n">
        <v>4</v>
      </c>
      <c r="F46" s="2">
        <f>_xlfn.XLOOKUP(C46,customers!$A$1:$A$1001,customers!$B$1:$B$1001,,0)</f>
        <v/>
      </c>
      <c r="G46" s="2">
        <f>IF(_xlfn.XLOOKUP(C46,customers!$A$1:$A$1001,customers!$C$1:$C$1001,,0)=0,"",_xlfn.XLOOKUP(C46,customers!$A$1:$A$1001,customers!$C$1:$C$1001,,0))</f>
        <v/>
      </c>
      <c r="H46" s="2">
        <f>_xlfn.XLOOKUP(C46,customers!$A$1:$A$1001,customers!$G$1:$G$1001,,0)</f>
        <v/>
      </c>
      <c r="I46">
        <f>INDEX(products!$A$1:$G$49,MATCH(orders!$D46,products!$A$1:$A$49,0),MATCH(orders!I$1,products!$A$1:$G$1,0))</f>
        <v/>
      </c>
      <c r="J46">
        <f>INDEX(products!$A$1:$G$49,MATCH(orders!$D46,products!$A$1:$A$49,0),MATCH(orders!J$1,products!$A$1:$G$1,0))</f>
        <v/>
      </c>
      <c r="K46" s="4">
        <f>INDEX(products!$A$1:$G$49,MATCH(orders!$D46,products!$A$1:$A$49,0),MATCH(orders!K$1,products!$A$1:$G$1,0))</f>
        <v/>
      </c>
      <c r="L46" s="5">
        <f>INDEX(products!$A$1:$G$49,MATCH(orders!$D46,products!$A$1:$A$49,0),MATCH(orders!L$1,products!$A$1:$G$1,0))</f>
        <v/>
      </c>
      <c r="M46" s="5">
        <f>L46*E46</f>
        <v/>
      </c>
      <c r="N46">
        <f>IF(I46="Rob","Robusta",IF(I46="Exc","Excelsa",IF(I46="Ara","Arabica",IF(I46="Lib","Liberica",""))))</f>
        <v/>
      </c>
      <c r="O46">
        <f>IF(J46="M","Medium",IF(J46="L","Light",IF(J46="D","Dark","")))</f>
        <v/>
      </c>
      <c r="P46">
        <f>_xlfn.XLOOKUP(Orders[[#This Row],[Customer ID]],customers!$A$1:$A$1001,customers!$I$1:$I$1001,,0)</f>
        <v/>
      </c>
    </row>
    <row r="47">
      <c r="A47" s="2" t="inlineStr">
        <is>
          <t>O8059</t>
        </is>
      </c>
      <c r="B47" s="3" t="inlineStr">
        <is>
          <t>2024-11-17</t>
        </is>
      </c>
      <c r="C47" s="2" t="inlineStr">
        <is>
          <t>O9737</t>
        </is>
      </c>
      <c r="D47" t="inlineStr">
        <is>
          <t>O8853</t>
        </is>
      </c>
      <c r="E47" s="2" t="n">
        <v>3</v>
      </c>
      <c r="F47" s="2">
        <f>_xlfn.XLOOKUP(C47,customers!$A$1:$A$1001,customers!$B$1:$B$1001,,0)</f>
        <v/>
      </c>
      <c r="G47" s="2">
        <f>IF(_xlfn.XLOOKUP(C47,customers!$A$1:$A$1001,customers!$C$1:$C$1001,,0)=0,"",_xlfn.XLOOKUP(C47,customers!$A$1:$A$1001,customers!$C$1:$C$1001,,0))</f>
        <v/>
      </c>
      <c r="H47" s="2">
        <f>_xlfn.XLOOKUP(C47,customers!$A$1:$A$1001,customers!$G$1:$G$1001,,0)</f>
        <v/>
      </c>
      <c r="I47">
        <f>INDEX(products!$A$1:$G$49,MATCH(orders!$D47,products!$A$1:$A$49,0),MATCH(orders!I$1,products!$A$1:$G$1,0))</f>
        <v/>
      </c>
      <c r="J47">
        <f>INDEX(products!$A$1:$G$49,MATCH(orders!$D47,products!$A$1:$A$49,0),MATCH(orders!J$1,products!$A$1:$G$1,0))</f>
        <v/>
      </c>
      <c r="K47" s="4">
        <f>INDEX(products!$A$1:$G$49,MATCH(orders!$D47,products!$A$1:$A$49,0),MATCH(orders!K$1,products!$A$1:$G$1,0))</f>
        <v/>
      </c>
      <c r="L47" s="5">
        <f>INDEX(products!$A$1:$G$49,MATCH(orders!$D47,products!$A$1:$A$49,0),MATCH(orders!L$1,products!$A$1:$G$1,0))</f>
        <v/>
      </c>
      <c r="M47" s="5">
        <f>L47*E47</f>
        <v/>
      </c>
      <c r="N47">
        <f>IF(I47="Rob","Robusta",IF(I47="Exc","Excelsa",IF(I47="Ara","Arabica",IF(I47="Lib","Liberica",""))))</f>
        <v/>
      </c>
      <c r="O47">
        <f>IF(J47="M","Medium",IF(J47="L","Light",IF(J47="D","Dark","")))</f>
        <v/>
      </c>
      <c r="P47">
        <f>_xlfn.XLOOKUP(Orders[[#This Row],[Customer ID]],customers!$A$1:$A$1001,customers!$I$1:$I$1001,,0)</f>
        <v/>
      </c>
    </row>
    <row r="48">
      <c r="A48" s="2" t="inlineStr">
        <is>
          <t>O3710</t>
        </is>
      </c>
      <c r="B48" s="3" t="inlineStr">
        <is>
          <t>2020-12-10</t>
        </is>
      </c>
      <c r="C48" s="2" t="inlineStr">
        <is>
          <t>O1493</t>
        </is>
      </c>
      <c r="D48" t="inlineStr">
        <is>
          <t>O3993</t>
        </is>
      </c>
      <c r="E48" s="2" t="n">
        <v>317</v>
      </c>
      <c r="F48" s="2">
        <f>_xlfn.XLOOKUP(C48,customers!$A$1:$A$1001,customers!$B$1:$B$1001,,0)</f>
        <v/>
      </c>
      <c r="G48" s="2">
        <f>IF(_xlfn.XLOOKUP(C48,customers!$A$1:$A$1001,customers!$C$1:$C$1001,,0)=0,"",_xlfn.XLOOKUP(C48,customers!$A$1:$A$1001,customers!$C$1:$C$1001,,0))</f>
        <v/>
      </c>
      <c r="H48" s="2">
        <f>_xlfn.XLOOKUP(C48,customers!$A$1:$A$1001,customers!$G$1:$G$1001,,0)</f>
        <v/>
      </c>
      <c r="I48">
        <f>INDEX(products!$A$1:$G$49,MATCH(orders!$D48,products!$A$1:$A$49,0),MATCH(orders!I$1,products!$A$1:$G$1,0))</f>
        <v/>
      </c>
      <c r="J48">
        <f>INDEX(products!$A$1:$G$49,MATCH(orders!$D48,products!$A$1:$A$49,0),MATCH(orders!J$1,products!$A$1:$G$1,0))</f>
        <v/>
      </c>
      <c r="K48" s="4">
        <f>INDEX(products!$A$1:$G$49,MATCH(orders!$D48,products!$A$1:$A$49,0),MATCH(orders!K$1,products!$A$1:$G$1,0))</f>
        <v/>
      </c>
      <c r="L48" s="5">
        <f>INDEX(products!$A$1:$G$49,MATCH(orders!$D48,products!$A$1:$A$49,0),MATCH(orders!L$1,products!$A$1:$G$1,0))</f>
        <v/>
      </c>
      <c r="M48" s="5">
        <f>L48*E48</f>
        <v/>
      </c>
      <c r="N48">
        <f>IF(I48="Rob","Robusta",IF(I48="Exc","Excelsa",IF(I48="Ara","Arabica",IF(I48="Lib","Liberica",""))))</f>
        <v/>
      </c>
      <c r="O48">
        <f>IF(J48="M","Medium",IF(J48="L","Light",IF(J48="D","Dark","")))</f>
        <v/>
      </c>
      <c r="P48">
        <f>_xlfn.XLOOKUP(Orders[[#This Row],[Customer ID]],customers!$A$1:$A$1001,customers!$I$1:$I$1001,,0)</f>
        <v/>
      </c>
    </row>
    <row r="49">
      <c r="A49" s="2" t="inlineStr">
        <is>
          <t>O4707</t>
        </is>
      </c>
      <c r="B49" s="3" t="inlineStr">
        <is>
          <t>2024-07-07</t>
        </is>
      </c>
      <c r="C49" s="2" t="inlineStr">
        <is>
          <t>O3396</t>
        </is>
      </c>
      <c r="D49" t="inlineStr">
        <is>
          <t>O2334</t>
        </is>
      </c>
      <c r="E49" s="2" t="n">
        <v>33</v>
      </c>
      <c r="F49" s="2">
        <f>_xlfn.XLOOKUP(C49,customers!$A$1:$A$1001,customers!$B$1:$B$1001,,0)</f>
        <v/>
      </c>
      <c r="G49" s="2">
        <f>IF(_xlfn.XLOOKUP(C49,customers!$A$1:$A$1001,customers!$C$1:$C$1001,,0)=0,"",_xlfn.XLOOKUP(C49,customers!$A$1:$A$1001,customers!$C$1:$C$1001,,0))</f>
        <v/>
      </c>
      <c r="H49" s="2">
        <f>_xlfn.XLOOKUP(C49,customers!$A$1:$A$1001,customers!$G$1:$G$1001,,0)</f>
        <v/>
      </c>
      <c r="I49">
        <f>INDEX(products!$A$1:$G$49,MATCH(orders!$D49,products!$A$1:$A$49,0),MATCH(orders!I$1,products!$A$1:$G$1,0))</f>
        <v/>
      </c>
      <c r="J49">
        <f>INDEX(products!$A$1:$G$49,MATCH(orders!$D49,products!$A$1:$A$49,0),MATCH(orders!J$1,products!$A$1:$G$1,0))</f>
        <v/>
      </c>
      <c r="K49" s="4">
        <f>INDEX(products!$A$1:$G$49,MATCH(orders!$D49,products!$A$1:$A$49,0),MATCH(orders!K$1,products!$A$1:$G$1,0))</f>
        <v/>
      </c>
      <c r="L49" s="5">
        <f>INDEX(products!$A$1:$G$49,MATCH(orders!$D49,products!$A$1:$A$49,0),MATCH(orders!L$1,products!$A$1:$G$1,0))</f>
        <v/>
      </c>
      <c r="M49" s="5">
        <f>L49*E49</f>
        <v/>
      </c>
      <c r="N49">
        <f>IF(I49="Rob","Robusta",IF(I49="Exc","Excelsa",IF(I49="Ara","Arabica",IF(I49="Lib","Liberica",""))))</f>
        <v/>
      </c>
      <c r="O49">
        <f>IF(J49="M","Medium",IF(J49="L","Light",IF(J49="D","Dark","")))</f>
        <v/>
      </c>
      <c r="P49">
        <f>_xlfn.XLOOKUP(Orders[[#This Row],[Customer ID]],customers!$A$1:$A$1001,customers!$I$1:$I$1001,,0)</f>
        <v/>
      </c>
    </row>
    <row r="50">
      <c r="A50" s="2" t="inlineStr">
        <is>
          <t>O2258</t>
        </is>
      </c>
      <c r="B50" s="3" t="inlineStr">
        <is>
          <t>2023-10-18</t>
        </is>
      </c>
      <c r="C50" s="2" t="inlineStr">
        <is>
          <t>O8423</t>
        </is>
      </c>
      <c r="D50" t="inlineStr">
        <is>
          <t>O3815</t>
        </is>
      </c>
      <c r="E50" s="2" t="n">
        <v>330</v>
      </c>
      <c r="F50" s="2">
        <f>_xlfn.XLOOKUP(C50,customers!$A$1:$A$1001,customers!$B$1:$B$1001,,0)</f>
        <v/>
      </c>
      <c r="G50" s="2">
        <f>IF(_xlfn.XLOOKUP(C50,customers!$A$1:$A$1001,customers!$C$1:$C$1001,,0)=0,"",_xlfn.XLOOKUP(C50,customers!$A$1:$A$1001,customers!$C$1:$C$1001,,0))</f>
        <v/>
      </c>
      <c r="H50" s="2">
        <f>_xlfn.XLOOKUP(C50,customers!$A$1:$A$1001,customers!$G$1:$G$1001,,0)</f>
        <v/>
      </c>
      <c r="I50">
        <f>INDEX(products!$A$1:$G$49,MATCH(orders!$D50,products!$A$1:$A$49,0),MATCH(orders!I$1,products!$A$1:$G$1,0))</f>
        <v/>
      </c>
      <c r="J50">
        <f>INDEX(products!$A$1:$G$49,MATCH(orders!$D50,products!$A$1:$A$49,0),MATCH(orders!J$1,products!$A$1:$G$1,0))</f>
        <v/>
      </c>
      <c r="K50" s="4">
        <f>INDEX(products!$A$1:$G$49,MATCH(orders!$D50,products!$A$1:$A$49,0),MATCH(orders!K$1,products!$A$1:$G$1,0))</f>
        <v/>
      </c>
      <c r="L50" s="5">
        <f>INDEX(products!$A$1:$G$49,MATCH(orders!$D50,products!$A$1:$A$49,0),MATCH(orders!L$1,products!$A$1:$G$1,0))</f>
        <v/>
      </c>
      <c r="M50" s="5">
        <f>L50*E50</f>
        <v/>
      </c>
      <c r="N50">
        <f>IF(I50="Rob","Robusta",IF(I50="Exc","Excelsa",IF(I50="Ara","Arabica",IF(I50="Lib","Liberica",""))))</f>
        <v/>
      </c>
      <c r="O50">
        <f>IF(J50="M","Medium",IF(J50="L","Light",IF(J50="D","Dark","")))</f>
        <v/>
      </c>
      <c r="P50">
        <f>_xlfn.XLOOKUP(Orders[[#This Row],[Customer ID]],customers!$A$1:$A$1001,customers!$I$1:$I$1001,,0)</f>
        <v/>
      </c>
    </row>
    <row r="51">
      <c r="A51" s="2" t="inlineStr">
        <is>
          <t>O5821</t>
        </is>
      </c>
      <c r="B51" s="3" t="inlineStr">
        <is>
          <t>2022-09-18</t>
        </is>
      </c>
      <c r="C51" s="2" t="inlineStr">
        <is>
          <t>O9139</t>
        </is>
      </c>
      <c r="D51" t="inlineStr">
        <is>
          <t>O3166</t>
        </is>
      </c>
      <c r="E51" s="2" t="n">
        <v>199</v>
      </c>
      <c r="F51" s="2">
        <f>_xlfn.XLOOKUP(C51,customers!$A$1:$A$1001,customers!$B$1:$B$1001,,0)</f>
        <v/>
      </c>
      <c r="G51" s="2">
        <f>IF(_xlfn.XLOOKUP(C51,customers!$A$1:$A$1001,customers!$C$1:$C$1001,,0)=0,"",_xlfn.XLOOKUP(C51,customers!$A$1:$A$1001,customers!$C$1:$C$1001,,0))</f>
        <v/>
      </c>
      <c r="H51" s="2">
        <f>_xlfn.XLOOKUP(C51,customers!$A$1:$A$1001,customers!$G$1:$G$1001,,0)</f>
        <v/>
      </c>
      <c r="I51">
        <f>INDEX(products!$A$1:$G$49,MATCH(orders!$D51,products!$A$1:$A$49,0),MATCH(orders!I$1,products!$A$1:$G$1,0))</f>
        <v/>
      </c>
      <c r="J51">
        <f>INDEX(products!$A$1:$G$49,MATCH(orders!$D51,products!$A$1:$A$49,0),MATCH(orders!J$1,products!$A$1:$G$1,0))</f>
        <v/>
      </c>
      <c r="K51" s="4">
        <f>INDEX(products!$A$1:$G$49,MATCH(orders!$D51,products!$A$1:$A$49,0),MATCH(orders!K$1,products!$A$1:$G$1,0))</f>
        <v/>
      </c>
      <c r="L51" s="5">
        <f>INDEX(products!$A$1:$G$49,MATCH(orders!$D51,products!$A$1:$A$49,0),MATCH(orders!L$1,products!$A$1:$G$1,0))</f>
        <v/>
      </c>
      <c r="M51" s="5">
        <f>L51*E51</f>
        <v/>
      </c>
      <c r="N51">
        <f>IF(I51="Rob","Robusta",IF(I51="Exc","Excelsa",IF(I51="Ara","Arabica",IF(I51="Lib","Liberica",""))))</f>
        <v/>
      </c>
      <c r="O51">
        <f>IF(J51="M","Medium",IF(J51="L","Light",IF(J51="D","Dark","")))</f>
        <v/>
      </c>
      <c r="P51">
        <f>_xlfn.XLOOKUP(Orders[[#This Row],[Customer ID]],customers!$A$1:$A$1001,customers!$I$1:$I$1001,,0)</f>
        <v/>
      </c>
    </row>
    <row r="52">
      <c r="A52" s="2" t="inlineStr">
        <is>
          <t>O1364</t>
        </is>
      </c>
      <c r="B52" s="3" t="inlineStr">
        <is>
          <t>2021-01-14</t>
        </is>
      </c>
      <c r="C52" s="2" t="inlineStr">
        <is>
          <t>O8838</t>
        </is>
      </c>
      <c r="D52" t="inlineStr">
        <is>
          <t>O3962</t>
        </is>
      </c>
      <c r="E52" s="2" t="n">
        <v>225</v>
      </c>
      <c r="F52" s="2">
        <f>_xlfn.XLOOKUP(C52,customers!$A$1:$A$1001,customers!$B$1:$B$1001,,0)</f>
        <v/>
      </c>
      <c r="G52" s="2">
        <f>IF(_xlfn.XLOOKUP(C52,customers!$A$1:$A$1001,customers!$C$1:$C$1001,,0)=0,"",_xlfn.XLOOKUP(C52,customers!$A$1:$A$1001,customers!$C$1:$C$1001,,0))</f>
        <v/>
      </c>
      <c r="H52" s="2">
        <f>_xlfn.XLOOKUP(C52,customers!$A$1:$A$1001,customers!$G$1:$G$1001,,0)</f>
        <v/>
      </c>
      <c r="I52">
        <f>INDEX(products!$A$1:$G$49,MATCH(orders!$D52,products!$A$1:$A$49,0),MATCH(orders!I$1,products!$A$1:$G$1,0))</f>
        <v/>
      </c>
      <c r="J52">
        <f>INDEX(products!$A$1:$G$49,MATCH(orders!$D52,products!$A$1:$A$49,0),MATCH(orders!J$1,products!$A$1:$G$1,0))</f>
        <v/>
      </c>
      <c r="K52" s="4">
        <f>INDEX(products!$A$1:$G$49,MATCH(orders!$D52,products!$A$1:$A$49,0),MATCH(orders!K$1,products!$A$1:$G$1,0))</f>
        <v/>
      </c>
      <c r="L52" s="5">
        <f>INDEX(products!$A$1:$G$49,MATCH(orders!$D52,products!$A$1:$A$49,0),MATCH(orders!L$1,products!$A$1:$G$1,0))</f>
        <v/>
      </c>
      <c r="M52" s="5">
        <f>L52*E52</f>
        <v/>
      </c>
      <c r="N52">
        <f>IF(I52="Rob","Robusta",IF(I52="Exc","Excelsa",IF(I52="Ara","Arabica",IF(I52="Lib","Liberica",""))))</f>
        <v/>
      </c>
      <c r="O52">
        <f>IF(J52="M","Medium",IF(J52="L","Light",IF(J52="D","Dark","")))</f>
        <v/>
      </c>
      <c r="P52">
        <f>_xlfn.XLOOKUP(Orders[[#This Row],[Customer ID]],customers!$A$1:$A$1001,customers!$I$1:$I$1001,,0)</f>
        <v/>
      </c>
    </row>
    <row r="53">
      <c r="A53" s="2" t="inlineStr">
        <is>
          <t>O1828</t>
        </is>
      </c>
      <c r="B53" s="3" t="inlineStr">
        <is>
          <t>2024-03-04</t>
        </is>
      </c>
      <c r="C53" s="2" t="inlineStr">
        <is>
          <t>O1304</t>
        </is>
      </c>
      <c r="D53" t="inlineStr">
        <is>
          <t>O6693</t>
        </is>
      </c>
      <c r="E53" s="2" t="n">
        <v>129</v>
      </c>
      <c r="F53" s="2">
        <f>_xlfn.XLOOKUP(C53,customers!$A$1:$A$1001,customers!$B$1:$B$1001,,0)</f>
        <v/>
      </c>
      <c r="G53" s="2">
        <f>IF(_xlfn.XLOOKUP(C53,customers!$A$1:$A$1001,customers!$C$1:$C$1001,,0)=0,"",_xlfn.XLOOKUP(C53,customers!$A$1:$A$1001,customers!$C$1:$C$1001,,0))</f>
        <v/>
      </c>
      <c r="H53" s="2">
        <f>_xlfn.XLOOKUP(C53,customers!$A$1:$A$1001,customers!$G$1:$G$1001,,0)</f>
        <v/>
      </c>
      <c r="I53">
        <f>INDEX(products!$A$1:$G$49,MATCH(orders!$D53,products!$A$1:$A$49,0),MATCH(orders!I$1,products!$A$1:$G$1,0))</f>
        <v/>
      </c>
      <c r="J53">
        <f>INDEX(products!$A$1:$G$49,MATCH(orders!$D53,products!$A$1:$A$49,0),MATCH(orders!J$1,products!$A$1:$G$1,0))</f>
        <v/>
      </c>
      <c r="K53" s="4">
        <f>INDEX(products!$A$1:$G$49,MATCH(orders!$D53,products!$A$1:$A$49,0),MATCH(orders!K$1,products!$A$1:$G$1,0))</f>
        <v/>
      </c>
      <c r="L53" s="5">
        <f>INDEX(products!$A$1:$G$49,MATCH(orders!$D53,products!$A$1:$A$49,0),MATCH(orders!L$1,products!$A$1:$G$1,0))</f>
        <v/>
      </c>
      <c r="M53" s="5">
        <f>L53*E53</f>
        <v/>
      </c>
      <c r="N53">
        <f>IF(I53="Rob","Robusta",IF(I53="Exc","Excelsa",IF(I53="Ara","Arabica",IF(I53="Lib","Liberica",""))))</f>
        <v/>
      </c>
      <c r="O53">
        <f>IF(J53="M","Medium",IF(J53="L","Light",IF(J53="D","Dark","")))</f>
        <v/>
      </c>
      <c r="P53">
        <f>_xlfn.XLOOKUP(Orders[[#This Row],[Customer ID]],customers!$A$1:$A$1001,customers!$I$1:$I$1001,,0)</f>
        <v/>
      </c>
    </row>
    <row r="54">
      <c r="A54" s="2" t="inlineStr">
        <is>
          <t>O7394</t>
        </is>
      </c>
      <c r="B54" s="3" t="inlineStr">
        <is>
          <t>2024-11-13</t>
        </is>
      </c>
      <c r="C54" s="2" t="inlineStr">
        <is>
          <t>O9371</t>
        </is>
      </c>
      <c r="D54" t="inlineStr">
        <is>
          <t>O5810</t>
        </is>
      </c>
      <c r="E54" s="2" t="n">
        <v>268</v>
      </c>
      <c r="F54" s="2">
        <f>_xlfn.XLOOKUP(C54,customers!$A$1:$A$1001,customers!$B$1:$B$1001,,0)</f>
        <v/>
      </c>
      <c r="G54" s="2">
        <f>IF(_xlfn.XLOOKUP(C54,customers!$A$1:$A$1001,customers!$C$1:$C$1001,,0)=0,"",_xlfn.XLOOKUP(C54,customers!$A$1:$A$1001,customers!$C$1:$C$1001,,0))</f>
        <v/>
      </c>
      <c r="H54" s="2">
        <f>_xlfn.XLOOKUP(C54,customers!$A$1:$A$1001,customers!$G$1:$G$1001,,0)</f>
        <v/>
      </c>
      <c r="I54">
        <f>INDEX(products!$A$1:$G$49,MATCH(orders!$D54,products!$A$1:$A$49,0),MATCH(orders!I$1,products!$A$1:$G$1,0))</f>
        <v/>
      </c>
      <c r="J54">
        <f>INDEX(products!$A$1:$G$49,MATCH(orders!$D54,products!$A$1:$A$49,0),MATCH(orders!J$1,products!$A$1:$G$1,0))</f>
        <v/>
      </c>
      <c r="K54" s="4">
        <f>INDEX(products!$A$1:$G$49,MATCH(orders!$D54,products!$A$1:$A$49,0),MATCH(orders!K$1,products!$A$1:$G$1,0))</f>
        <v/>
      </c>
      <c r="L54" s="5">
        <f>INDEX(products!$A$1:$G$49,MATCH(orders!$D54,products!$A$1:$A$49,0),MATCH(orders!L$1,products!$A$1:$G$1,0))</f>
        <v/>
      </c>
      <c r="M54" s="5">
        <f>L54*E54</f>
        <v/>
      </c>
      <c r="N54">
        <f>IF(I54="Rob","Robusta",IF(I54="Exc","Excelsa",IF(I54="Ara","Arabica",IF(I54="Lib","Liberica",""))))</f>
        <v/>
      </c>
      <c r="O54">
        <f>IF(J54="M","Medium",IF(J54="L","Light",IF(J54="D","Dark","")))</f>
        <v/>
      </c>
      <c r="P54">
        <f>_xlfn.XLOOKUP(Orders[[#This Row],[Customer ID]],customers!$A$1:$A$1001,customers!$I$1:$I$1001,,0)</f>
        <v/>
      </c>
    </row>
    <row r="55">
      <c r="A55" s="2" t="inlineStr">
        <is>
          <t>O3656</t>
        </is>
      </c>
      <c r="B55" s="3" t="inlineStr">
        <is>
          <t>2025-09-14</t>
        </is>
      </c>
      <c r="C55" s="2" t="inlineStr">
        <is>
          <t>O7835</t>
        </is>
      </c>
      <c r="D55" t="inlineStr">
        <is>
          <t>O2050</t>
        </is>
      </c>
      <c r="E55" s="2" t="n">
        <v>204</v>
      </c>
      <c r="F55" s="2">
        <f>_xlfn.XLOOKUP(C55,customers!$A$1:$A$1001,customers!$B$1:$B$1001,,0)</f>
        <v/>
      </c>
      <c r="G55" s="2">
        <f>IF(_xlfn.XLOOKUP(C55,customers!$A$1:$A$1001,customers!$C$1:$C$1001,,0)=0,"",_xlfn.XLOOKUP(C55,customers!$A$1:$A$1001,customers!$C$1:$C$1001,,0))</f>
        <v/>
      </c>
      <c r="H55" s="2">
        <f>_xlfn.XLOOKUP(C55,customers!$A$1:$A$1001,customers!$G$1:$G$1001,,0)</f>
        <v/>
      </c>
      <c r="I55">
        <f>INDEX(products!$A$1:$G$49,MATCH(orders!$D55,products!$A$1:$A$49,0),MATCH(orders!I$1,products!$A$1:$G$1,0))</f>
        <v/>
      </c>
      <c r="J55">
        <f>INDEX(products!$A$1:$G$49,MATCH(orders!$D55,products!$A$1:$A$49,0),MATCH(orders!J$1,products!$A$1:$G$1,0))</f>
        <v/>
      </c>
      <c r="K55" s="4">
        <f>INDEX(products!$A$1:$G$49,MATCH(orders!$D55,products!$A$1:$A$49,0),MATCH(orders!K$1,products!$A$1:$G$1,0))</f>
        <v/>
      </c>
      <c r="L55" s="5">
        <f>INDEX(products!$A$1:$G$49,MATCH(orders!$D55,products!$A$1:$A$49,0),MATCH(orders!L$1,products!$A$1:$G$1,0))</f>
        <v/>
      </c>
      <c r="M55" s="5">
        <f>L55*E55</f>
        <v/>
      </c>
      <c r="N55">
        <f>IF(I55="Rob","Robusta",IF(I55="Exc","Excelsa",IF(I55="Ara","Arabica",IF(I55="Lib","Liberica",""))))</f>
        <v/>
      </c>
      <c r="O55">
        <f>IF(J55="M","Medium",IF(J55="L","Light",IF(J55="D","Dark","")))</f>
        <v/>
      </c>
      <c r="P55">
        <f>_xlfn.XLOOKUP(Orders[[#This Row],[Customer ID]],customers!$A$1:$A$1001,customers!$I$1:$I$1001,,0)</f>
        <v/>
      </c>
    </row>
    <row r="56">
      <c r="A56" s="2" t="inlineStr">
        <is>
          <t>O8825</t>
        </is>
      </c>
      <c r="B56" s="3" t="inlineStr">
        <is>
          <t>2024-08-11</t>
        </is>
      </c>
      <c r="C56" s="2" t="inlineStr">
        <is>
          <t>O8941</t>
        </is>
      </c>
      <c r="D56" t="inlineStr">
        <is>
          <t>O8715</t>
        </is>
      </c>
      <c r="E56" s="2" t="n">
        <v>92</v>
      </c>
      <c r="F56" s="2">
        <f>_xlfn.XLOOKUP(C56,customers!$A$1:$A$1001,customers!$B$1:$B$1001,,0)</f>
        <v/>
      </c>
      <c r="G56" s="2">
        <f>IF(_xlfn.XLOOKUP(C56,customers!$A$1:$A$1001,customers!$C$1:$C$1001,,0)=0,"",_xlfn.XLOOKUP(C56,customers!$A$1:$A$1001,customers!$C$1:$C$1001,,0))</f>
        <v/>
      </c>
      <c r="H56" s="2">
        <f>_xlfn.XLOOKUP(C56,customers!$A$1:$A$1001,customers!$G$1:$G$1001,,0)</f>
        <v/>
      </c>
      <c r="I56">
        <f>INDEX(products!$A$1:$G$49,MATCH(orders!$D56,products!$A$1:$A$49,0),MATCH(orders!I$1,products!$A$1:$G$1,0))</f>
        <v/>
      </c>
      <c r="J56">
        <f>INDEX(products!$A$1:$G$49,MATCH(orders!$D56,products!$A$1:$A$49,0),MATCH(orders!J$1,products!$A$1:$G$1,0))</f>
        <v/>
      </c>
      <c r="K56" s="4">
        <f>INDEX(products!$A$1:$G$49,MATCH(orders!$D56,products!$A$1:$A$49,0),MATCH(orders!K$1,products!$A$1:$G$1,0))</f>
        <v/>
      </c>
      <c r="L56" s="5">
        <f>INDEX(products!$A$1:$G$49,MATCH(orders!$D56,products!$A$1:$A$49,0),MATCH(orders!L$1,products!$A$1:$G$1,0))</f>
        <v/>
      </c>
      <c r="M56" s="5">
        <f>L56*E56</f>
        <v/>
      </c>
      <c r="N56">
        <f>IF(I56="Rob","Robusta",IF(I56="Exc","Excelsa",IF(I56="Ara","Arabica",IF(I56="Lib","Liberica",""))))</f>
        <v/>
      </c>
      <c r="O56">
        <f>IF(J56="M","Medium",IF(J56="L","Light",IF(J56="D","Dark","")))</f>
        <v/>
      </c>
      <c r="P56">
        <f>_xlfn.XLOOKUP(Orders[[#This Row],[Customer ID]],customers!$A$1:$A$1001,customers!$I$1:$I$1001,,0)</f>
        <v/>
      </c>
    </row>
    <row r="57">
      <c r="A57" s="2" t="inlineStr">
        <is>
          <t>O8130</t>
        </is>
      </c>
      <c r="B57" s="3" t="inlineStr">
        <is>
          <t>2025-07-31</t>
        </is>
      </c>
      <c r="C57" s="2" t="inlineStr">
        <is>
          <t>O9199</t>
        </is>
      </c>
      <c r="D57" t="inlineStr">
        <is>
          <t>O1292</t>
        </is>
      </c>
      <c r="E57" s="2" t="n">
        <v>381</v>
      </c>
      <c r="F57" s="2">
        <f>_xlfn.XLOOKUP(C57,customers!$A$1:$A$1001,customers!$B$1:$B$1001,,0)</f>
        <v/>
      </c>
      <c r="G57" s="2">
        <f>IF(_xlfn.XLOOKUP(C57,customers!$A$1:$A$1001,customers!$C$1:$C$1001,,0)=0,"",_xlfn.XLOOKUP(C57,customers!$A$1:$A$1001,customers!$C$1:$C$1001,,0))</f>
        <v/>
      </c>
      <c r="H57" s="2">
        <f>_xlfn.XLOOKUP(C57,customers!$A$1:$A$1001,customers!$G$1:$G$1001,,0)</f>
        <v/>
      </c>
      <c r="I57">
        <f>INDEX(products!$A$1:$G$49,MATCH(orders!$D57,products!$A$1:$A$49,0),MATCH(orders!I$1,products!$A$1:$G$1,0))</f>
        <v/>
      </c>
      <c r="J57">
        <f>INDEX(products!$A$1:$G$49,MATCH(orders!$D57,products!$A$1:$A$49,0),MATCH(orders!J$1,products!$A$1:$G$1,0))</f>
        <v/>
      </c>
      <c r="K57" s="4">
        <f>INDEX(products!$A$1:$G$49,MATCH(orders!$D57,products!$A$1:$A$49,0),MATCH(orders!K$1,products!$A$1:$G$1,0))</f>
        <v/>
      </c>
      <c r="L57" s="5">
        <f>INDEX(products!$A$1:$G$49,MATCH(orders!$D57,products!$A$1:$A$49,0),MATCH(orders!L$1,products!$A$1:$G$1,0))</f>
        <v/>
      </c>
      <c r="M57" s="5">
        <f>L57*E57</f>
        <v/>
      </c>
      <c r="N57">
        <f>IF(I57="Rob","Robusta",IF(I57="Exc","Excelsa",IF(I57="Ara","Arabica",IF(I57="Lib","Liberica",""))))</f>
        <v/>
      </c>
      <c r="O57">
        <f>IF(J57="M","Medium",IF(J57="L","Light",IF(J57="D","Dark","")))</f>
        <v/>
      </c>
      <c r="P57">
        <f>_xlfn.XLOOKUP(Orders[[#This Row],[Customer ID]],customers!$A$1:$A$1001,customers!$I$1:$I$1001,,0)</f>
        <v/>
      </c>
    </row>
    <row r="58">
      <c r="A58" s="2" t="inlineStr">
        <is>
          <t>O2196</t>
        </is>
      </c>
      <c r="B58" s="3" t="inlineStr">
        <is>
          <t>2020-12-15</t>
        </is>
      </c>
      <c r="C58" s="2" t="inlineStr">
        <is>
          <t>O4177</t>
        </is>
      </c>
      <c r="D58" t="inlineStr">
        <is>
          <t>O9002</t>
        </is>
      </c>
      <c r="E58" s="2" t="n">
        <v>255</v>
      </c>
      <c r="F58" s="2">
        <f>_xlfn.XLOOKUP(C58,customers!$A$1:$A$1001,customers!$B$1:$B$1001,,0)</f>
        <v/>
      </c>
      <c r="G58" s="2">
        <f>IF(_xlfn.XLOOKUP(C58,customers!$A$1:$A$1001,customers!$C$1:$C$1001,,0)=0,"",_xlfn.XLOOKUP(C58,customers!$A$1:$A$1001,customers!$C$1:$C$1001,,0))</f>
        <v/>
      </c>
      <c r="H58" s="2">
        <f>_xlfn.XLOOKUP(C58,customers!$A$1:$A$1001,customers!$G$1:$G$1001,,0)</f>
        <v/>
      </c>
      <c r="I58">
        <f>INDEX(products!$A$1:$G$49,MATCH(orders!$D58,products!$A$1:$A$49,0),MATCH(orders!I$1,products!$A$1:$G$1,0))</f>
        <v/>
      </c>
      <c r="J58">
        <f>INDEX(products!$A$1:$G$49,MATCH(orders!$D58,products!$A$1:$A$49,0),MATCH(orders!J$1,products!$A$1:$G$1,0))</f>
        <v/>
      </c>
      <c r="K58" s="4">
        <f>INDEX(products!$A$1:$G$49,MATCH(orders!$D58,products!$A$1:$A$49,0),MATCH(orders!K$1,products!$A$1:$G$1,0))</f>
        <v/>
      </c>
      <c r="L58" s="5">
        <f>INDEX(products!$A$1:$G$49,MATCH(orders!$D58,products!$A$1:$A$49,0),MATCH(orders!L$1,products!$A$1:$G$1,0))</f>
        <v/>
      </c>
      <c r="M58" s="5">
        <f>L58*E58</f>
        <v/>
      </c>
      <c r="N58">
        <f>IF(I58="Rob","Robusta",IF(I58="Exc","Excelsa",IF(I58="Ara","Arabica",IF(I58="Lib","Liberica",""))))</f>
        <v/>
      </c>
      <c r="O58">
        <f>IF(J58="M","Medium",IF(J58="L","Light",IF(J58="D","Dark","")))</f>
        <v/>
      </c>
      <c r="P58">
        <f>_xlfn.XLOOKUP(Orders[[#This Row],[Customer ID]],customers!$A$1:$A$1001,customers!$I$1:$I$1001,,0)</f>
        <v/>
      </c>
    </row>
    <row r="59">
      <c r="A59" s="2" t="inlineStr">
        <is>
          <t>O3617</t>
        </is>
      </c>
      <c r="B59" s="3" t="inlineStr">
        <is>
          <t>2025-03-27</t>
        </is>
      </c>
      <c r="C59" s="2" t="inlineStr">
        <is>
          <t>O1125</t>
        </is>
      </c>
      <c r="D59" t="inlineStr">
        <is>
          <t>O2371</t>
        </is>
      </c>
      <c r="E59" s="2" t="n">
        <v>404</v>
      </c>
      <c r="F59" s="2">
        <f>_xlfn.XLOOKUP(C59,customers!$A$1:$A$1001,customers!$B$1:$B$1001,,0)</f>
        <v/>
      </c>
      <c r="G59" s="2">
        <f>IF(_xlfn.XLOOKUP(C59,customers!$A$1:$A$1001,customers!$C$1:$C$1001,,0)=0,"",_xlfn.XLOOKUP(C59,customers!$A$1:$A$1001,customers!$C$1:$C$1001,,0))</f>
        <v/>
      </c>
      <c r="H59" s="2">
        <f>_xlfn.XLOOKUP(C59,customers!$A$1:$A$1001,customers!$G$1:$G$1001,,0)</f>
        <v/>
      </c>
      <c r="I59">
        <f>INDEX(products!$A$1:$G$49,MATCH(orders!$D59,products!$A$1:$A$49,0),MATCH(orders!I$1,products!$A$1:$G$1,0))</f>
        <v/>
      </c>
      <c r="J59">
        <f>INDEX(products!$A$1:$G$49,MATCH(orders!$D59,products!$A$1:$A$49,0),MATCH(orders!J$1,products!$A$1:$G$1,0))</f>
        <v/>
      </c>
      <c r="K59" s="4">
        <f>INDEX(products!$A$1:$G$49,MATCH(orders!$D59,products!$A$1:$A$49,0),MATCH(orders!K$1,products!$A$1:$G$1,0))</f>
        <v/>
      </c>
      <c r="L59" s="5">
        <f>INDEX(products!$A$1:$G$49,MATCH(orders!$D59,products!$A$1:$A$49,0),MATCH(orders!L$1,products!$A$1:$G$1,0))</f>
        <v/>
      </c>
      <c r="M59" s="5">
        <f>L59*E59</f>
        <v/>
      </c>
      <c r="N59">
        <f>IF(I59="Rob","Robusta",IF(I59="Exc","Excelsa",IF(I59="Ara","Arabica",IF(I59="Lib","Liberica",""))))</f>
        <v/>
      </c>
      <c r="O59">
        <f>IF(J59="M","Medium",IF(J59="L","Light",IF(J59="D","Dark","")))</f>
        <v/>
      </c>
      <c r="P59">
        <f>_xlfn.XLOOKUP(Orders[[#This Row],[Customer ID]],customers!$A$1:$A$1001,customers!$I$1:$I$1001,,0)</f>
        <v/>
      </c>
    </row>
    <row r="60">
      <c r="A60" s="2" t="inlineStr">
        <is>
          <t>O8174</t>
        </is>
      </c>
      <c r="B60" s="3" t="inlineStr">
        <is>
          <t>2025-03-29</t>
        </is>
      </c>
      <c r="C60" s="2" t="inlineStr">
        <is>
          <t>O1227</t>
        </is>
      </c>
      <c r="D60" t="inlineStr">
        <is>
          <t>O6154</t>
        </is>
      </c>
      <c r="E60" s="2" t="n">
        <v>353</v>
      </c>
      <c r="F60" s="2">
        <f>_xlfn.XLOOKUP(C60,customers!$A$1:$A$1001,customers!$B$1:$B$1001,,0)</f>
        <v/>
      </c>
      <c r="G60" s="2">
        <f>IF(_xlfn.XLOOKUP(C60,customers!$A$1:$A$1001,customers!$C$1:$C$1001,,0)=0,"",_xlfn.XLOOKUP(C60,customers!$A$1:$A$1001,customers!$C$1:$C$1001,,0))</f>
        <v/>
      </c>
      <c r="H60" s="2">
        <f>_xlfn.XLOOKUP(C60,customers!$A$1:$A$1001,customers!$G$1:$G$1001,,0)</f>
        <v/>
      </c>
      <c r="I60">
        <f>INDEX(products!$A$1:$G$49,MATCH(orders!$D60,products!$A$1:$A$49,0),MATCH(orders!I$1,products!$A$1:$G$1,0))</f>
        <v/>
      </c>
      <c r="J60">
        <f>INDEX(products!$A$1:$G$49,MATCH(orders!$D60,products!$A$1:$A$49,0),MATCH(orders!J$1,products!$A$1:$G$1,0))</f>
        <v/>
      </c>
      <c r="K60" s="4">
        <f>INDEX(products!$A$1:$G$49,MATCH(orders!$D60,products!$A$1:$A$49,0),MATCH(orders!K$1,products!$A$1:$G$1,0))</f>
        <v/>
      </c>
      <c r="L60" s="5">
        <f>INDEX(products!$A$1:$G$49,MATCH(orders!$D60,products!$A$1:$A$49,0),MATCH(orders!L$1,products!$A$1:$G$1,0))</f>
        <v/>
      </c>
      <c r="M60" s="5">
        <f>L60*E60</f>
        <v/>
      </c>
      <c r="N60">
        <f>IF(I60="Rob","Robusta",IF(I60="Exc","Excelsa",IF(I60="Ara","Arabica",IF(I60="Lib","Liberica",""))))</f>
        <v/>
      </c>
      <c r="O60">
        <f>IF(J60="M","Medium",IF(J60="L","Light",IF(J60="D","Dark","")))</f>
        <v/>
      </c>
      <c r="P60">
        <f>_xlfn.XLOOKUP(Orders[[#This Row],[Customer ID]],customers!$A$1:$A$1001,customers!$I$1:$I$1001,,0)</f>
        <v/>
      </c>
    </row>
    <row r="61">
      <c r="A61" s="2" t="inlineStr">
        <is>
          <t>O1422</t>
        </is>
      </c>
      <c r="B61" s="3" t="inlineStr">
        <is>
          <t>2022-01-31</t>
        </is>
      </c>
      <c r="C61" s="2" t="inlineStr">
        <is>
          <t>O8282</t>
        </is>
      </c>
      <c r="D61" t="inlineStr">
        <is>
          <t>O6457</t>
        </is>
      </c>
      <c r="E61" s="2" t="n">
        <v>292</v>
      </c>
      <c r="F61" s="2">
        <f>_xlfn.XLOOKUP(C61,customers!$A$1:$A$1001,customers!$B$1:$B$1001,,0)</f>
        <v/>
      </c>
      <c r="G61" s="2">
        <f>IF(_xlfn.XLOOKUP(C61,customers!$A$1:$A$1001,customers!$C$1:$C$1001,,0)=0,"",_xlfn.XLOOKUP(C61,customers!$A$1:$A$1001,customers!$C$1:$C$1001,,0))</f>
        <v/>
      </c>
      <c r="H61" s="2">
        <f>_xlfn.XLOOKUP(C61,customers!$A$1:$A$1001,customers!$G$1:$G$1001,,0)</f>
        <v/>
      </c>
      <c r="I61">
        <f>INDEX(products!$A$1:$G$49,MATCH(orders!$D61,products!$A$1:$A$49,0),MATCH(orders!I$1,products!$A$1:$G$1,0))</f>
        <v/>
      </c>
      <c r="J61">
        <f>INDEX(products!$A$1:$G$49,MATCH(orders!$D61,products!$A$1:$A$49,0),MATCH(orders!J$1,products!$A$1:$G$1,0))</f>
        <v/>
      </c>
      <c r="K61" s="4">
        <f>INDEX(products!$A$1:$G$49,MATCH(orders!$D61,products!$A$1:$A$49,0),MATCH(orders!K$1,products!$A$1:$G$1,0))</f>
        <v/>
      </c>
      <c r="L61" s="5">
        <f>INDEX(products!$A$1:$G$49,MATCH(orders!$D61,products!$A$1:$A$49,0),MATCH(orders!L$1,products!$A$1:$G$1,0))</f>
        <v/>
      </c>
      <c r="M61" s="5">
        <f>L61*E61</f>
        <v/>
      </c>
      <c r="N61">
        <f>IF(I61="Rob","Robusta",IF(I61="Exc","Excelsa",IF(I61="Ara","Arabica",IF(I61="Lib","Liberica",""))))</f>
        <v/>
      </c>
      <c r="O61">
        <f>IF(J61="M","Medium",IF(J61="L","Light",IF(J61="D","Dark","")))</f>
        <v/>
      </c>
      <c r="P61">
        <f>_xlfn.XLOOKUP(Orders[[#This Row],[Customer ID]],customers!$A$1:$A$1001,customers!$I$1:$I$1001,,0)</f>
        <v/>
      </c>
    </row>
    <row r="62">
      <c r="A62" s="2" t="inlineStr">
        <is>
          <t>O5633</t>
        </is>
      </c>
      <c r="B62" s="3" t="inlineStr">
        <is>
          <t>2022-05-14</t>
        </is>
      </c>
      <c r="C62" s="2" t="inlineStr">
        <is>
          <t>O3816</t>
        </is>
      </c>
      <c r="D62" t="inlineStr">
        <is>
          <t>O1039</t>
        </is>
      </c>
      <c r="E62" s="2" t="n">
        <v>36</v>
      </c>
      <c r="F62" s="2">
        <f>_xlfn.XLOOKUP(C62,customers!$A$1:$A$1001,customers!$B$1:$B$1001,,0)</f>
        <v/>
      </c>
      <c r="G62" s="2">
        <f>IF(_xlfn.XLOOKUP(C62,customers!$A$1:$A$1001,customers!$C$1:$C$1001,,0)=0,"",_xlfn.XLOOKUP(C62,customers!$A$1:$A$1001,customers!$C$1:$C$1001,,0))</f>
        <v/>
      </c>
      <c r="H62" s="2">
        <f>_xlfn.XLOOKUP(C62,customers!$A$1:$A$1001,customers!$G$1:$G$1001,,0)</f>
        <v/>
      </c>
      <c r="I62">
        <f>INDEX(products!$A$1:$G$49,MATCH(orders!$D62,products!$A$1:$A$49,0),MATCH(orders!I$1,products!$A$1:$G$1,0))</f>
        <v/>
      </c>
      <c r="J62">
        <f>INDEX(products!$A$1:$G$49,MATCH(orders!$D62,products!$A$1:$A$49,0),MATCH(orders!J$1,products!$A$1:$G$1,0))</f>
        <v/>
      </c>
      <c r="K62" s="4">
        <f>INDEX(products!$A$1:$G$49,MATCH(orders!$D62,products!$A$1:$A$49,0),MATCH(orders!K$1,products!$A$1:$G$1,0))</f>
        <v/>
      </c>
      <c r="L62" s="5">
        <f>INDEX(products!$A$1:$G$49,MATCH(orders!$D62,products!$A$1:$A$49,0),MATCH(orders!L$1,products!$A$1:$G$1,0))</f>
        <v/>
      </c>
      <c r="M62" s="5">
        <f>L62*E62</f>
        <v/>
      </c>
      <c r="N62">
        <f>IF(I62="Rob","Robusta",IF(I62="Exc","Excelsa",IF(I62="Ara","Arabica",IF(I62="Lib","Liberica",""))))</f>
        <v/>
      </c>
      <c r="O62">
        <f>IF(J62="M","Medium",IF(J62="L","Light",IF(J62="D","Dark","")))</f>
        <v/>
      </c>
      <c r="P62">
        <f>_xlfn.XLOOKUP(Orders[[#This Row],[Customer ID]],customers!$A$1:$A$1001,customers!$I$1:$I$1001,,0)</f>
        <v/>
      </c>
    </row>
    <row r="63">
      <c r="A63" s="2" t="inlineStr">
        <is>
          <t>O1471</t>
        </is>
      </c>
      <c r="B63" s="3" t="inlineStr">
        <is>
          <t>2024-10-10</t>
        </is>
      </c>
      <c r="C63" s="2" t="inlineStr">
        <is>
          <t>O3010</t>
        </is>
      </c>
      <c r="D63" t="inlineStr">
        <is>
          <t>O9316</t>
        </is>
      </c>
      <c r="E63" s="2" t="n">
        <v>155</v>
      </c>
      <c r="F63" s="2">
        <f>_xlfn.XLOOKUP(C63,customers!$A$1:$A$1001,customers!$B$1:$B$1001,,0)</f>
        <v/>
      </c>
      <c r="G63" s="2">
        <f>IF(_xlfn.XLOOKUP(C63,customers!$A$1:$A$1001,customers!$C$1:$C$1001,,0)=0,"",_xlfn.XLOOKUP(C63,customers!$A$1:$A$1001,customers!$C$1:$C$1001,,0))</f>
        <v/>
      </c>
      <c r="H63" s="2">
        <f>_xlfn.XLOOKUP(C63,customers!$A$1:$A$1001,customers!$G$1:$G$1001,,0)</f>
        <v/>
      </c>
      <c r="I63">
        <f>INDEX(products!$A$1:$G$49,MATCH(orders!$D63,products!$A$1:$A$49,0),MATCH(orders!I$1,products!$A$1:$G$1,0))</f>
        <v/>
      </c>
      <c r="J63">
        <f>INDEX(products!$A$1:$G$49,MATCH(orders!$D63,products!$A$1:$A$49,0),MATCH(orders!J$1,products!$A$1:$G$1,0))</f>
        <v/>
      </c>
      <c r="K63" s="4">
        <f>INDEX(products!$A$1:$G$49,MATCH(orders!$D63,products!$A$1:$A$49,0),MATCH(orders!K$1,products!$A$1:$G$1,0))</f>
        <v/>
      </c>
      <c r="L63" s="5">
        <f>INDEX(products!$A$1:$G$49,MATCH(orders!$D63,products!$A$1:$A$49,0),MATCH(orders!L$1,products!$A$1:$G$1,0))</f>
        <v/>
      </c>
      <c r="M63" s="5">
        <f>L63*E63</f>
        <v/>
      </c>
      <c r="N63">
        <f>IF(I63="Rob","Robusta",IF(I63="Exc","Excelsa",IF(I63="Ara","Arabica",IF(I63="Lib","Liberica",""))))</f>
        <v/>
      </c>
      <c r="O63">
        <f>IF(J63="M","Medium",IF(J63="L","Light",IF(J63="D","Dark","")))</f>
        <v/>
      </c>
      <c r="P63">
        <f>_xlfn.XLOOKUP(Orders[[#This Row],[Customer ID]],customers!$A$1:$A$1001,customers!$I$1:$I$1001,,0)</f>
        <v/>
      </c>
    </row>
    <row r="64">
      <c r="A64" s="2" t="inlineStr">
        <is>
          <t>O5564</t>
        </is>
      </c>
      <c r="B64" s="3" t="inlineStr">
        <is>
          <t>2025-08-23</t>
        </is>
      </c>
      <c r="C64" s="2" t="inlineStr">
        <is>
          <t>O4394</t>
        </is>
      </c>
      <c r="D64" t="inlineStr">
        <is>
          <t>O2236</t>
        </is>
      </c>
      <c r="E64" s="2" t="n">
        <v>332</v>
      </c>
      <c r="F64" s="2">
        <f>_xlfn.XLOOKUP(C64,customers!$A$1:$A$1001,customers!$B$1:$B$1001,,0)</f>
        <v/>
      </c>
      <c r="G64" s="2">
        <f>IF(_xlfn.XLOOKUP(C64,customers!$A$1:$A$1001,customers!$C$1:$C$1001,,0)=0,"",_xlfn.XLOOKUP(C64,customers!$A$1:$A$1001,customers!$C$1:$C$1001,,0))</f>
        <v/>
      </c>
      <c r="H64" s="2">
        <f>_xlfn.XLOOKUP(C64,customers!$A$1:$A$1001,customers!$G$1:$G$1001,,0)</f>
        <v/>
      </c>
      <c r="I64">
        <f>INDEX(products!$A$1:$G$49,MATCH(orders!$D64,products!$A$1:$A$49,0),MATCH(orders!I$1,products!$A$1:$G$1,0))</f>
        <v/>
      </c>
      <c r="J64">
        <f>INDEX(products!$A$1:$G$49,MATCH(orders!$D64,products!$A$1:$A$49,0),MATCH(orders!J$1,products!$A$1:$G$1,0))</f>
        <v/>
      </c>
      <c r="K64" s="4">
        <f>INDEX(products!$A$1:$G$49,MATCH(orders!$D64,products!$A$1:$A$49,0),MATCH(orders!K$1,products!$A$1:$G$1,0))</f>
        <v/>
      </c>
      <c r="L64" s="5">
        <f>INDEX(products!$A$1:$G$49,MATCH(orders!$D64,products!$A$1:$A$49,0),MATCH(orders!L$1,products!$A$1:$G$1,0))</f>
        <v/>
      </c>
      <c r="M64" s="5">
        <f>L64*E64</f>
        <v/>
      </c>
      <c r="N64">
        <f>IF(I64="Rob","Robusta",IF(I64="Exc","Excelsa",IF(I64="Ara","Arabica",IF(I64="Lib","Liberica",""))))</f>
        <v/>
      </c>
      <c r="O64">
        <f>IF(J64="M","Medium",IF(J64="L","Light",IF(J64="D","Dark","")))</f>
        <v/>
      </c>
      <c r="P64">
        <f>_xlfn.XLOOKUP(Orders[[#This Row],[Customer ID]],customers!$A$1:$A$1001,customers!$I$1:$I$1001,,0)</f>
        <v/>
      </c>
    </row>
    <row r="65">
      <c r="A65" s="2" t="inlineStr">
        <is>
          <t>O6899</t>
        </is>
      </c>
      <c r="B65" s="3" t="inlineStr">
        <is>
          <t>2020-03-09</t>
        </is>
      </c>
      <c r="C65" s="2" t="inlineStr">
        <is>
          <t>O9039</t>
        </is>
      </c>
      <c r="D65" t="inlineStr">
        <is>
          <t>O4655</t>
        </is>
      </c>
      <c r="E65" s="2" t="n">
        <v>75</v>
      </c>
      <c r="F65" s="2">
        <f>_xlfn.XLOOKUP(C65,customers!$A$1:$A$1001,customers!$B$1:$B$1001,,0)</f>
        <v/>
      </c>
      <c r="G65" s="2">
        <f>IF(_xlfn.XLOOKUP(C65,customers!$A$1:$A$1001,customers!$C$1:$C$1001,,0)=0,"",_xlfn.XLOOKUP(C65,customers!$A$1:$A$1001,customers!$C$1:$C$1001,,0))</f>
        <v/>
      </c>
      <c r="H65" s="2">
        <f>_xlfn.XLOOKUP(C65,customers!$A$1:$A$1001,customers!$G$1:$G$1001,,0)</f>
        <v/>
      </c>
      <c r="I65">
        <f>INDEX(products!$A$1:$G$49,MATCH(orders!$D65,products!$A$1:$A$49,0),MATCH(orders!I$1,products!$A$1:$G$1,0))</f>
        <v/>
      </c>
      <c r="J65">
        <f>INDEX(products!$A$1:$G$49,MATCH(orders!$D65,products!$A$1:$A$49,0),MATCH(orders!J$1,products!$A$1:$G$1,0))</f>
        <v/>
      </c>
      <c r="K65" s="4">
        <f>INDEX(products!$A$1:$G$49,MATCH(orders!$D65,products!$A$1:$A$49,0),MATCH(orders!K$1,products!$A$1:$G$1,0))</f>
        <v/>
      </c>
      <c r="L65" s="5">
        <f>INDEX(products!$A$1:$G$49,MATCH(orders!$D65,products!$A$1:$A$49,0),MATCH(orders!L$1,products!$A$1:$G$1,0))</f>
        <v/>
      </c>
      <c r="M65" s="5">
        <f>L65*E65</f>
        <v/>
      </c>
      <c r="N65">
        <f>IF(I65="Rob","Robusta",IF(I65="Exc","Excelsa",IF(I65="Ara","Arabica",IF(I65="Lib","Liberica",""))))</f>
        <v/>
      </c>
      <c r="O65">
        <f>IF(J65="M","Medium",IF(J65="L","Light",IF(J65="D","Dark","")))</f>
        <v/>
      </c>
      <c r="P65">
        <f>_xlfn.XLOOKUP(Orders[[#This Row],[Customer ID]],customers!$A$1:$A$1001,customers!$I$1:$I$1001,,0)</f>
        <v/>
      </c>
    </row>
    <row r="66">
      <c r="A66" s="2" t="inlineStr">
        <is>
          <t>O2857</t>
        </is>
      </c>
      <c r="B66" s="3" t="inlineStr">
        <is>
          <t>2023-01-30</t>
        </is>
      </c>
      <c r="C66" s="2" t="inlineStr">
        <is>
          <t>O1570</t>
        </is>
      </c>
      <c r="D66" t="inlineStr">
        <is>
          <t>O2034</t>
        </is>
      </c>
      <c r="E66" s="2" t="n">
        <v>389</v>
      </c>
      <c r="F66" s="2">
        <f>_xlfn.XLOOKUP(C66,customers!$A$1:$A$1001,customers!$B$1:$B$1001,,0)</f>
        <v/>
      </c>
      <c r="G66" s="2">
        <f>IF(_xlfn.XLOOKUP(C66,customers!$A$1:$A$1001,customers!$C$1:$C$1001,,0)=0,"",_xlfn.XLOOKUP(C66,customers!$A$1:$A$1001,customers!$C$1:$C$1001,,0))</f>
        <v/>
      </c>
      <c r="H66" s="2">
        <f>_xlfn.XLOOKUP(C66,customers!$A$1:$A$1001,customers!$G$1:$G$1001,,0)</f>
        <v/>
      </c>
      <c r="I66">
        <f>INDEX(products!$A$1:$G$49,MATCH(orders!$D66,products!$A$1:$A$49,0),MATCH(orders!I$1,products!$A$1:$G$1,0))</f>
        <v/>
      </c>
      <c r="J66">
        <f>INDEX(products!$A$1:$G$49,MATCH(orders!$D66,products!$A$1:$A$49,0),MATCH(orders!J$1,products!$A$1:$G$1,0))</f>
        <v/>
      </c>
      <c r="K66" s="4">
        <f>INDEX(products!$A$1:$G$49,MATCH(orders!$D66,products!$A$1:$A$49,0),MATCH(orders!K$1,products!$A$1:$G$1,0))</f>
        <v/>
      </c>
      <c r="L66" s="5">
        <f>INDEX(products!$A$1:$G$49,MATCH(orders!$D66,products!$A$1:$A$49,0),MATCH(orders!L$1,products!$A$1:$G$1,0))</f>
        <v/>
      </c>
      <c r="M66" s="5">
        <f>L66*E66</f>
        <v/>
      </c>
      <c r="N66">
        <f>IF(I66="Rob","Robusta",IF(I66="Exc","Excelsa",IF(I66="Ara","Arabica",IF(I66="Lib","Liberica",""))))</f>
        <v/>
      </c>
      <c r="O66">
        <f>IF(J66="M","Medium",IF(J66="L","Light",IF(J66="D","Dark","")))</f>
        <v/>
      </c>
      <c r="P66">
        <f>_xlfn.XLOOKUP(Orders[[#This Row],[Customer ID]],customers!$A$1:$A$1001,customers!$I$1:$I$1001,,0)</f>
        <v/>
      </c>
    </row>
    <row r="67">
      <c r="A67" s="2" t="inlineStr">
        <is>
          <t>O2882</t>
        </is>
      </c>
      <c r="B67" s="3" t="inlineStr">
        <is>
          <t>2024-08-10</t>
        </is>
      </c>
      <c r="C67" s="2" t="inlineStr">
        <is>
          <t>O8110</t>
        </is>
      </c>
      <c r="D67" t="inlineStr">
        <is>
          <t>O9379</t>
        </is>
      </c>
      <c r="E67" s="2" t="n">
        <v>247</v>
      </c>
      <c r="F67" s="2">
        <f>_xlfn.XLOOKUP(C67,customers!$A$1:$A$1001,customers!$B$1:$B$1001,,0)</f>
        <v/>
      </c>
      <c r="G67" s="2">
        <f>IF(_xlfn.XLOOKUP(C67,customers!$A$1:$A$1001,customers!$C$1:$C$1001,,0)=0,"",_xlfn.XLOOKUP(C67,customers!$A$1:$A$1001,customers!$C$1:$C$1001,,0))</f>
        <v/>
      </c>
      <c r="H67" s="2">
        <f>_xlfn.XLOOKUP(C67,customers!$A$1:$A$1001,customers!$G$1:$G$1001,,0)</f>
        <v/>
      </c>
      <c r="I67">
        <f>INDEX(products!$A$1:$G$49,MATCH(orders!$D67,products!$A$1:$A$49,0),MATCH(orders!I$1,products!$A$1:$G$1,0))</f>
        <v/>
      </c>
      <c r="J67">
        <f>INDEX(products!$A$1:$G$49,MATCH(orders!$D67,products!$A$1:$A$49,0),MATCH(orders!J$1,products!$A$1:$G$1,0))</f>
        <v/>
      </c>
      <c r="K67" s="4">
        <f>INDEX(products!$A$1:$G$49,MATCH(orders!$D67,products!$A$1:$A$49,0),MATCH(orders!K$1,products!$A$1:$G$1,0))</f>
        <v/>
      </c>
      <c r="L67" s="5">
        <f>INDEX(products!$A$1:$G$49,MATCH(orders!$D67,products!$A$1:$A$49,0),MATCH(orders!L$1,products!$A$1:$G$1,0))</f>
        <v/>
      </c>
      <c r="M67" s="5">
        <f>L67*E67</f>
        <v/>
      </c>
      <c r="N67">
        <f>IF(I67="Rob","Robusta",IF(I67="Exc","Excelsa",IF(I67="Ara","Arabica",IF(I67="Lib","Liberica",""))))</f>
        <v/>
      </c>
      <c r="O67">
        <f>IF(J67="M","Medium",IF(J67="L","Light",IF(J67="D","Dark","")))</f>
        <v/>
      </c>
      <c r="P67">
        <f>_xlfn.XLOOKUP(Orders[[#This Row],[Customer ID]],customers!$A$1:$A$1001,customers!$I$1:$I$1001,,0)</f>
        <v/>
      </c>
    </row>
    <row r="68">
      <c r="A68" s="2" t="inlineStr">
        <is>
          <t>O7902</t>
        </is>
      </c>
      <c r="B68" s="3" t="inlineStr">
        <is>
          <t>2023-09-04</t>
        </is>
      </c>
      <c r="C68" s="2" t="inlineStr">
        <is>
          <t>O7142</t>
        </is>
      </c>
      <c r="D68" t="inlineStr">
        <is>
          <t>O3577</t>
        </is>
      </c>
      <c r="E68" s="2" t="n">
        <v>240</v>
      </c>
      <c r="F68" s="2">
        <f>_xlfn.XLOOKUP(C68,customers!$A$1:$A$1001,customers!$B$1:$B$1001,,0)</f>
        <v/>
      </c>
      <c r="G68" s="2">
        <f>IF(_xlfn.XLOOKUP(C68,customers!$A$1:$A$1001,customers!$C$1:$C$1001,,0)=0,"",_xlfn.XLOOKUP(C68,customers!$A$1:$A$1001,customers!$C$1:$C$1001,,0))</f>
        <v/>
      </c>
      <c r="H68" s="2">
        <f>_xlfn.XLOOKUP(C68,customers!$A$1:$A$1001,customers!$G$1:$G$1001,,0)</f>
        <v/>
      </c>
      <c r="I68">
        <f>INDEX(products!$A$1:$G$49,MATCH(orders!$D68,products!$A$1:$A$49,0),MATCH(orders!I$1,products!$A$1:$G$1,0))</f>
        <v/>
      </c>
      <c r="J68">
        <f>INDEX(products!$A$1:$G$49,MATCH(orders!$D68,products!$A$1:$A$49,0),MATCH(orders!J$1,products!$A$1:$G$1,0))</f>
        <v/>
      </c>
      <c r="K68" s="4">
        <f>INDEX(products!$A$1:$G$49,MATCH(orders!$D68,products!$A$1:$A$49,0),MATCH(orders!K$1,products!$A$1:$G$1,0))</f>
        <v/>
      </c>
      <c r="L68" s="5">
        <f>INDEX(products!$A$1:$G$49,MATCH(orders!$D68,products!$A$1:$A$49,0),MATCH(orders!L$1,products!$A$1:$G$1,0))</f>
        <v/>
      </c>
      <c r="M68" s="5">
        <f>L68*E68</f>
        <v/>
      </c>
      <c r="N68">
        <f>IF(I68="Rob","Robusta",IF(I68="Exc","Excelsa",IF(I68="Ara","Arabica",IF(I68="Lib","Liberica",""))))</f>
        <v/>
      </c>
      <c r="O68">
        <f>IF(J68="M","Medium",IF(J68="L","Light",IF(J68="D","Dark","")))</f>
        <v/>
      </c>
      <c r="P68">
        <f>_xlfn.XLOOKUP(Orders[[#This Row],[Customer ID]],customers!$A$1:$A$1001,customers!$I$1:$I$1001,,0)</f>
        <v/>
      </c>
    </row>
    <row r="69">
      <c r="A69" s="2" t="inlineStr">
        <is>
          <t>O8878</t>
        </is>
      </c>
      <c r="B69" s="3" t="inlineStr">
        <is>
          <t>2020-01-03</t>
        </is>
      </c>
      <c r="C69" s="2" t="inlineStr">
        <is>
          <t>O1999</t>
        </is>
      </c>
      <c r="D69" t="inlineStr">
        <is>
          <t>O9953</t>
        </is>
      </c>
      <c r="E69" s="2" t="n">
        <v>98</v>
      </c>
      <c r="F69" s="2">
        <f>_xlfn.XLOOKUP(C69,customers!$A$1:$A$1001,customers!$B$1:$B$1001,,0)</f>
        <v/>
      </c>
      <c r="G69" s="2">
        <f>IF(_xlfn.XLOOKUP(C69,customers!$A$1:$A$1001,customers!$C$1:$C$1001,,0)=0,"",_xlfn.XLOOKUP(C69,customers!$A$1:$A$1001,customers!$C$1:$C$1001,,0))</f>
        <v/>
      </c>
      <c r="H69" s="2">
        <f>_xlfn.XLOOKUP(C69,customers!$A$1:$A$1001,customers!$G$1:$G$1001,,0)</f>
        <v/>
      </c>
      <c r="I69">
        <f>INDEX(products!$A$1:$G$49,MATCH(orders!$D69,products!$A$1:$A$49,0),MATCH(orders!I$1,products!$A$1:$G$1,0))</f>
        <v/>
      </c>
      <c r="J69">
        <f>INDEX(products!$A$1:$G$49,MATCH(orders!$D69,products!$A$1:$A$49,0),MATCH(orders!J$1,products!$A$1:$G$1,0))</f>
        <v/>
      </c>
      <c r="K69" s="4">
        <f>INDEX(products!$A$1:$G$49,MATCH(orders!$D69,products!$A$1:$A$49,0),MATCH(orders!K$1,products!$A$1:$G$1,0))</f>
        <v/>
      </c>
      <c r="L69" s="5">
        <f>INDEX(products!$A$1:$G$49,MATCH(orders!$D69,products!$A$1:$A$49,0),MATCH(orders!L$1,products!$A$1:$G$1,0))</f>
        <v/>
      </c>
      <c r="M69" s="5">
        <f>L69*E69</f>
        <v/>
      </c>
      <c r="N69">
        <f>IF(I69="Rob","Robusta",IF(I69="Exc","Excelsa",IF(I69="Ara","Arabica",IF(I69="Lib","Liberica",""))))</f>
        <v/>
      </c>
      <c r="O69">
        <f>IF(J69="M","Medium",IF(J69="L","Light",IF(J69="D","Dark","")))</f>
        <v/>
      </c>
      <c r="P69">
        <f>_xlfn.XLOOKUP(Orders[[#This Row],[Customer ID]],customers!$A$1:$A$1001,customers!$I$1:$I$1001,,0)</f>
        <v/>
      </c>
    </row>
    <row r="70">
      <c r="A70" s="2" t="inlineStr">
        <is>
          <t>O2715</t>
        </is>
      </c>
      <c r="B70" s="3" t="inlineStr">
        <is>
          <t>2024-05-01</t>
        </is>
      </c>
      <c r="C70" s="2" t="inlineStr">
        <is>
          <t>O8839</t>
        </is>
      </c>
      <c r="D70" t="inlineStr">
        <is>
          <t>O3928</t>
        </is>
      </c>
      <c r="E70" s="2" t="n">
        <v>419</v>
      </c>
      <c r="F70" s="2">
        <f>_xlfn.XLOOKUP(C70,customers!$A$1:$A$1001,customers!$B$1:$B$1001,,0)</f>
        <v/>
      </c>
      <c r="G70" s="2">
        <f>IF(_xlfn.XLOOKUP(C70,customers!$A$1:$A$1001,customers!$C$1:$C$1001,,0)=0,"",_xlfn.XLOOKUP(C70,customers!$A$1:$A$1001,customers!$C$1:$C$1001,,0))</f>
        <v/>
      </c>
      <c r="H70" s="2">
        <f>_xlfn.XLOOKUP(C70,customers!$A$1:$A$1001,customers!$G$1:$G$1001,,0)</f>
        <v/>
      </c>
      <c r="I70">
        <f>INDEX(products!$A$1:$G$49,MATCH(orders!$D70,products!$A$1:$A$49,0),MATCH(orders!I$1,products!$A$1:$G$1,0))</f>
        <v/>
      </c>
      <c r="J70">
        <f>INDEX(products!$A$1:$G$49,MATCH(orders!$D70,products!$A$1:$A$49,0),MATCH(orders!J$1,products!$A$1:$G$1,0))</f>
        <v/>
      </c>
      <c r="K70" s="4">
        <f>INDEX(products!$A$1:$G$49,MATCH(orders!$D70,products!$A$1:$A$49,0),MATCH(orders!K$1,products!$A$1:$G$1,0))</f>
        <v/>
      </c>
      <c r="L70" s="5">
        <f>INDEX(products!$A$1:$G$49,MATCH(orders!$D70,products!$A$1:$A$49,0),MATCH(orders!L$1,products!$A$1:$G$1,0))</f>
        <v/>
      </c>
      <c r="M70" s="5">
        <f>L70*E70</f>
        <v/>
      </c>
      <c r="N70">
        <f>IF(I70="Rob","Robusta",IF(I70="Exc","Excelsa",IF(I70="Ara","Arabica",IF(I70="Lib","Liberica",""))))</f>
        <v/>
      </c>
      <c r="O70">
        <f>IF(J70="M","Medium",IF(J70="L","Light",IF(J70="D","Dark","")))</f>
        <v/>
      </c>
      <c r="P70">
        <f>_xlfn.XLOOKUP(Orders[[#This Row],[Customer ID]],customers!$A$1:$A$1001,customers!$I$1:$I$1001,,0)</f>
        <v/>
      </c>
    </row>
    <row r="71">
      <c r="A71" s="2" t="inlineStr">
        <is>
          <t>O1761</t>
        </is>
      </c>
      <c r="B71" s="3" t="inlineStr">
        <is>
          <t>2021-10-06</t>
        </is>
      </c>
      <c r="C71" s="2" t="inlineStr">
        <is>
          <t>O5409</t>
        </is>
      </c>
      <c r="D71" t="inlineStr">
        <is>
          <t>O9340</t>
        </is>
      </c>
      <c r="E71" s="2" t="n">
        <v>205</v>
      </c>
      <c r="F71" s="2">
        <f>_xlfn.XLOOKUP(C71,customers!$A$1:$A$1001,customers!$B$1:$B$1001,,0)</f>
        <v/>
      </c>
      <c r="G71" s="2">
        <f>IF(_xlfn.XLOOKUP(C71,customers!$A$1:$A$1001,customers!$C$1:$C$1001,,0)=0,"",_xlfn.XLOOKUP(C71,customers!$A$1:$A$1001,customers!$C$1:$C$1001,,0))</f>
        <v/>
      </c>
      <c r="H71" s="2">
        <f>_xlfn.XLOOKUP(C71,customers!$A$1:$A$1001,customers!$G$1:$G$1001,,0)</f>
        <v/>
      </c>
      <c r="I71">
        <f>INDEX(products!$A$1:$G$49,MATCH(orders!$D71,products!$A$1:$A$49,0),MATCH(orders!I$1,products!$A$1:$G$1,0))</f>
        <v/>
      </c>
      <c r="J71">
        <f>INDEX(products!$A$1:$G$49,MATCH(orders!$D71,products!$A$1:$A$49,0),MATCH(orders!J$1,products!$A$1:$G$1,0))</f>
        <v/>
      </c>
      <c r="K71" s="4">
        <f>INDEX(products!$A$1:$G$49,MATCH(orders!$D71,products!$A$1:$A$49,0),MATCH(orders!K$1,products!$A$1:$G$1,0))</f>
        <v/>
      </c>
      <c r="L71" s="5">
        <f>INDEX(products!$A$1:$G$49,MATCH(orders!$D71,products!$A$1:$A$49,0),MATCH(orders!L$1,products!$A$1:$G$1,0))</f>
        <v/>
      </c>
      <c r="M71" s="5">
        <f>L71*E71</f>
        <v/>
      </c>
      <c r="N71">
        <f>IF(I71="Rob","Robusta",IF(I71="Exc","Excelsa",IF(I71="Ara","Arabica",IF(I71="Lib","Liberica",""))))</f>
        <v/>
      </c>
      <c r="O71">
        <f>IF(J71="M","Medium",IF(J71="L","Light",IF(J71="D","Dark","")))</f>
        <v/>
      </c>
      <c r="P71">
        <f>_xlfn.XLOOKUP(Orders[[#This Row],[Customer ID]],customers!$A$1:$A$1001,customers!$I$1:$I$1001,,0)</f>
        <v/>
      </c>
    </row>
    <row r="72">
      <c r="A72" s="2" t="inlineStr">
        <is>
          <t>O9225</t>
        </is>
      </c>
      <c r="B72" s="3" t="inlineStr">
        <is>
          <t>2024-11-05</t>
        </is>
      </c>
      <c r="C72" s="2" t="inlineStr">
        <is>
          <t>O8779</t>
        </is>
      </c>
      <c r="D72" t="inlineStr">
        <is>
          <t>O7007</t>
        </is>
      </c>
      <c r="E72" s="2" t="n">
        <v>138</v>
      </c>
      <c r="F72" s="2">
        <f>_xlfn.XLOOKUP(C72,customers!$A$1:$A$1001,customers!$B$1:$B$1001,,0)</f>
        <v/>
      </c>
      <c r="G72" s="2">
        <f>IF(_xlfn.XLOOKUP(C72,customers!$A$1:$A$1001,customers!$C$1:$C$1001,,0)=0,"",_xlfn.XLOOKUP(C72,customers!$A$1:$A$1001,customers!$C$1:$C$1001,,0))</f>
        <v/>
      </c>
      <c r="H72" s="2">
        <f>_xlfn.XLOOKUP(C72,customers!$A$1:$A$1001,customers!$G$1:$G$1001,,0)</f>
        <v/>
      </c>
      <c r="I72">
        <f>INDEX(products!$A$1:$G$49,MATCH(orders!$D72,products!$A$1:$A$49,0),MATCH(orders!I$1,products!$A$1:$G$1,0))</f>
        <v/>
      </c>
      <c r="J72">
        <f>INDEX(products!$A$1:$G$49,MATCH(orders!$D72,products!$A$1:$A$49,0),MATCH(orders!J$1,products!$A$1:$G$1,0))</f>
        <v/>
      </c>
      <c r="K72" s="4">
        <f>INDEX(products!$A$1:$G$49,MATCH(orders!$D72,products!$A$1:$A$49,0),MATCH(orders!K$1,products!$A$1:$G$1,0))</f>
        <v/>
      </c>
      <c r="L72" s="5">
        <f>INDEX(products!$A$1:$G$49,MATCH(orders!$D72,products!$A$1:$A$49,0),MATCH(orders!L$1,products!$A$1:$G$1,0))</f>
        <v/>
      </c>
      <c r="M72" s="5">
        <f>L72*E72</f>
        <v/>
      </c>
      <c r="N72">
        <f>IF(I72="Rob","Robusta",IF(I72="Exc","Excelsa",IF(I72="Ara","Arabica",IF(I72="Lib","Liberica",""))))</f>
        <v/>
      </c>
      <c r="O72">
        <f>IF(J72="M","Medium",IF(J72="L","Light",IF(J72="D","Dark","")))</f>
        <v/>
      </c>
      <c r="P72">
        <f>_xlfn.XLOOKUP(Orders[[#This Row],[Customer ID]],customers!$A$1:$A$1001,customers!$I$1:$I$1001,,0)</f>
        <v/>
      </c>
    </row>
    <row r="73">
      <c r="A73" s="2" t="inlineStr">
        <is>
          <t>O6484</t>
        </is>
      </c>
      <c r="B73" s="3" t="inlineStr">
        <is>
          <t>2021-08-25</t>
        </is>
      </c>
      <c r="C73" s="2" t="inlineStr">
        <is>
          <t>O7143</t>
        </is>
      </c>
      <c r="D73" t="inlineStr">
        <is>
          <t>O3917</t>
        </is>
      </c>
      <c r="E73" s="2" t="n">
        <v>125</v>
      </c>
      <c r="F73" s="2">
        <f>_xlfn.XLOOKUP(C73,customers!$A$1:$A$1001,customers!$B$1:$B$1001,,0)</f>
        <v/>
      </c>
      <c r="G73" s="2">
        <f>IF(_xlfn.XLOOKUP(C73,customers!$A$1:$A$1001,customers!$C$1:$C$1001,,0)=0,"",_xlfn.XLOOKUP(C73,customers!$A$1:$A$1001,customers!$C$1:$C$1001,,0))</f>
        <v/>
      </c>
      <c r="H73" s="2">
        <f>_xlfn.XLOOKUP(C73,customers!$A$1:$A$1001,customers!$G$1:$G$1001,,0)</f>
        <v/>
      </c>
      <c r="I73">
        <f>INDEX(products!$A$1:$G$49,MATCH(orders!$D73,products!$A$1:$A$49,0),MATCH(orders!I$1,products!$A$1:$G$1,0))</f>
        <v/>
      </c>
      <c r="J73">
        <f>INDEX(products!$A$1:$G$49,MATCH(orders!$D73,products!$A$1:$A$49,0),MATCH(orders!J$1,products!$A$1:$G$1,0))</f>
        <v/>
      </c>
      <c r="K73" s="4">
        <f>INDEX(products!$A$1:$G$49,MATCH(orders!$D73,products!$A$1:$A$49,0),MATCH(orders!K$1,products!$A$1:$G$1,0))</f>
        <v/>
      </c>
      <c r="L73" s="5">
        <f>INDEX(products!$A$1:$G$49,MATCH(orders!$D73,products!$A$1:$A$49,0),MATCH(orders!L$1,products!$A$1:$G$1,0))</f>
        <v/>
      </c>
      <c r="M73" s="5">
        <f>L73*E73</f>
        <v/>
      </c>
      <c r="N73">
        <f>IF(I73="Rob","Robusta",IF(I73="Exc","Excelsa",IF(I73="Ara","Arabica",IF(I73="Lib","Liberica",""))))</f>
        <v/>
      </c>
      <c r="O73">
        <f>IF(J73="M","Medium",IF(J73="L","Light",IF(J73="D","Dark","")))</f>
        <v/>
      </c>
      <c r="P73">
        <f>_xlfn.XLOOKUP(Orders[[#This Row],[Customer ID]],customers!$A$1:$A$1001,customers!$I$1:$I$1001,,0)</f>
        <v/>
      </c>
    </row>
    <row r="74">
      <c r="A74" s="2" t="inlineStr">
        <is>
          <t>O9713</t>
        </is>
      </c>
      <c r="B74" s="3" t="inlineStr">
        <is>
          <t>2020-11-29</t>
        </is>
      </c>
      <c r="C74" s="2" t="inlineStr">
        <is>
          <t>O8391</t>
        </is>
      </c>
      <c r="D74" t="inlineStr">
        <is>
          <t>O1382</t>
        </is>
      </c>
      <c r="E74" s="2" t="n">
        <v>147</v>
      </c>
      <c r="F74" s="2">
        <f>_xlfn.XLOOKUP(C74,customers!$A$1:$A$1001,customers!$B$1:$B$1001,,0)</f>
        <v/>
      </c>
      <c r="G74" s="2">
        <f>IF(_xlfn.XLOOKUP(C74,customers!$A$1:$A$1001,customers!$C$1:$C$1001,,0)=0,"",_xlfn.XLOOKUP(C74,customers!$A$1:$A$1001,customers!$C$1:$C$1001,,0))</f>
        <v/>
      </c>
      <c r="H74" s="2">
        <f>_xlfn.XLOOKUP(C74,customers!$A$1:$A$1001,customers!$G$1:$G$1001,,0)</f>
        <v/>
      </c>
      <c r="I74">
        <f>INDEX(products!$A$1:$G$49,MATCH(orders!$D74,products!$A$1:$A$49,0),MATCH(orders!I$1,products!$A$1:$G$1,0))</f>
        <v/>
      </c>
      <c r="J74">
        <f>INDEX(products!$A$1:$G$49,MATCH(orders!$D74,products!$A$1:$A$49,0),MATCH(orders!J$1,products!$A$1:$G$1,0))</f>
        <v/>
      </c>
      <c r="K74" s="4">
        <f>INDEX(products!$A$1:$G$49,MATCH(orders!$D74,products!$A$1:$A$49,0),MATCH(orders!K$1,products!$A$1:$G$1,0))</f>
        <v/>
      </c>
      <c r="L74" s="5">
        <f>INDEX(products!$A$1:$G$49,MATCH(orders!$D74,products!$A$1:$A$49,0),MATCH(orders!L$1,products!$A$1:$G$1,0))</f>
        <v/>
      </c>
      <c r="M74" s="5">
        <f>L74*E74</f>
        <v/>
      </c>
      <c r="N74">
        <f>IF(I74="Rob","Robusta",IF(I74="Exc","Excelsa",IF(I74="Ara","Arabica",IF(I74="Lib","Liberica",""))))</f>
        <v/>
      </c>
      <c r="O74">
        <f>IF(J74="M","Medium",IF(J74="L","Light",IF(J74="D","Dark","")))</f>
        <v/>
      </c>
      <c r="P74">
        <f>_xlfn.XLOOKUP(Orders[[#This Row],[Customer ID]],customers!$A$1:$A$1001,customers!$I$1:$I$1001,,0)</f>
        <v/>
      </c>
    </row>
    <row r="75">
      <c r="A75" s="2" t="inlineStr">
        <is>
          <t>O9456</t>
        </is>
      </c>
      <c r="B75" s="3" t="inlineStr">
        <is>
          <t>2020-08-10</t>
        </is>
      </c>
      <c r="C75" s="2" t="inlineStr">
        <is>
          <t>O4870</t>
        </is>
      </c>
      <c r="D75" t="inlineStr">
        <is>
          <t>O2613</t>
        </is>
      </c>
      <c r="E75" s="2" t="n">
        <v>255</v>
      </c>
      <c r="F75" s="2">
        <f>_xlfn.XLOOKUP(C75,customers!$A$1:$A$1001,customers!$B$1:$B$1001,,0)</f>
        <v/>
      </c>
      <c r="G75" s="2">
        <f>IF(_xlfn.XLOOKUP(C75,customers!$A$1:$A$1001,customers!$C$1:$C$1001,,0)=0,"",_xlfn.XLOOKUP(C75,customers!$A$1:$A$1001,customers!$C$1:$C$1001,,0))</f>
        <v/>
      </c>
      <c r="H75" s="2">
        <f>_xlfn.XLOOKUP(C75,customers!$A$1:$A$1001,customers!$G$1:$G$1001,,0)</f>
        <v/>
      </c>
      <c r="I75">
        <f>INDEX(products!$A$1:$G$49,MATCH(orders!$D75,products!$A$1:$A$49,0),MATCH(orders!I$1,products!$A$1:$G$1,0))</f>
        <v/>
      </c>
      <c r="J75">
        <f>INDEX(products!$A$1:$G$49,MATCH(orders!$D75,products!$A$1:$A$49,0),MATCH(orders!J$1,products!$A$1:$G$1,0))</f>
        <v/>
      </c>
      <c r="K75" s="4">
        <f>INDEX(products!$A$1:$G$49,MATCH(orders!$D75,products!$A$1:$A$49,0),MATCH(orders!K$1,products!$A$1:$G$1,0))</f>
        <v/>
      </c>
      <c r="L75" s="5">
        <f>INDEX(products!$A$1:$G$49,MATCH(orders!$D75,products!$A$1:$A$49,0),MATCH(orders!L$1,products!$A$1:$G$1,0))</f>
        <v/>
      </c>
      <c r="M75" s="5">
        <f>L75*E75</f>
        <v/>
      </c>
      <c r="N75">
        <f>IF(I75="Rob","Robusta",IF(I75="Exc","Excelsa",IF(I75="Ara","Arabica",IF(I75="Lib","Liberica",""))))</f>
        <v/>
      </c>
      <c r="O75">
        <f>IF(J75="M","Medium",IF(J75="L","Light",IF(J75="D","Dark","")))</f>
        <v/>
      </c>
      <c r="P75">
        <f>_xlfn.XLOOKUP(Orders[[#This Row],[Customer ID]],customers!$A$1:$A$1001,customers!$I$1:$I$1001,,0)</f>
        <v/>
      </c>
    </row>
    <row r="76">
      <c r="A76" s="2" t="inlineStr">
        <is>
          <t>O3804</t>
        </is>
      </c>
      <c r="B76" s="3" t="inlineStr">
        <is>
          <t>2021-05-15</t>
        </is>
      </c>
      <c r="C76" s="2" t="inlineStr">
        <is>
          <t>O4724</t>
        </is>
      </c>
      <c r="D76" t="inlineStr">
        <is>
          <t>O9861</t>
        </is>
      </c>
      <c r="E76" s="2" t="n">
        <v>268</v>
      </c>
      <c r="F76" s="2">
        <f>_xlfn.XLOOKUP(C76,customers!$A$1:$A$1001,customers!$B$1:$B$1001,,0)</f>
        <v/>
      </c>
      <c r="G76" s="2">
        <f>IF(_xlfn.XLOOKUP(C76,customers!$A$1:$A$1001,customers!$C$1:$C$1001,,0)=0,"",_xlfn.XLOOKUP(C76,customers!$A$1:$A$1001,customers!$C$1:$C$1001,,0))</f>
        <v/>
      </c>
      <c r="H76" s="2">
        <f>_xlfn.XLOOKUP(C76,customers!$A$1:$A$1001,customers!$G$1:$G$1001,,0)</f>
        <v/>
      </c>
      <c r="I76">
        <f>INDEX(products!$A$1:$G$49,MATCH(orders!$D76,products!$A$1:$A$49,0),MATCH(orders!I$1,products!$A$1:$G$1,0))</f>
        <v/>
      </c>
      <c r="J76">
        <f>INDEX(products!$A$1:$G$49,MATCH(orders!$D76,products!$A$1:$A$49,0),MATCH(orders!J$1,products!$A$1:$G$1,0))</f>
        <v/>
      </c>
      <c r="K76" s="4">
        <f>INDEX(products!$A$1:$G$49,MATCH(orders!$D76,products!$A$1:$A$49,0),MATCH(orders!K$1,products!$A$1:$G$1,0))</f>
        <v/>
      </c>
      <c r="L76" s="5">
        <f>INDEX(products!$A$1:$G$49,MATCH(orders!$D76,products!$A$1:$A$49,0),MATCH(orders!L$1,products!$A$1:$G$1,0))</f>
        <v/>
      </c>
      <c r="M76" s="5">
        <f>L76*E76</f>
        <v/>
      </c>
      <c r="N76">
        <f>IF(I76="Rob","Robusta",IF(I76="Exc","Excelsa",IF(I76="Ara","Arabica",IF(I76="Lib","Liberica",""))))</f>
        <v/>
      </c>
      <c r="O76">
        <f>IF(J76="M","Medium",IF(J76="L","Light",IF(J76="D","Dark","")))</f>
        <v/>
      </c>
      <c r="P76">
        <f>_xlfn.XLOOKUP(Orders[[#This Row],[Customer ID]],customers!$A$1:$A$1001,customers!$I$1:$I$1001,,0)</f>
        <v/>
      </c>
    </row>
    <row r="77">
      <c r="A77" s="2" t="inlineStr">
        <is>
          <t>O3017</t>
        </is>
      </c>
      <c r="B77" s="3" t="inlineStr">
        <is>
          <t>2023-09-17</t>
        </is>
      </c>
      <c r="C77" s="2" t="inlineStr">
        <is>
          <t>O2237</t>
        </is>
      </c>
      <c r="D77" t="inlineStr">
        <is>
          <t>O4470</t>
        </is>
      </c>
      <c r="E77" s="2" t="n">
        <v>238</v>
      </c>
      <c r="F77" s="2">
        <f>_xlfn.XLOOKUP(C77,customers!$A$1:$A$1001,customers!$B$1:$B$1001,,0)</f>
        <v/>
      </c>
      <c r="G77" s="2">
        <f>IF(_xlfn.XLOOKUP(C77,customers!$A$1:$A$1001,customers!$C$1:$C$1001,,0)=0,"",_xlfn.XLOOKUP(C77,customers!$A$1:$A$1001,customers!$C$1:$C$1001,,0))</f>
        <v/>
      </c>
      <c r="H77" s="2">
        <f>_xlfn.XLOOKUP(C77,customers!$A$1:$A$1001,customers!$G$1:$G$1001,,0)</f>
        <v/>
      </c>
      <c r="I77">
        <f>INDEX(products!$A$1:$G$49,MATCH(orders!$D77,products!$A$1:$A$49,0),MATCH(orders!I$1,products!$A$1:$G$1,0))</f>
        <v/>
      </c>
      <c r="J77">
        <f>INDEX(products!$A$1:$G$49,MATCH(orders!$D77,products!$A$1:$A$49,0),MATCH(orders!J$1,products!$A$1:$G$1,0))</f>
        <v/>
      </c>
      <c r="K77" s="4">
        <f>INDEX(products!$A$1:$G$49,MATCH(orders!$D77,products!$A$1:$A$49,0),MATCH(orders!K$1,products!$A$1:$G$1,0))</f>
        <v/>
      </c>
      <c r="L77" s="5">
        <f>INDEX(products!$A$1:$G$49,MATCH(orders!$D77,products!$A$1:$A$49,0),MATCH(orders!L$1,products!$A$1:$G$1,0))</f>
        <v/>
      </c>
      <c r="M77" s="5">
        <f>L77*E77</f>
        <v/>
      </c>
      <c r="N77">
        <f>IF(I77="Rob","Robusta",IF(I77="Exc","Excelsa",IF(I77="Ara","Arabica",IF(I77="Lib","Liberica",""))))</f>
        <v/>
      </c>
      <c r="O77">
        <f>IF(J77="M","Medium",IF(J77="L","Light",IF(J77="D","Dark","")))</f>
        <v/>
      </c>
      <c r="P77">
        <f>_xlfn.XLOOKUP(Orders[[#This Row],[Customer ID]],customers!$A$1:$A$1001,customers!$I$1:$I$1001,,0)</f>
        <v/>
      </c>
    </row>
    <row r="78">
      <c r="A78" s="2" t="inlineStr">
        <is>
          <t>O8767</t>
        </is>
      </c>
      <c r="B78" s="3" t="inlineStr">
        <is>
          <t>2024-10-30</t>
        </is>
      </c>
      <c r="C78" s="2" t="inlineStr">
        <is>
          <t>O3725</t>
        </is>
      </c>
      <c r="D78" t="inlineStr">
        <is>
          <t>O4532</t>
        </is>
      </c>
      <c r="E78" s="2" t="n">
        <v>74</v>
      </c>
      <c r="F78" s="2">
        <f>_xlfn.XLOOKUP(C78,customers!$A$1:$A$1001,customers!$B$1:$B$1001,,0)</f>
        <v/>
      </c>
      <c r="G78" s="2">
        <f>IF(_xlfn.XLOOKUP(C78,customers!$A$1:$A$1001,customers!$C$1:$C$1001,,0)=0,"",_xlfn.XLOOKUP(C78,customers!$A$1:$A$1001,customers!$C$1:$C$1001,,0))</f>
        <v/>
      </c>
      <c r="H78" s="2">
        <f>_xlfn.XLOOKUP(C78,customers!$A$1:$A$1001,customers!$G$1:$G$1001,,0)</f>
        <v/>
      </c>
      <c r="I78">
        <f>INDEX(products!$A$1:$G$49,MATCH(orders!$D78,products!$A$1:$A$49,0),MATCH(orders!I$1,products!$A$1:$G$1,0))</f>
        <v/>
      </c>
      <c r="J78">
        <f>INDEX(products!$A$1:$G$49,MATCH(orders!$D78,products!$A$1:$A$49,0),MATCH(orders!J$1,products!$A$1:$G$1,0))</f>
        <v/>
      </c>
      <c r="K78" s="4">
        <f>INDEX(products!$A$1:$G$49,MATCH(orders!$D78,products!$A$1:$A$49,0),MATCH(orders!K$1,products!$A$1:$G$1,0))</f>
        <v/>
      </c>
      <c r="L78" s="5">
        <f>INDEX(products!$A$1:$G$49,MATCH(orders!$D78,products!$A$1:$A$49,0),MATCH(orders!L$1,products!$A$1:$G$1,0))</f>
        <v/>
      </c>
      <c r="M78" s="5">
        <f>L78*E78</f>
        <v/>
      </c>
      <c r="N78">
        <f>IF(I78="Rob","Robusta",IF(I78="Exc","Excelsa",IF(I78="Ara","Arabica",IF(I78="Lib","Liberica",""))))</f>
        <v/>
      </c>
      <c r="O78">
        <f>IF(J78="M","Medium",IF(J78="L","Light",IF(J78="D","Dark","")))</f>
        <v/>
      </c>
      <c r="P78">
        <f>_xlfn.XLOOKUP(Orders[[#This Row],[Customer ID]],customers!$A$1:$A$1001,customers!$I$1:$I$1001,,0)</f>
        <v/>
      </c>
    </row>
    <row r="79">
      <c r="A79" s="2" t="inlineStr">
        <is>
          <t>O3349</t>
        </is>
      </c>
      <c r="B79" s="3" t="inlineStr">
        <is>
          <t>2024-12-28</t>
        </is>
      </c>
      <c r="C79" s="2" t="inlineStr">
        <is>
          <t>O1243</t>
        </is>
      </c>
      <c r="D79" t="inlineStr">
        <is>
          <t>O9873</t>
        </is>
      </c>
      <c r="E79" s="2" t="n">
        <v>207</v>
      </c>
      <c r="F79" s="2">
        <f>_xlfn.XLOOKUP(C79,customers!$A$1:$A$1001,customers!$B$1:$B$1001,,0)</f>
        <v/>
      </c>
      <c r="G79" s="2">
        <f>IF(_xlfn.XLOOKUP(C79,customers!$A$1:$A$1001,customers!$C$1:$C$1001,,0)=0,"",_xlfn.XLOOKUP(C79,customers!$A$1:$A$1001,customers!$C$1:$C$1001,,0))</f>
        <v/>
      </c>
      <c r="H79" s="2">
        <f>_xlfn.XLOOKUP(C79,customers!$A$1:$A$1001,customers!$G$1:$G$1001,,0)</f>
        <v/>
      </c>
      <c r="I79">
        <f>INDEX(products!$A$1:$G$49,MATCH(orders!$D79,products!$A$1:$A$49,0),MATCH(orders!I$1,products!$A$1:$G$1,0))</f>
        <v/>
      </c>
      <c r="J79">
        <f>INDEX(products!$A$1:$G$49,MATCH(orders!$D79,products!$A$1:$A$49,0),MATCH(orders!J$1,products!$A$1:$G$1,0))</f>
        <v/>
      </c>
      <c r="K79" s="4">
        <f>INDEX(products!$A$1:$G$49,MATCH(orders!$D79,products!$A$1:$A$49,0),MATCH(orders!K$1,products!$A$1:$G$1,0))</f>
        <v/>
      </c>
      <c r="L79" s="5">
        <f>INDEX(products!$A$1:$G$49,MATCH(orders!$D79,products!$A$1:$A$49,0),MATCH(orders!L$1,products!$A$1:$G$1,0))</f>
        <v/>
      </c>
      <c r="M79" s="5">
        <f>L79*E79</f>
        <v/>
      </c>
      <c r="N79">
        <f>IF(I79="Rob","Robusta",IF(I79="Exc","Excelsa",IF(I79="Ara","Arabica",IF(I79="Lib","Liberica",""))))</f>
        <v/>
      </c>
      <c r="O79">
        <f>IF(J79="M","Medium",IF(J79="L","Light",IF(J79="D","Dark","")))</f>
        <v/>
      </c>
      <c r="P79">
        <f>_xlfn.XLOOKUP(Orders[[#This Row],[Customer ID]],customers!$A$1:$A$1001,customers!$I$1:$I$1001,,0)</f>
        <v/>
      </c>
    </row>
    <row r="80">
      <c r="A80" s="2" t="inlineStr">
        <is>
          <t>O9641</t>
        </is>
      </c>
      <c r="B80" s="3" t="inlineStr">
        <is>
          <t>2025-01-25</t>
        </is>
      </c>
      <c r="C80" s="2" t="inlineStr">
        <is>
          <t>O6537</t>
        </is>
      </c>
      <c r="D80" t="inlineStr">
        <is>
          <t>O9736</t>
        </is>
      </c>
      <c r="E80" s="2" t="n">
        <v>344</v>
      </c>
      <c r="F80" s="2">
        <f>_xlfn.XLOOKUP(C80,customers!$A$1:$A$1001,customers!$B$1:$B$1001,,0)</f>
        <v/>
      </c>
      <c r="G80" s="2">
        <f>IF(_xlfn.XLOOKUP(C80,customers!$A$1:$A$1001,customers!$C$1:$C$1001,,0)=0,"",_xlfn.XLOOKUP(C80,customers!$A$1:$A$1001,customers!$C$1:$C$1001,,0))</f>
        <v/>
      </c>
      <c r="H80" s="2">
        <f>_xlfn.XLOOKUP(C80,customers!$A$1:$A$1001,customers!$G$1:$G$1001,,0)</f>
        <v/>
      </c>
      <c r="I80">
        <f>INDEX(products!$A$1:$G$49,MATCH(orders!$D80,products!$A$1:$A$49,0),MATCH(orders!I$1,products!$A$1:$G$1,0))</f>
        <v/>
      </c>
      <c r="J80">
        <f>INDEX(products!$A$1:$G$49,MATCH(orders!$D80,products!$A$1:$A$49,0),MATCH(orders!J$1,products!$A$1:$G$1,0))</f>
        <v/>
      </c>
      <c r="K80" s="4">
        <f>INDEX(products!$A$1:$G$49,MATCH(orders!$D80,products!$A$1:$A$49,0),MATCH(orders!K$1,products!$A$1:$G$1,0))</f>
        <v/>
      </c>
      <c r="L80" s="5">
        <f>INDEX(products!$A$1:$G$49,MATCH(orders!$D80,products!$A$1:$A$49,0),MATCH(orders!L$1,products!$A$1:$G$1,0))</f>
        <v/>
      </c>
      <c r="M80" s="5">
        <f>L80*E80</f>
        <v/>
      </c>
      <c r="N80">
        <f>IF(I80="Rob","Robusta",IF(I80="Exc","Excelsa",IF(I80="Ara","Arabica",IF(I80="Lib","Liberica",""))))</f>
        <v/>
      </c>
      <c r="O80">
        <f>IF(J80="M","Medium",IF(J80="L","Light",IF(J80="D","Dark","")))</f>
        <v/>
      </c>
      <c r="P80">
        <f>_xlfn.XLOOKUP(Orders[[#This Row],[Customer ID]],customers!$A$1:$A$1001,customers!$I$1:$I$1001,,0)</f>
        <v/>
      </c>
    </row>
    <row r="81">
      <c r="A81" s="2" t="inlineStr">
        <is>
          <t>O5444</t>
        </is>
      </c>
      <c r="B81" s="3" t="inlineStr">
        <is>
          <t>2021-10-30</t>
        </is>
      </c>
      <c r="C81" s="2" t="inlineStr">
        <is>
          <t>O7361</t>
        </is>
      </c>
      <c r="D81" t="inlineStr">
        <is>
          <t>O5621</t>
        </is>
      </c>
      <c r="E81" s="2" t="n">
        <v>95</v>
      </c>
      <c r="F81" s="2">
        <f>_xlfn.XLOOKUP(C81,customers!$A$1:$A$1001,customers!$B$1:$B$1001,,0)</f>
        <v/>
      </c>
      <c r="G81" s="2">
        <f>IF(_xlfn.XLOOKUP(C81,customers!$A$1:$A$1001,customers!$C$1:$C$1001,,0)=0,"",_xlfn.XLOOKUP(C81,customers!$A$1:$A$1001,customers!$C$1:$C$1001,,0))</f>
        <v/>
      </c>
      <c r="H81" s="2">
        <f>_xlfn.XLOOKUP(C81,customers!$A$1:$A$1001,customers!$G$1:$G$1001,,0)</f>
        <v/>
      </c>
      <c r="I81">
        <f>INDEX(products!$A$1:$G$49,MATCH(orders!$D81,products!$A$1:$A$49,0),MATCH(orders!I$1,products!$A$1:$G$1,0))</f>
        <v/>
      </c>
      <c r="J81">
        <f>INDEX(products!$A$1:$G$49,MATCH(orders!$D81,products!$A$1:$A$49,0),MATCH(orders!J$1,products!$A$1:$G$1,0))</f>
        <v/>
      </c>
      <c r="K81" s="4">
        <f>INDEX(products!$A$1:$G$49,MATCH(orders!$D81,products!$A$1:$A$49,0),MATCH(orders!K$1,products!$A$1:$G$1,0))</f>
        <v/>
      </c>
      <c r="L81" s="5">
        <f>INDEX(products!$A$1:$G$49,MATCH(orders!$D81,products!$A$1:$A$49,0),MATCH(orders!L$1,products!$A$1:$G$1,0))</f>
        <v/>
      </c>
      <c r="M81" s="5">
        <f>L81*E81</f>
        <v/>
      </c>
      <c r="N81">
        <f>IF(I81="Rob","Robusta",IF(I81="Exc","Excelsa",IF(I81="Ara","Arabica",IF(I81="Lib","Liberica",""))))</f>
        <v/>
      </c>
      <c r="O81">
        <f>IF(J81="M","Medium",IF(J81="L","Light",IF(J81="D","Dark","")))</f>
        <v/>
      </c>
      <c r="P81">
        <f>_xlfn.XLOOKUP(Orders[[#This Row],[Customer ID]],customers!$A$1:$A$1001,customers!$I$1:$I$1001,,0)</f>
        <v/>
      </c>
    </row>
    <row r="82">
      <c r="A82" s="2" t="inlineStr">
        <is>
          <t>O7238</t>
        </is>
      </c>
      <c r="B82" s="3" t="inlineStr">
        <is>
          <t>2023-04-01</t>
        </is>
      </c>
      <c r="C82" s="2" t="inlineStr">
        <is>
          <t>O3501</t>
        </is>
      </c>
      <c r="D82" t="inlineStr">
        <is>
          <t>O1237</t>
        </is>
      </c>
      <c r="E82" s="2" t="n">
        <v>282</v>
      </c>
      <c r="F82" s="2">
        <f>_xlfn.XLOOKUP(C82,customers!$A$1:$A$1001,customers!$B$1:$B$1001,,0)</f>
        <v/>
      </c>
      <c r="G82" s="2">
        <f>IF(_xlfn.XLOOKUP(C82,customers!$A$1:$A$1001,customers!$C$1:$C$1001,,0)=0,"",_xlfn.XLOOKUP(C82,customers!$A$1:$A$1001,customers!$C$1:$C$1001,,0))</f>
        <v/>
      </c>
      <c r="H82" s="2">
        <f>_xlfn.XLOOKUP(C82,customers!$A$1:$A$1001,customers!$G$1:$G$1001,,0)</f>
        <v/>
      </c>
      <c r="I82">
        <f>INDEX(products!$A$1:$G$49,MATCH(orders!$D82,products!$A$1:$A$49,0),MATCH(orders!I$1,products!$A$1:$G$1,0))</f>
        <v/>
      </c>
      <c r="J82">
        <f>INDEX(products!$A$1:$G$49,MATCH(orders!$D82,products!$A$1:$A$49,0),MATCH(orders!J$1,products!$A$1:$G$1,0))</f>
        <v/>
      </c>
      <c r="K82" s="4">
        <f>INDEX(products!$A$1:$G$49,MATCH(orders!$D82,products!$A$1:$A$49,0),MATCH(orders!K$1,products!$A$1:$G$1,0))</f>
        <v/>
      </c>
      <c r="L82" s="5">
        <f>INDEX(products!$A$1:$G$49,MATCH(orders!$D82,products!$A$1:$A$49,0),MATCH(orders!L$1,products!$A$1:$G$1,0))</f>
        <v/>
      </c>
      <c r="M82" s="5">
        <f>L82*E82</f>
        <v/>
      </c>
      <c r="N82">
        <f>IF(I82="Rob","Robusta",IF(I82="Exc","Excelsa",IF(I82="Ara","Arabica",IF(I82="Lib","Liberica",""))))</f>
        <v/>
      </c>
      <c r="O82">
        <f>IF(J82="M","Medium",IF(J82="L","Light",IF(J82="D","Dark","")))</f>
        <v/>
      </c>
      <c r="P82">
        <f>_xlfn.XLOOKUP(Orders[[#This Row],[Customer ID]],customers!$A$1:$A$1001,customers!$I$1:$I$1001,,0)</f>
        <v/>
      </c>
    </row>
    <row r="83">
      <c r="A83" s="2" t="inlineStr">
        <is>
          <t>O1042</t>
        </is>
      </c>
      <c r="B83" s="3" t="inlineStr">
        <is>
          <t>2023-06-30</t>
        </is>
      </c>
      <c r="C83" s="2" t="inlineStr">
        <is>
          <t>O2182</t>
        </is>
      </c>
      <c r="D83" t="inlineStr">
        <is>
          <t>O6931</t>
        </is>
      </c>
      <c r="E83" s="2" t="n">
        <v>233</v>
      </c>
      <c r="F83" s="2">
        <f>_xlfn.XLOOKUP(C83,customers!$A$1:$A$1001,customers!$B$1:$B$1001,,0)</f>
        <v/>
      </c>
      <c r="G83" s="2">
        <f>IF(_xlfn.XLOOKUP(C83,customers!$A$1:$A$1001,customers!$C$1:$C$1001,,0)=0,"",_xlfn.XLOOKUP(C83,customers!$A$1:$A$1001,customers!$C$1:$C$1001,,0))</f>
        <v/>
      </c>
      <c r="H83" s="2">
        <f>_xlfn.XLOOKUP(C83,customers!$A$1:$A$1001,customers!$G$1:$G$1001,,0)</f>
        <v/>
      </c>
      <c r="I83">
        <f>INDEX(products!$A$1:$G$49,MATCH(orders!$D83,products!$A$1:$A$49,0),MATCH(orders!I$1,products!$A$1:$G$1,0))</f>
        <v/>
      </c>
      <c r="J83">
        <f>INDEX(products!$A$1:$G$49,MATCH(orders!$D83,products!$A$1:$A$49,0),MATCH(orders!J$1,products!$A$1:$G$1,0))</f>
        <v/>
      </c>
      <c r="K83" s="4">
        <f>INDEX(products!$A$1:$G$49,MATCH(orders!$D83,products!$A$1:$A$49,0),MATCH(orders!K$1,products!$A$1:$G$1,0))</f>
        <v/>
      </c>
      <c r="L83" s="5">
        <f>INDEX(products!$A$1:$G$49,MATCH(orders!$D83,products!$A$1:$A$49,0),MATCH(orders!L$1,products!$A$1:$G$1,0))</f>
        <v/>
      </c>
      <c r="M83" s="5">
        <f>L83*E83</f>
        <v/>
      </c>
      <c r="N83">
        <f>IF(I83="Rob","Robusta",IF(I83="Exc","Excelsa",IF(I83="Ara","Arabica",IF(I83="Lib","Liberica",""))))</f>
        <v/>
      </c>
      <c r="O83">
        <f>IF(J83="M","Medium",IF(J83="L","Light",IF(J83="D","Dark","")))</f>
        <v/>
      </c>
      <c r="P83">
        <f>_xlfn.XLOOKUP(Orders[[#This Row],[Customer ID]],customers!$A$1:$A$1001,customers!$I$1:$I$1001,,0)</f>
        <v/>
      </c>
    </row>
    <row r="84">
      <c r="A84" s="2" t="inlineStr">
        <is>
          <t>O4021</t>
        </is>
      </c>
      <c r="B84" s="3" t="inlineStr">
        <is>
          <t>2023-11-30</t>
        </is>
      </c>
      <c r="C84" s="2" t="inlineStr">
        <is>
          <t>O5753</t>
        </is>
      </c>
      <c r="D84" t="inlineStr">
        <is>
          <t>O6000</t>
        </is>
      </c>
      <c r="E84" s="2" t="n">
        <v>111</v>
      </c>
      <c r="F84" s="2">
        <f>_xlfn.XLOOKUP(C84,customers!$A$1:$A$1001,customers!$B$1:$B$1001,,0)</f>
        <v/>
      </c>
      <c r="G84" s="2">
        <f>IF(_xlfn.XLOOKUP(C84,customers!$A$1:$A$1001,customers!$C$1:$C$1001,,0)=0,"",_xlfn.XLOOKUP(C84,customers!$A$1:$A$1001,customers!$C$1:$C$1001,,0))</f>
        <v/>
      </c>
      <c r="H84" s="2">
        <f>_xlfn.XLOOKUP(C84,customers!$A$1:$A$1001,customers!$G$1:$G$1001,,0)</f>
        <v/>
      </c>
      <c r="I84">
        <f>INDEX(products!$A$1:$G$49,MATCH(orders!$D84,products!$A$1:$A$49,0),MATCH(orders!I$1,products!$A$1:$G$1,0))</f>
        <v/>
      </c>
      <c r="J84">
        <f>INDEX(products!$A$1:$G$49,MATCH(orders!$D84,products!$A$1:$A$49,0),MATCH(orders!J$1,products!$A$1:$G$1,0))</f>
        <v/>
      </c>
      <c r="K84" s="4">
        <f>INDEX(products!$A$1:$G$49,MATCH(orders!$D84,products!$A$1:$A$49,0),MATCH(orders!K$1,products!$A$1:$G$1,0))</f>
        <v/>
      </c>
      <c r="L84" s="5">
        <f>INDEX(products!$A$1:$G$49,MATCH(orders!$D84,products!$A$1:$A$49,0),MATCH(orders!L$1,products!$A$1:$G$1,0))</f>
        <v/>
      </c>
      <c r="M84" s="5">
        <f>L84*E84</f>
        <v/>
      </c>
      <c r="N84">
        <f>IF(I84="Rob","Robusta",IF(I84="Exc","Excelsa",IF(I84="Ara","Arabica",IF(I84="Lib","Liberica",""))))</f>
        <v/>
      </c>
      <c r="O84">
        <f>IF(J84="M","Medium",IF(J84="L","Light",IF(J84="D","Dark","")))</f>
        <v/>
      </c>
      <c r="P84">
        <f>_xlfn.XLOOKUP(Orders[[#This Row],[Customer ID]],customers!$A$1:$A$1001,customers!$I$1:$I$1001,,0)</f>
        <v/>
      </c>
    </row>
    <row r="85">
      <c r="A85" s="2" t="inlineStr">
        <is>
          <t>O7781</t>
        </is>
      </c>
      <c r="B85" s="3" t="inlineStr">
        <is>
          <t>2025-04-06</t>
        </is>
      </c>
      <c r="C85" s="2" t="inlineStr">
        <is>
          <t>O5839</t>
        </is>
      </c>
      <c r="D85" t="inlineStr">
        <is>
          <t>O8139</t>
        </is>
      </c>
      <c r="E85" s="2" t="n">
        <v>388</v>
      </c>
      <c r="F85" s="2">
        <f>_xlfn.XLOOKUP(C85,customers!$A$1:$A$1001,customers!$B$1:$B$1001,,0)</f>
        <v/>
      </c>
      <c r="G85" s="2">
        <f>IF(_xlfn.XLOOKUP(C85,customers!$A$1:$A$1001,customers!$C$1:$C$1001,,0)=0,"",_xlfn.XLOOKUP(C85,customers!$A$1:$A$1001,customers!$C$1:$C$1001,,0))</f>
        <v/>
      </c>
      <c r="H85" s="2">
        <f>_xlfn.XLOOKUP(C85,customers!$A$1:$A$1001,customers!$G$1:$G$1001,,0)</f>
        <v/>
      </c>
      <c r="I85">
        <f>INDEX(products!$A$1:$G$49,MATCH(orders!$D85,products!$A$1:$A$49,0),MATCH(orders!I$1,products!$A$1:$G$1,0))</f>
        <v/>
      </c>
      <c r="J85">
        <f>INDEX(products!$A$1:$G$49,MATCH(orders!$D85,products!$A$1:$A$49,0),MATCH(orders!J$1,products!$A$1:$G$1,0))</f>
        <v/>
      </c>
      <c r="K85" s="4">
        <f>INDEX(products!$A$1:$G$49,MATCH(orders!$D85,products!$A$1:$A$49,0),MATCH(orders!K$1,products!$A$1:$G$1,0))</f>
        <v/>
      </c>
      <c r="L85" s="5">
        <f>INDEX(products!$A$1:$G$49,MATCH(orders!$D85,products!$A$1:$A$49,0),MATCH(orders!L$1,products!$A$1:$G$1,0))</f>
        <v/>
      </c>
      <c r="M85" s="5">
        <f>L85*E85</f>
        <v/>
      </c>
      <c r="N85">
        <f>IF(I85="Rob","Robusta",IF(I85="Exc","Excelsa",IF(I85="Ara","Arabica",IF(I85="Lib","Liberica",""))))</f>
        <v/>
      </c>
      <c r="O85">
        <f>IF(J85="M","Medium",IF(J85="L","Light",IF(J85="D","Dark","")))</f>
        <v/>
      </c>
      <c r="P85">
        <f>_xlfn.XLOOKUP(Orders[[#This Row],[Customer ID]],customers!$A$1:$A$1001,customers!$I$1:$I$1001,,0)</f>
        <v/>
      </c>
    </row>
    <row r="86">
      <c r="A86" s="2" t="inlineStr">
        <is>
          <t>O3940</t>
        </is>
      </c>
      <c r="B86" s="3" t="inlineStr">
        <is>
          <t>2021-05-21</t>
        </is>
      </c>
      <c r="C86" s="2" t="inlineStr">
        <is>
          <t>O8448</t>
        </is>
      </c>
      <c r="D86" t="inlineStr">
        <is>
          <t>O5868</t>
        </is>
      </c>
      <c r="E86" s="2" t="n">
        <v>436</v>
      </c>
      <c r="F86" s="2">
        <f>_xlfn.XLOOKUP(C86,customers!$A$1:$A$1001,customers!$B$1:$B$1001,,0)</f>
        <v/>
      </c>
      <c r="G86" s="2">
        <f>IF(_xlfn.XLOOKUP(C86,customers!$A$1:$A$1001,customers!$C$1:$C$1001,,0)=0,"",_xlfn.XLOOKUP(C86,customers!$A$1:$A$1001,customers!$C$1:$C$1001,,0))</f>
        <v/>
      </c>
      <c r="H86" s="2">
        <f>_xlfn.XLOOKUP(C86,customers!$A$1:$A$1001,customers!$G$1:$G$1001,,0)</f>
        <v/>
      </c>
      <c r="I86">
        <f>INDEX(products!$A$1:$G$49,MATCH(orders!$D86,products!$A$1:$A$49,0),MATCH(orders!I$1,products!$A$1:$G$1,0))</f>
        <v/>
      </c>
      <c r="J86">
        <f>INDEX(products!$A$1:$G$49,MATCH(orders!$D86,products!$A$1:$A$49,0),MATCH(orders!J$1,products!$A$1:$G$1,0))</f>
        <v/>
      </c>
      <c r="K86" s="4">
        <f>INDEX(products!$A$1:$G$49,MATCH(orders!$D86,products!$A$1:$A$49,0),MATCH(orders!K$1,products!$A$1:$G$1,0))</f>
        <v/>
      </c>
      <c r="L86" s="5">
        <f>INDEX(products!$A$1:$G$49,MATCH(orders!$D86,products!$A$1:$A$49,0),MATCH(orders!L$1,products!$A$1:$G$1,0))</f>
        <v/>
      </c>
      <c r="M86" s="5">
        <f>L86*E86</f>
        <v/>
      </c>
      <c r="N86">
        <f>IF(I86="Rob","Robusta",IF(I86="Exc","Excelsa",IF(I86="Ara","Arabica",IF(I86="Lib","Liberica",""))))</f>
        <v/>
      </c>
      <c r="O86">
        <f>IF(J86="M","Medium",IF(J86="L","Light",IF(J86="D","Dark","")))</f>
        <v/>
      </c>
      <c r="P86">
        <f>_xlfn.XLOOKUP(Orders[[#This Row],[Customer ID]],customers!$A$1:$A$1001,customers!$I$1:$I$1001,,0)</f>
        <v/>
      </c>
    </row>
    <row r="87">
      <c r="A87" s="2" t="inlineStr">
        <is>
          <t>O2167</t>
        </is>
      </c>
      <c r="B87" s="3" t="inlineStr">
        <is>
          <t>2024-01-18</t>
        </is>
      </c>
      <c r="C87" s="2" t="inlineStr">
        <is>
          <t>O8129</t>
        </is>
      </c>
      <c r="D87" t="inlineStr">
        <is>
          <t>O8846</t>
        </is>
      </c>
      <c r="E87" s="2" t="n">
        <v>455</v>
      </c>
      <c r="F87" s="2">
        <f>_xlfn.XLOOKUP(C87,customers!$A$1:$A$1001,customers!$B$1:$B$1001,,0)</f>
        <v/>
      </c>
      <c r="G87" s="2">
        <f>IF(_xlfn.XLOOKUP(C87,customers!$A$1:$A$1001,customers!$C$1:$C$1001,,0)=0,"",_xlfn.XLOOKUP(C87,customers!$A$1:$A$1001,customers!$C$1:$C$1001,,0))</f>
        <v/>
      </c>
      <c r="H87" s="2">
        <f>_xlfn.XLOOKUP(C87,customers!$A$1:$A$1001,customers!$G$1:$G$1001,,0)</f>
        <v/>
      </c>
      <c r="I87">
        <f>INDEX(products!$A$1:$G$49,MATCH(orders!$D87,products!$A$1:$A$49,0),MATCH(orders!I$1,products!$A$1:$G$1,0))</f>
        <v/>
      </c>
      <c r="J87">
        <f>INDEX(products!$A$1:$G$49,MATCH(orders!$D87,products!$A$1:$A$49,0),MATCH(orders!J$1,products!$A$1:$G$1,0))</f>
        <v/>
      </c>
      <c r="K87" s="4">
        <f>INDEX(products!$A$1:$G$49,MATCH(orders!$D87,products!$A$1:$A$49,0),MATCH(orders!K$1,products!$A$1:$G$1,0))</f>
        <v/>
      </c>
      <c r="L87" s="5">
        <f>INDEX(products!$A$1:$G$49,MATCH(orders!$D87,products!$A$1:$A$49,0),MATCH(orders!L$1,products!$A$1:$G$1,0))</f>
        <v/>
      </c>
      <c r="M87" s="5">
        <f>L87*E87</f>
        <v/>
      </c>
      <c r="N87">
        <f>IF(I87="Rob","Robusta",IF(I87="Exc","Excelsa",IF(I87="Ara","Arabica",IF(I87="Lib","Liberica",""))))</f>
        <v/>
      </c>
      <c r="O87">
        <f>IF(J87="M","Medium",IF(J87="L","Light",IF(J87="D","Dark","")))</f>
        <v/>
      </c>
      <c r="P87">
        <f>_xlfn.XLOOKUP(Orders[[#This Row],[Customer ID]],customers!$A$1:$A$1001,customers!$I$1:$I$1001,,0)</f>
        <v/>
      </c>
    </row>
    <row r="88">
      <c r="A88" s="2" t="inlineStr">
        <is>
          <t>O7828</t>
        </is>
      </c>
      <c r="B88" s="3" t="inlineStr">
        <is>
          <t>2021-07-07</t>
        </is>
      </c>
      <c r="C88" s="2" t="inlineStr">
        <is>
          <t>O1715</t>
        </is>
      </c>
      <c r="D88" t="inlineStr">
        <is>
          <t>O3592</t>
        </is>
      </c>
      <c r="E88" s="2" t="n">
        <v>161</v>
      </c>
      <c r="F88" s="2">
        <f>_xlfn.XLOOKUP(C88,customers!$A$1:$A$1001,customers!$B$1:$B$1001,,0)</f>
        <v/>
      </c>
      <c r="G88" s="2">
        <f>IF(_xlfn.XLOOKUP(C88,customers!$A$1:$A$1001,customers!$C$1:$C$1001,,0)=0,"",_xlfn.XLOOKUP(C88,customers!$A$1:$A$1001,customers!$C$1:$C$1001,,0))</f>
        <v/>
      </c>
      <c r="H88" s="2">
        <f>_xlfn.XLOOKUP(C88,customers!$A$1:$A$1001,customers!$G$1:$G$1001,,0)</f>
        <v/>
      </c>
      <c r="I88">
        <f>INDEX(products!$A$1:$G$49,MATCH(orders!$D88,products!$A$1:$A$49,0),MATCH(orders!I$1,products!$A$1:$G$1,0))</f>
        <v/>
      </c>
      <c r="J88">
        <f>INDEX(products!$A$1:$G$49,MATCH(orders!$D88,products!$A$1:$A$49,0),MATCH(orders!J$1,products!$A$1:$G$1,0))</f>
        <v/>
      </c>
      <c r="K88" s="4">
        <f>INDEX(products!$A$1:$G$49,MATCH(orders!$D88,products!$A$1:$A$49,0),MATCH(orders!K$1,products!$A$1:$G$1,0))</f>
        <v/>
      </c>
      <c r="L88" s="5">
        <f>INDEX(products!$A$1:$G$49,MATCH(orders!$D88,products!$A$1:$A$49,0),MATCH(orders!L$1,products!$A$1:$G$1,0))</f>
        <v/>
      </c>
      <c r="M88" s="5">
        <f>L88*E88</f>
        <v/>
      </c>
      <c r="N88">
        <f>IF(I88="Rob","Robusta",IF(I88="Exc","Excelsa",IF(I88="Ara","Arabica",IF(I88="Lib","Liberica",""))))</f>
        <v/>
      </c>
      <c r="O88">
        <f>IF(J88="M","Medium",IF(J88="L","Light",IF(J88="D","Dark","")))</f>
        <v/>
      </c>
      <c r="P88">
        <f>_xlfn.XLOOKUP(Orders[[#This Row],[Customer ID]],customers!$A$1:$A$1001,customers!$I$1:$I$1001,,0)</f>
        <v/>
      </c>
    </row>
    <row r="89">
      <c r="A89" s="2" t="inlineStr">
        <is>
          <t>O4813</t>
        </is>
      </c>
      <c r="B89" s="3" t="inlineStr">
        <is>
          <t>2023-06-10</t>
        </is>
      </c>
      <c r="C89" s="2" t="inlineStr">
        <is>
          <t>O3202</t>
        </is>
      </c>
      <c r="D89" t="inlineStr">
        <is>
          <t>O6690</t>
        </is>
      </c>
      <c r="E89" s="2" t="n">
        <v>133</v>
      </c>
      <c r="F89" s="2">
        <f>_xlfn.XLOOKUP(C89,customers!$A$1:$A$1001,customers!$B$1:$B$1001,,0)</f>
        <v/>
      </c>
      <c r="G89" s="2">
        <f>IF(_xlfn.XLOOKUP(C89,customers!$A$1:$A$1001,customers!$C$1:$C$1001,,0)=0,"",_xlfn.XLOOKUP(C89,customers!$A$1:$A$1001,customers!$C$1:$C$1001,,0))</f>
        <v/>
      </c>
      <c r="H89" s="2">
        <f>_xlfn.XLOOKUP(C89,customers!$A$1:$A$1001,customers!$G$1:$G$1001,,0)</f>
        <v/>
      </c>
      <c r="I89">
        <f>INDEX(products!$A$1:$G$49,MATCH(orders!$D89,products!$A$1:$A$49,0),MATCH(orders!I$1,products!$A$1:$G$1,0))</f>
        <v/>
      </c>
      <c r="J89">
        <f>INDEX(products!$A$1:$G$49,MATCH(orders!$D89,products!$A$1:$A$49,0),MATCH(orders!J$1,products!$A$1:$G$1,0))</f>
        <v/>
      </c>
      <c r="K89" s="4">
        <f>INDEX(products!$A$1:$G$49,MATCH(orders!$D89,products!$A$1:$A$49,0),MATCH(orders!K$1,products!$A$1:$G$1,0))</f>
        <v/>
      </c>
      <c r="L89" s="5">
        <f>INDEX(products!$A$1:$G$49,MATCH(orders!$D89,products!$A$1:$A$49,0),MATCH(orders!L$1,products!$A$1:$G$1,0))</f>
        <v/>
      </c>
      <c r="M89" s="5">
        <f>L89*E89</f>
        <v/>
      </c>
      <c r="N89">
        <f>IF(I89="Rob","Robusta",IF(I89="Exc","Excelsa",IF(I89="Ara","Arabica",IF(I89="Lib","Liberica",""))))</f>
        <v/>
      </c>
      <c r="O89">
        <f>IF(J89="M","Medium",IF(J89="L","Light",IF(J89="D","Dark","")))</f>
        <v/>
      </c>
      <c r="P89">
        <f>_xlfn.XLOOKUP(Orders[[#This Row],[Customer ID]],customers!$A$1:$A$1001,customers!$I$1:$I$1001,,0)</f>
        <v/>
      </c>
    </row>
    <row r="90">
      <c r="A90" s="2" t="inlineStr">
        <is>
          <t>O7535</t>
        </is>
      </c>
      <c r="B90" s="3" t="inlineStr">
        <is>
          <t>2024-11-26</t>
        </is>
      </c>
      <c r="C90" s="2" t="inlineStr">
        <is>
          <t>O7882</t>
        </is>
      </c>
      <c r="D90" t="inlineStr">
        <is>
          <t>O2591</t>
        </is>
      </c>
      <c r="E90" s="2" t="n">
        <v>454</v>
      </c>
      <c r="F90" s="2">
        <f>_xlfn.XLOOKUP(C90,customers!$A$1:$A$1001,customers!$B$1:$B$1001,,0)</f>
        <v/>
      </c>
      <c r="G90" s="2">
        <f>IF(_xlfn.XLOOKUP(C90,customers!$A$1:$A$1001,customers!$C$1:$C$1001,,0)=0,"",_xlfn.XLOOKUP(C90,customers!$A$1:$A$1001,customers!$C$1:$C$1001,,0))</f>
        <v/>
      </c>
      <c r="H90" s="2">
        <f>_xlfn.XLOOKUP(C90,customers!$A$1:$A$1001,customers!$G$1:$G$1001,,0)</f>
        <v/>
      </c>
      <c r="I90">
        <f>INDEX(products!$A$1:$G$49,MATCH(orders!$D90,products!$A$1:$A$49,0),MATCH(orders!I$1,products!$A$1:$G$1,0))</f>
        <v/>
      </c>
      <c r="J90">
        <f>INDEX(products!$A$1:$G$49,MATCH(orders!$D90,products!$A$1:$A$49,0),MATCH(orders!J$1,products!$A$1:$G$1,0))</f>
        <v/>
      </c>
      <c r="K90" s="4">
        <f>INDEX(products!$A$1:$G$49,MATCH(orders!$D90,products!$A$1:$A$49,0),MATCH(orders!K$1,products!$A$1:$G$1,0))</f>
        <v/>
      </c>
      <c r="L90" s="5">
        <f>INDEX(products!$A$1:$G$49,MATCH(orders!$D90,products!$A$1:$A$49,0),MATCH(orders!L$1,products!$A$1:$G$1,0))</f>
        <v/>
      </c>
      <c r="M90" s="5">
        <f>L90*E90</f>
        <v/>
      </c>
      <c r="N90">
        <f>IF(I90="Rob","Robusta",IF(I90="Exc","Excelsa",IF(I90="Ara","Arabica",IF(I90="Lib","Liberica",""))))</f>
        <v/>
      </c>
      <c r="O90">
        <f>IF(J90="M","Medium",IF(J90="L","Light",IF(J90="D","Dark","")))</f>
        <v/>
      </c>
      <c r="P90">
        <f>_xlfn.XLOOKUP(Orders[[#This Row],[Customer ID]],customers!$A$1:$A$1001,customers!$I$1:$I$1001,,0)</f>
        <v/>
      </c>
    </row>
    <row r="91">
      <c r="A91" s="2" t="inlineStr">
        <is>
          <t>O9320</t>
        </is>
      </c>
      <c r="B91" s="3" t="inlineStr">
        <is>
          <t>2020-09-12</t>
        </is>
      </c>
      <c r="C91" s="2" t="inlineStr">
        <is>
          <t>O4010</t>
        </is>
      </c>
      <c r="D91" t="inlineStr">
        <is>
          <t>O4654</t>
        </is>
      </c>
      <c r="E91" s="2" t="n">
        <v>497</v>
      </c>
      <c r="F91" s="2">
        <f>_xlfn.XLOOKUP(C91,customers!$A$1:$A$1001,customers!$B$1:$B$1001,,0)</f>
        <v/>
      </c>
      <c r="G91" s="2">
        <f>IF(_xlfn.XLOOKUP(C91,customers!$A$1:$A$1001,customers!$C$1:$C$1001,,0)=0,"",_xlfn.XLOOKUP(C91,customers!$A$1:$A$1001,customers!$C$1:$C$1001,,0))</f>
        <v/>
      </c>
      <c r="H91" s="2">
        <f>_xlfn.XLOOKUP(C91,customers!$A$1:$A$1001,customers!$G$1:$G$1001,,0)</f>
        <v/>
      </c>
      <c r="I91">
        <f>INDEX(products!$A$1:$G$49,MATCH(orders!$D91,products!$A$1:$A$49,0),MATCH(orders!I$1,products!$A$1:$G$1,0))</f>
        <v/>
      </c>
      <c r="J91">
        <f>INDEX(products!$A$1:$G$49,MATCH(orders!$D91,products!$A$1:$A$49,0),MATCH(orders!J$1,products!$A$1:$G$1,0))</f>
        <v/>
      </c>
      <c r="K91" s="4">
        <f>INDEX(products!$A$1:$G$49,MATCH(orders!$D91,products!$A$1:$A$49,0),MATCH(orders!K$1,products!$A$1:$G$1,0))</f>
        <v/>
      </c>
      <c r="L91" s="5">
        <f>INDEX(products!$A$1:$G$49,MATCH(orders!$D91,products!$A$1:$A$49,0),MATCH(orders!L$1,products!$A$1:$G$1,0))</f>
        <v/>
      </c>
      <c r="M91" s="5">
        <f>L91*E91</f>
        <v/>
      </c>
      <c r="N91">
        <f>IF(I91="Rob","Robusta",IF(I91="Exc","Excelsa",IF(I91="Ara","Arabica",IF(I91="Lib","Liberica",""))))</f>
        <v/>
      </c>
      <c r="O91">
        <f>IF(J91="M","Medium",IF(J91="L","Light",IF(J91="D","Dark","")))</f>
        <v/>
      </c>
      <c r="P91">
        <f>_xlfn.XLOOKUP(Orders[[#This Row],[Customer ID]],customers!$A$1:$A$1001,customers!$I$1:$I$1001,,0)</f>
        <v/>
      </c>
    </row>
    <row r="92">
      <c r="A92" s="2" t="inlineStr">
        <is>
          <t>O3907</t>
        </is>
      </c>
      <c r="B92" s="3" t="inlineStr">
        <is>
          <t>2021-07-12</t>
        </is>
      </c>
      <c r="C92" s="2" t="inlineStr">
        <is>
          <t>O4550</t>
        </is>
      </c>
      <c r="D92" t="inlineStr">
        <is>
          <t>O5312</t>
        </is>
      </c>
      <c r="E92" s="2" t="n">
        <v>183</v>
      </c>
      <c r="F92" s="2">
        <f>_xlfn.XLOOKUP(C92,customers!$A$1:$A$1001,customers!$B$1:$B$1001,,0)</f>
        <v/>
      </c>
      <c r="G92" s="2">
        <f>IF(_xlfn.XLOOKUP(C92,customers!$A$1:$A$1001,customers!$C$1:$C$1001,,0)=0,"",_xlfn.XLOOKUP(C92,customers!$A$1:$A$1001,customers!$C$1:$C$1001,,0))</f>
        <v/>
      </c>
      <c r="H92" s="2">
        <f>_xlfn.XLOOKUP(C92,customers!$A$1:$A$1001,customers!$G$1:$G$1001,,0)</f>
        <v/>
      </c>
      <c r="I92">
        <f>INDEX(products!$A$1:$G$49,MATCH(orders!$D92,products!$A$1:$A$49,0),MATCH(orders!I$1,products!$A$1:$G$1,0))</f>
        <v/>
      </c>
      <c r="J92">
        <f>INDEX(products!$A$1:$G$49,MATCH(orders!$D92,products!$A$1:$A$49,0),MATCH(orders!J$1,products!$A$1:$G$1,0))</f>
        <v/>
      </c>
      <c r="K92" s="4">
        <f>INDEX(products!$A$1:$G$49,MATCH(orders!$D92,products!$A$1:$A$49,0),MATCH(orders!K$1,products!$A$1:$G$1,0))</f>
        <v/>
      </c>
      <c r="L92" s="5">
        <f>INDEX(products!$A$1:$G$49,MATCH(orders!$D92,products!$A$1:$A$49,0),MATCH(orders!L$1,products!$A$1:$G$1,0))</f>
        <v/>
      </c>
      <c r="M92" s="5">
        <f>L92*E92</f>
        <v/>
      </c>
      <c r="N92">
        <f>IF(I92="Rob","Robusta",IF(I92="Exc","Excelsa",IF(I92="Ara","Arabica",IF(I92="Lib","Liberica",""))))</f>
        <v/>
      </c>
      <c r="O92">
        <f>IF(J92="M","Medium",IF(J92="L","Light",IF(J92="D","Dark","")))</f>
        <v/>
      </c>
      <c r="P92">
        <f>_xlfn.XLOOKUP(Orders[[#This Row],[Customer ID]],customers!$A$1:$A$1001,customers!$I$1:$I$1001,,0)</f>
        <v/>
      </c>
    </row>
    <row r="93">
      <c r="A93" s="2" t="inlineStr">
        <is>
          <t>O5221</t>
        </is>
      </c>
      <c r="B93" s="3" t="inlineStr">
        <is>
          <t>2021-02-07</t>
        </is>
      </c>
      <c r="C93" s="2" t="inlineStr">
        <is>
          <t>O2680</t>
        </is>
      </c>
      <c r="D93" t="inlineStr">
        <is>
          <t>O4992</t>
        </is>
      </c>
      <c r="E93" s="2" t="n">
        <v>364</v>
      </c>
      <c r="F93" s="2">
        <f>_xlfn.XLOOKUP(C93,customers!$A$1:$A$1001,customers!$B$1:$B$1001,,0)</f>
        <v/>
      </c>
      <c r="G93" s="2">
        <f>IF(_xlfn.XLOOKUP(C93,customers!$A$1:$A$1001,customers!$C$1:$C$1001,,0)=0,"",_xlfn.XLOOKUP(C93,customers!$A$1:$A$1001,customers!$C$1:$C$1001,,0))</f>
        <v/>
      </c>
      <c r="H93" s="2">
        <f>_xlfn.XLOOKUP(C93,customers!$A$1:$A$1001,customers!$G$1:$G$1001,,0)</f>
        <v/>
      </c>
      <c r="I93">
        <f>INDEX(products!$A$1:$G$49,MATCH(orders!$D93,products!$A$1:$A$49,0),MATCH(orders!I$1,products!$A$1:$G$1,0))</f>
        <v/>
      </c>
      <c r="J93">
        <f>INDEX(products!$A$1:$G$49,MATCH(orders!$D93,products!$A$1:$A$49,0),MATCH(orders!J$1,products!$A$1:$G$1,0))</f>
        <v/>
      </c>
      <c r="K93" s="4">
        <f>INDEX(products!$A$1:$G$49,MATCH(orders!$D93,products!$A$1:$A$49,0),MATCH(orders!K$1,products!$A$1:$G$1,0))</f>
        <v/>
      </c>
      <c r="L93" s="5">
        <f>INDEX(products!$A$1:$G$49,MATCH(orders!$D93,products!$A$1:$A$49,0),MATCH(orders!L$1,products!$A$1:$G$1,0))</f>
        <v/>
      </c>
      <c r="M93" s="5">
        <f>L93*E93</f>
        <v/>
      </c>
      <c r="N93">
        <f>IF(I93="Rob","Robusta",IF(I93="Exc","Excelsa",IF(I93="Ara","Arabica",IF(I93="Lib","Liberica",""))))</f>
        <v/>
      </c>
      <c r="O93">
        <f>IF(J93="M","Medium",IF(J93="L","Light",IF(J93="D","Dark","")))</f>
        <v/>
      </c>
      <c r="P93">
        <f>_xlfn.XLOOKUP(Orders[[#This Row],[Customer ID]],customers!$A$1:$A$1001,customers!$I$1:$I$1001,,0)</f>
        <v/>
      </c>
    </row>
    <row r="94">
      <c r="A94" s="2" t="inlineStr">
        <is>
          <t>O3797</t>
        </is>
      </c>
      <c r="B94" s="3" t="inlineStr">
        <is>
          <t>2022-11-03</t>
        </is>
      </c>
      <c r="C94" s="2" t="inlineStr">
        <is>
          <t>O3969</t>
        </is>
      </c>
      <c r="D94" t="inlineStr">
        <is>
          <t>O7053</t>
        </is>
      </c>
      <c r="E94" s="2" t="n">
        <v>49</v>
      </c>
      <c r="F94" s="2">
        <f>_xlfn.XLOOKUP(C94,customers!$A$1:$A$1001,customers!$B$1:$B$1001,,0)</f>
        <v/>
      </c>
      <c r="G94" s="2">
        <f>IF(_xlfn.XLOOKUP(C94,customers!$A$1:$A$1001,customers!$C$1:$C$1001,,0)=0,"",_xlfn.XLOOKUP(C94,customers!$A$1:$A$1001,customers!$C$1:$C$1001,,0))</f>
        <v/>
      </c>
      <c r="H94" s="2">
        <f>_xlfn.XLOOKUP(C94,customers!$A$1:$A$1001,customers!$G$1:$G$1001,,0)</f>
        <v/>
      </c>
      <c r="I94">
        <f>INDEX(products!$A$1:$G$49,MATCH(orders!$D94,products!$A$1:$A$49,0),MATCH(orders!I$1,products!$A$1:$G$1,0))</f>
        <v/>
      </c>
      <c r="J94">
        <f>INDEX(products!$A$1:$G$49,MATCH(orders!$D94,products!$A$1:$A$49,0),MATCH(orders!J$1,products!$A$1:$G$1,0))</f>
        <v/>
      </c>
      <c r="K94" s="4">
        <f>INDEX(products!$A$1:$G$49,MATCH(orders!$D94,products!$A$1:$A$49,0),MATCH(orders!K$1,products!$A$1:$G$1,0))</f>
        <v/>
      </c>
      <c r="L94" s="5">
        <f>INDEX(products!$A$1:$G$49,MATCH(orders!$D94,products!$A$1:$A$49,0),MATCH(orders!L$1,products!$A$1:$G$1,0))</f>
        <v/>
      </c>
      <c r="M94" s="5">
        <f>L94*E94</f>
        <v/>
      </c>
      <c r="N94">
        <f>IF(I94="Rob","Robusta",IF(I94="Exc","Excelsa",IF(I94="Ara","Arabica",IF(I94="Lib","Liberica",""))))</f>
        <v/>
      </c>
      <c r="O94">
        <f>IF(J94="M","Medium",IF(J94="L","Light",IF(J94="D","Dark","")))</f>
        <v/>
      </c>
      <c r="P94">
        <f>_xlfn.XLOOKUP(Orders[[#This Row],[Customer ID]],customers!$A$1:$A$1001,customers!$I$1:$I$1001,,0)</f>
        <v/>
      </c>
    </row>
    <row r="95">
      <c r="A95" s="2" t="inlineStr">
        <is>
          <t>O3024</t>
        </is>
      </c>
      <c r="B95" s="3" t="inlineStr">
        <is>
          <t>2024-03-26</t>
        </is>
      </c>
      <c r="C95" s="2" t="inlineStr">
        <is>
          <t>O3181</t>
        </is>
      </c>
      <c r="D95" t="inlineStr">
        <is>
          <t>O3195</t>
        </is>
      </c>
      <c r="E95" s="2" t="n">
        <v>369</v>
      </c>
      <c r="F95" s="2">
        <f>_xlfn.XLOOKUP(C95,customers!$A$1:$A$1001,customers!$B$1:$B$1001,,0)</f>
        <v/>
      </c>
      <c r="G95" s="2">
        <f>IF(_xlfn.XLOOKUP(C95,customers!$A$1:$A$1001,customers!$C$1:$C$1001,,0)=0,"",_xlfn.XLOOKUP(C95,customers!$A$1:$A$1001,customers!$C$1:$C$1001,,0))</f>
        <v/>
      </c>
      <c r="H95" s="2">
        <f>_xlfn.XLOOKUP(C95,customers!$A$1:$A$1001,customers!$G$1:$G$1001,,0)</f>
        <v/>
      </c>
      <c r="I95">
        <f>INDEX(products!$A$1:$G$49,MATCH(orders!$D95,products!$A$1:$A$49,0),MATCH(orders!I$1,products!$A$1:$G$1,0))</f>
        <v/>
      </c>
      <c r="J95">
        <f>INDEX(products!$A$1:$G$49,MATCH(orders!$D95,products!$A$1:$A$49,0),MATCH(orders!J$1,products!$A$1:$G$1,0))</f>
        <v/>
      </c>
      <c r="K95" s="4">
        <f>INDEX(products!$A$1:$G$49,MATCH(orders!$D95,products!$A$1:$A$49,0),MATCH(orders!K$1,products!$A$1:$G$1,0))</f>
        <v/>
      </c>
      <c r="L95" s="5">
        <f>INDEX(products!$A$1:$G$49,MATCH(orders!$D95,products!$A$1:$A$49,0),MATCH(orders!L$1,products!$A$1:$G$1,0))</f>
        <v/>
      </c>
      <c r="M95" s="5">
        <f>L95*E95</f>
        <v/>
      </c>
      <c r="N95">
        <f>IF(I95="Rob","Robusta",IF(I95="Exc","Excelsa",IF(I95="Ara","Arabica",IF(I95="Lib","Liberica",""))))</f>
        <v/>
      </c>
      <c r="O95">
        <f>IF(J95="M","Medium",IF(J95="L","Light",IF(J95="D","Dark","")))</f>
        <v/>
      </c>
      <c r="P95">
        <f>_xlfn.XLOOKUP(Orders[[#This Row],[Customer ID]],customers!$A$1:$A$1001,customers!$I$1:$I$1001,,0)</f>
        <v/>
      </c>
    </row>
    <row r="96">
      <c r="A96" s="2" t="inlineStr">
        <is>
          <t>O1175</t>
        </is>
      </c>
      <c r="B96" s="3" t="inlineStr">
        <is>
          <t>2024-03-22</t>
        </is>
      </c>
      <c r="C96" s="2" t="inlineStr">
        <is>
          <t>O1082</t>
        </is>
      </c>
      <c r="D96" t="inlineStr">
        <is>
          <t>O8880</t>
        </is>
      </c>
      <c r="E96" s="2" t="n">
        <v>376</v>
      </c>
      <c r="F96" s="2">
        <f>_xlfn.XLOOKUP(C96,customers!$A$1:$A$1001,customers!$B$1:$B$1001,,0)</f>
        <v/>
      </c>
      <c r="G96" s="2">
        <f>IF(_xlfn.XLOOKUP(C96,customers!$A$1:$A$1001,customers!$C$1:$C$1001,,0)=0,"",_xlfn.XLOOKUP(C96,customers!$A$1:$A$1001,customers!$C$1:$C$1001,,0))</f>
        <v/>
      </c>
      <c r="H96" s="2">
        <f>_xlfn.XLOOKUP(C96,customers!$A$1:$A$1001,customers!$G$1:$G$1001,,0)</f>
        <v/>
      </c>
      <c r="I96">
        <f>INDEX(products!$A$1:$G$49,MATCH(orders!$D96,products!$A$1:$A$49,0),MATCH(orders!I$1,products!$A$1:$G$1,0))</f>
        <v/>
      </c>
      <c r="J96">
        <f>INDEX(products!$A$1:$G$49,MATCH(orders!$D96,products!$A$1:$A$49,0),MATCH(orders!J$1,products!$A$1:$G$1,0))</f>
        <v/>
      </c>
      <c r="K96" s="4">
        <f>INDEX(products!$A$1:$G$49,MATCH(orders!$D96,products!$A$1:$A$49,0),MATCH(orders!K$1,products!$A$1:$G$1,0))</f>
        <v/>
      </c>
      <c r="L96" s="5">
        <f>INDEX(products!$A$1:$G$49,MATCH(orders!$D96,products!$A$1:$A$49,0),MATCH(orders!L$1,products!$A$1:$G$1,0))</f>
        <v/>
      </c>
      <c r="M96" s="5">
        <f>L96*E96</f>
        <v/>
      </c>
      <c r="N96">
        <f>IF(I96="Rob","Robusta",IF(I96="Exc","Excelsa",IF(I96="Ara","Arabica",IF(I96="Lib","Liberica",""))))</f>
        <v/>
      </c>
      <c r="O96">
        <f>IF(J96="M","Medium",IF(J96="L","Light",IF(J96="D","Dark","")))</f>
        <v/>
      </c>
      <c r="P96">
        <f>_xlfn.XLOOKUP(Orders[[#This Row],[Customer ID]],customers!$A$1:$A$1001,customers!$I$1:$I$1001,,0)</f>
        <v/>
      </c>
    </row>
    <row r="97">
      <c r="A97" s="2" t="inlineStr">
        <is>
          <t>O9695</t>
        </is>
      </c>
      <c r="B97" s="3" t="inlineStr">
        <is>
          <t>2021-10-04</t>
        </is>
      </c>
      <c r="C97" s="2" t="inlineStr">
        <is>
          <t>O6740</t>
        </is>
      </c>
      <c r="D97" t="inlineStr">
        <is>
          <t>O4389</t>
        </is>
      </c>
      <c r="E97" s="2" t="n">
        <v>183</v>
      </c>
      <c r="F97" s="2">
        <f>_xlfn.XLOOKUP(C97,customers!$A$1:$A$1001,customers!$B$1:$B$1001,,0)</f>
        <v/>
      </c>
      <c r="G97" s="2">
        <f>IF(_xlfn.XLOOKUP(C97,customers!$A$1:$A$1001,customers!$C$1:$C$1001,,0)=0,"",_xlfn.XLOOKUP(C97,customers!$A$1:$A$1001,customers!$C$1:$C$1001,,0))</f>
        <v/>
      </c>
      <c r="H97" s="2">
        <f>_xlfn.XLOOKUP(C97,customers!$A$1:$A$1001,customers!$G$1:$G$1001,,0)</f>
        <v/>
      </c>
      <c r="I97">
        <f>INDEX(products!$A$1:$G$49,MATCH(orders!$D97,products!$A$1:$A$49,0),MATCH(orders!I$1,products!$A$1:$G$1,0))</f>
        <v/>
      </c>
      <c r="J97">
        <f>INDEX(products!$A$1:$G$49,MATCH(orders!$D97,products!$A$1:$A$49,0),MATCH(orders!J$1,products!$A$1:$G$1,0))</f>
        <v/>
      </c>
      <c r="K97" s="4">
        <f>INDEX(products!$A$1:$G$49,MATCH(orders!$D97,products!$A$1:$A$49,0),MATCH(orders!K$1,products!$A$1:$G$1,0))</f>
        <v/>
      </c>
      <c r="L97" s="5">
        <f>INDEX(products!$A$1:$G$49,MATCH(orders!$D97,products!$A$1:$A$49,0),MATCH(orders!L$1,products!$A$1:$G$1,0))</f>
        <v/>
      </c>
      <c r="M97" s="5">
        <f>L97*E97</f>
        <v/>
      </c>
      <c r="N97">
        <f>IF(I97="Rob","Robusta",IF(I97="Exc","Excelsa",IF(I97="Ara","Arabica",IF(I97="Lib","Liberica",""))))</f>
        <v/>
      </c>
      <c r="O97">
        <f>IF(J97="M","Medium",IF(J97="L","Light",IF(J97="D","Dark","")))</f>
        <v/>
      </c>
      <c r="P97">
        <f>_xlfn.XLOOKUP(Orders[[#This Row],[Customer ID]],customers!$A$1:$A$1001,customers!$I$1:$I$1001,,0)</f>
        <v/>
      </c>
    </row>
    <row r="98">
      <c r="A98" s="2" t="inlineStr">
        <is>
          <t>O9558</t>
        </is>
      </c>
      <c r="B98" s="3" t="inlineStr">
        <is>
          <t>2023-12-31</t>
        </is>
      </c>
      <c r="C98" s="2" t="inlineStr">
        <is>
          <t>O4126</t>
        </is>
      </c>
      <c r="D98" t="inlineStr">
        <is>
          <t>O4932</t>
        </is>
      </c>
      <c r="E98" s="2" t="n">
        <v>173</v>
      </c>
      <c r="F98" s="2">
        <f>_xlfn.XLOOKUP(C98,customers!$A$1:$A$1001,customers!$B$1:$B$1001,,0)</f>
        <v/>
      </c>
      <c r="G98" s="2">
        <f>IF(_xlfn.XLOOKUP(C98,customers!$A$1:$A$1001,customers!$C$1:$C$1001,,0)=0,"",_xlfn.XLOOKUP(C98,customers!$A$1:$A$1001,customers!$C$1:$C$1001,,0))</f>
        <v/>
      </c>
      <c r="H98" s="2">
        <f>_xlfn.XLOOKUP(C98,customers!$A$1:$A$1001,customers!$G$1:$G$1001,,0)</f>
        <v/>
      </c>
      <c r="I98">
        <f>INDEX(products!$A$1:$G$49,MATCH(orders!$D98,products!$A$1:$A$49,0),MATCH(orders!I$1,products!$A$1:$G$1,0))</f>
        <v/>
      </c>
      <c r="J98">
        <f>INDEX(products!$A$1:$G$49,MATCH(orders!$D98,products!$A$1:$A$49,0),MATCH(orders!J$1,products!$A$1:$G$1,0))</f>
        <v/>
      </c>
      <c r="K98" s="4">
        <f>INDEX(products!$A$1:$G$49,MATCH(orders!$D98,products!$A$1:$A$49,0),MATCH(orders!K$1,products!$A$1:$G$1,0))</f>
        <v/>
      </c>
      <c r="L98" s="5">
        <f>INDEX(products!$A$1:$G$49,MATCH(orders!$D98,products!$A$1:$A$49,0),MATCH(orders!L$1,products!$A$1:$G$1,0))</f>
        <v/>
      </c>
      <c r="M98" s="5">
        <f>L98*E98</f>
        <v/>
      </c>
      <c r="N98">
        <f>IF(I98="Rob","Robusta",IF(I98="Exc","Excelsa",IF(I98="Ara","Arabica",IF(I98="Lib","Liberica",""))))</f>
        <v/>
      </c>
      <c r="O98">
        <f>IF(J98="M","Medium",IF(J98="L","Light",IF(J98="D","Dark","")))</f>
        <v/>
      </c>
      <c r="P98">
        <f>_xlfn.XLOOKUP(Orders[[#This Row],[Customer ID]],customers!$A$1:$A$1001,customers!$I$1:$I$1001,,0)</f>
        <v/>
      </c>
    </row>
    <row r="99">
      <c r="A99" s="2" t="inlineStr">
        <is>
          <t>O5555</t>
        </is>
      </c>
      <c r="B99" s="3" t="inlineStr">
        <is>
          <t>2023-07-19</t>
        </is>
      </c>
      <c r="C99" s="2" t="inlineStr">
        <is>
          <t>O5538</t>
        </is>
      </c>
      <c r="D99" t="inlineStr">
        <is>
          <t>O1913</t>
        </is>
      </c>
      <c r="E99" s="2" t="n">
        <v>353</v>
      </c>
      <c r="F99" s="2">
        <f>_xlfn.XLOOKUP(C99,customers!$A$1:$A$1001,customers!$B$1:$B$1001,,0)</f>
        <v/>
      </c>
      <c r="G99" s="2">
        <f>IF(_xlfn.XLOOKUP(C99,customers!$A$1:$A$1001,customers!$C$1:$C$1001,,0)=0,"",_xlfn.XLOOKUP(C99,customers!$A$1:$A$1001,customers!$C$1:$C$1001,,0))</f>
        <v/>
      </c>
      <c r="H99" s="2">
        <f>_xlfn.XLOOKUP(C99,customers!$A$1:$A$1001,customers!$G$1:$G$1001,,0)</f>
        <v/>
      </c>
      <c r="I99">
        <f>INDEX(products!$A$1:$G$49,MATCH(orders!$D99,products!$A$1:$A$49,0),MATCH(orders!I$1,products!$A$1:$G$1,0))</f>
        <v/>
      </c>
      <c r="J99">
        <f>INDEX(products!$A$1:$G$49,MATCH(orders!$D99,products!$A$1:$A$49,0),MATCH(orders!J$1,products!$A$1:$G$1,0))</f>
        <v/>
      </c>
      <c r="K99" s="4">
        <f>INDEX(products!$A$1:$G$49,MATCH(orders!$D99,products!$A$1:$A$49,0),MATCH(orders!K$1,products!$A$1:$G$1,0))</f>
        <v/>
      </c>
      <c r="L99" s="5">
        <f>INDEX(products!$A$1:$G$49,MATCH(orders!$D99,products!$A$1:$A$49,0),MATCH(orders!L$1,products!$A$1:$G$1,0))</f>
        <v/>
      </c>
      <c r="M99" s="5">
        <f>L99*E99</f>
        <v/>
      </c>
      <c r="N99">
        <f>IF(I99="Rob","Robusta",IF(I99="Exc","Excelsa",IF(I99="Ara","Arabica",IF(I99="Lib","Liberica",""))))</f>
        <v/>
      </c>
      <c r="O99">
        <f>IF(J99="M","Medium",IF(J99="L","Light",IF(J99="D","Dark","")))</f>
        <v/>
      </c>
      <c r="P99">
        <f>_xlfn.XLOOKUP(Orders[[#This Row],[Customer ID]],customers!$A$1:$A$1001,customers!$I$1:$I$1001,,0)</f>
        <v/>
      </c>
    </row>
    <row r="100">
      <c r="A100" s="2" t="inlineStr">
        <is>
          <t>O3723</t>
        </is>
      </c>
      <c r="B100" s="3" t="inlineStr">
        <is>
          <t>2020-05-21</t>
        </is>
      </c>
      <c r="C100" s="2" t="inlineStr">
        <is>
          <t>O7424</t>
        </is>
      </c>
      <c r="D100" t="inlineStr">
        <is>
          <t>O7592</t>
        </is>
      </c>
      <c r="E100" s="2" t="n">
        <v>64</v>
      </c>
      <c r="F100" s="2">
        <f>_xlfn.XLOOKUP(C100,customers!$A$1:$A$1001,customers!$B$1:$B$1001,,0)</f>
        <v/>
      </c>
      <c r="G100" s="2">
        <f>IF(_xlfn.XLOOKUP(C100,customers!$A$1:$A$1001,customers!$C$1:$C$1001,,0)=0,"",_xlfn.XLOOKUP(C100,customers!$A$1:$A$1001,customers!$C$1:$C$1001,,0))</f>
        <v/>
      </c>
      <c r="H100" s="2">
        <f>_xlfn.XLOOKUP(C100,customers!$A$1:$A$1001,customers!$G$1:$G$1001,,0)</f>
        <v/>
      </c>
      <c r="I100">
        <f>INDEX(products!$A$1:$G$49,MATCH(orders!$D100,products!$A$1:$A$49,0),MATCH(orders!I$1,products!$A$1:$G$1,0))</f>
        <v/>
      </c>
      <c r="J100">
        <f>INDEX(products!$A$1:$G$49,MATCH(orders!$D100,products!$A$1:$A$49,0),MATCH(orders!J$1,products!$A$1:$G$1,0))</f>
        <v/>
      </c>
      <c r="K100" s="4">
        <f>INDEX(products!$A$1:$G$49,MATCH(orders!$D100,products!$A$1:$A$49,0),MATCH(orders!K$1,products!$A$1:$G$1,0))</f>
        <v/>
      </c>
      <c r="L100" s="5">
        <f>INDEX(products!$A$1:$G$49,MATCH(orders!$D100,products!$A$1:$A$49,0),MATCH(orders!L$1,products!$A$1:$G$1,0))</f>
        <v/>
      </c>
      <c r="M100" s="5">
        <f>L100*E100</f>
        <v/>
      </c>
      <c r="N100">
        <f>IF(I100="Rob","Robusta",IF(I100="Exc","Excelsa",IF(I100="Ara","Arabica",IF(I100="Lib","Liberica",""))))</f>
        <v/>
      </c>
      <c r="O100">
        <f>IF(J100="M","Medium",IF(J100="L","Light",IF(J100="D","Dark","")))</f>
        <v/>
      </c>
      <c r="P100">
        <f>_xlfn.XLOOKUP(Orders[[#This Row],[Customer ID]],customers!$A$1:$A$1001,customers!$I$1:$I$1001,,0)</f>
        <v/>
      </c>
    </row>
    <row r="101">
      <c r="A101" s="2" t="inlineStr">
        <is>
          <t>O8658</t>
        </is>
      </c>
      <c r="B101" s="3" t="inlineStr">
        <is>
          <t>2020-11-26</t>
        </is>
      </c>
      <c r="C101" s="2" t="inlineStr">
        <is>
          <t>O6980</t>
        </is>
      </c>
      <c r="D101" t="inlineStr">
        <is>
          <t>O5610</t>
        </is>
      </c>
      <c r="E101" s="2" t="n">
        <v>449</v>
      </c>
      <c r="F101" s="2">
        <f>_xlfn.XLOOKUP(C101,customers!$A$1:$A$1001,customers!$B$1:$B$1001,,0)</f>
        <v/>
      </c>
      <c r="G101" s="2">
        <f>IF(_xlfn.XLOOKUP(C101,customers!$A$1:$A$1001,customers!$C$1:$C$1001,,0)=0,"",_xlfn.XLOOKUP(C101,customers!$A$1:$A$1001,customers!$C$1:$C$1001,,0))</f>
        <v/>
      </c>
      <c r="H101" s="2">
        <f>_xlfn.XLOOKUP(C101,customers!$A$1:$A$1001,customers!$G$1:$G$1001,,0)</f>
        <v/>
      </c>
      <c r="I101">
        <f>INDEX(products!$A$1:$G$49,MATCH(orders!$D101,products!$A$1:$A$49,0),MATCH(orders!I$1,products!$A$1:$G$1,0))</f>
        <v/>
      </c>
      <c r="J101">
        <f>INDEX(products!$A$1:$G$49,MATCH(orders!$D101,products!$A$1:$A$49,0),MATCH(orders!J$1,products!$A$1:$G$1,0))</f>
        <v/>
      </c>
      <c r="K101" s="4">
        <f>INDEX(products!$A$1:$G$49,MATCH(orders!$D101,products!$A$1:$A$49,0),MATCH(orders!K$1,products!$A$1:$G$1,0))</f>
        <v/>
      </c>
      <c r="L101" s="5">
        <f>INDEX(products!$A$1:$G$49,MATCH(orders!$D101,products!$A$1:$A$49,0),MATCH(orders!L$1,products!$A$1:$G$1,0))</f>
        <v/>
      </c>
      <c r="M101" s="5">
        <f>L101*E101</f>
        <v/>
      </c>
      <c r="N101">
        <f>IF(I101="Rob","Robusta",IF(I101="Exc","Excelsa",IF(I101="Ara","Arabica",IF(I101="Lib","Liberica",""))))</f>
        <v/>
      </c>
      <c r="O101">
        <f>IF(J101="M","Medium",IF(J101="L","Light",IF(J101="D","Dark","")))</f>
        <v/>
      </c>
      <c r="P101">
        <f>_xlfn.XLOOKUP(Orders[[#This Row],[Customer ID]],customers!$A$1:$A$1001,customers!$I$1:$I$1001,,0)</f>
        <v/>
      </c>
    </row>
    <row r="102">
      <c r="A102" s="2" t="inlineStr">
        <is>
          <t>O7768</t>
        </is>
      </c>
      <c r="B102" s="3" t="inlineStr">
        <is>
          <t>2020-06-28</t>
        </is>
      </c>
      <c r="C102" s="2" t="inlineStr">
        <is>
          <t>O1298</t>
        </is>
      </c>
      <c r="D102" t="inlineStr">
        <is>
          <t>O4294</t>
        </is>
      </c>
      <c r="E102" s="2" t="n">
        <v>326</v>
      </c>
      <c r="F102" s="2">
        <f>_xlfn.XLOOKUP(C102,customers!$A$1:$A$1001,customers!$B$1:$B$1001,,0)</f>
        <v/>
      </c>
      <c r="G102" s="2">
        <f>IF(_xlfn.XLOOKUP(C102,customers!$A$1:$A$1001,customers!$C$1:$C$1001,,0)=0,"",_xlfn.XLOOKUP(C102,customers!$A$1:$A$1001,customers!$C$1:$C$1001,,0))</f>
        <v/>
      </c>
      <c r="H102" s="2">
        <f>_xlfn.XLOOKUP(C102,customers!$A$1:$A$1001,customers!$G$1:$G$1001,,0)</f>
        <v/>
      </c>
      <c r="I102">
        <f>INDEX(products!$A$1:$G$49,MATCH(orders!$D102,products!$A$1:$A$49,0),MATCH(orders!I$1,products!$A$1:$G$1,0))</f>
        <v/>
      </c>
      <c r="J102">
        <f>INDEX(products!$A$1:$G$49,MATCH(orders!$D102,products!$A$1:$A$49,0),MATCH(orders!J$1,products!$A$1:$G$1,0))</f>
        <v/>
      </c>
      <c r="K102" s="4">
        <f>INDEX(products!$A$1:$G$49,MATCH(orders!$D102,products!$A$1:$A$49,0),MATCH(orders!K$1,products!$A$1:$G$1,0))</f>
        <v/>
      </c>
      <c r="L102" s="5">
        <f>INDEX(products!$A$1:$G$49,MATCH(orders!$D102,products!$A$1:$A$49,0),MATCH(orders!L$1,products!$A$1:$G$1,0))</f>
        <v/>
      </c>
      <c r="M102" s="5">
        <f>L102*E102</f>
        <v/>
      </c>
      <c r="N102">
        <f>IF(I102="Rob","Robusta",IF(I102="Exc","Excelsa",IF(I102="Ara","Arabica",IF(I102="Lib","Liberica",""))))</f>
        <v/>
      </c>
      <c r="O102">
        <f>IF(J102="M","Medium",IF(J102="L","Light",IF(J102="D","Dark","")))</f>
        <v/>
      </c>
      <c r="P102">
        <f>_xlfn.XLOOKUP(Orders[[#This Row],[Customer ID]],customers!$A$1:$A$1001,customers!$I$1:$I$1001,,0)</f>
        <v/>
      </c>
    </row>
    <row r="103">
      <c r="A103" s="2" t="inlineStr">
        <is>
          <t>O7342</t>
        </is>
      </c>
      <c r="B103" s="3" t="inlineStr">
        <is>
          <t>2021-05-26</t>
        </is>
      </c>
      <c r="C103" s="2" t="inlineStr">
        <is>
          <t>O6573</t>
        </is>
      </c>
      <c r="D103" t="inlineStr">
        <is>
          <t>O2503</t>
        </is>
      </c>
      <c r="E103" s="2" t="n">
        <v>450</v>
      </c>
      <c r="F103" s="2">
        <f>_xlfn.XLOOKUP(C103,customers!$A$1:$A$1001,customers!$B$1:$B$1001,,0)</f>
        <v/>
      </c>
      <c r="G103" s="2">
        <f>IF(_xlfn.XLOOKUP(C103,customers!$A$1:$A$1001,customers!$C$1:$C$1001,,0)=0,"",_xlfn.XLOOKUP(C103,customers!$A$1:$A$1001,customers!$C$1:$C$1001,,0))</f>
        <v/>
      </c>
      <c r="H103" s="2">
        <f>_xlfn.XLOOKUP(C103,customers!$A$1:$A$1001,customers!$G$1:$G$1001,,0)</f>
        <v/>
      </c>
      <c r="I103">
        <f>INDEX(products!$A$1:$G$49,MATCH(orders!$D103,products!$A$1:$A$49,0),MATCH(orders!I$1,products!$A$1:$G$1,0))</f>
        <v/>
      </c>
      <c r="J103">
        <f>INDEX(products!$A$1:$G$49,MATCH(orders!$D103,products!$A$1:$A$49,0),MATCH(orders!J$1,products!$A$1:$G$1,0))</f>
        <v/>
      </c>
      <c r="K103" s="4">
        <f>INDEX(products!$A$1:$G$49,MATCH(orders!$D103,products!$A$1:$A$49,0),MATCH(orders!K$1,products!$A$1:$G$1,0))</f>
        <v/>
      </c>
      <c r="L103" s="5">
        <f>INDEX(products!$A$1:$G$49,MATCH(orders!$D103,products!$A$1:$A$49,0),MATCH(orders!L$1,products!$A$1:$G$1,0))</f>
        <v/>
      </c>
      <c r="M103" s="5">
        <f>L103*E103</f>
        <v/>
      </c>
      <c r="N103">
        <f>IF(I103="Rob","Robusta",IF(I103="Exc","Excelsa",IF(I103="Ara","Arabica",IF(I103="Lib","Liberica",""))))</f>
        <v/>
      </c>
      <c r="O103">
        <f>IF(J103="M","Medium",IF(J103="L","Light",IF(J103="D","Dark","")))</f>
        <v/>
      </c>
      <c r="P103">
        <f>_xlfn.XLOOKUP(Orders[[#This Row],[Customer ID]],customers!$A$1:$A$1001,customers!$I$1:$I$1001,,0)</f>
        <v/>
      </c>
    </row>
    <row r="104">
      <c r="A104" s="2" t="inlineStr">
        <is>
          <t>O4215</t>
        </is>
      </c>
      <c r="B104" s="3" t="inlineStr">
        <is>
          <t>2020-02-27</t>
        </is>
      </c>
      <c r="C104" s="2" t="inlineStr">
        <is>
          <t>O4124</t>
        </is>
      </c>
      <c r="D104" t="inlineStr">
        <is>
          <t>O4945</t>
        </is>
      </c>
      <c r="E104" s="2" t="n">
        <v>271</v>
      </c>
      <c r="F104" s="2">
        <f>_xlfn.XLOOKUP(C104,customers!$A$1:$A$1001,customers!$B$1:$B$1001,,0)</f>
        <v/>
      </c>
      <c r="G104" s="2">
        <f>IF(_xlfn.XLOOKUP(C104,customers!$A$1:$A$1001,customers!$C$1:$C$1001,,0)=0,"",_xlfn.XLOOKUP(C104,customers!$A$1:$A$1001,customers!$C$1:$C$1001,,0))</f>
        <v/>
      </c>
      <c r="H104" s="2">
        <f>_xlfn.XLOOKUP(C104,customers!$A$1:$A$1001,customers!$G$1:$G$1001,,0)</f>
        <v/>
      </c>
      <c r="I104">
        <f>INDEX(products!$A$1:$G$49,MATCH(orders!$D104,products!$A$1:$A$49,0),MATCH(orders!I$1,products!$A$1:$G$1,0))</f>
        <v/>
      </c>
      <c r="J104">
        <f>INDEX(products!$A$1:$G$49,MATCH(orders!$D104,products!$A$1:$A$49,0),MATCH(orders!J$1,products!$A$1:$G$1,0))</f>
        <v/>
      </c>
      <c r="K104" s="4">
        <f>INDEX(products!$A$1:$G$49,MATCH(orders!$D104,products!$A$1:$A$49,0),MATCH(orders!K$1,products!$A$1:$G$1,0))</f>
        <v/>
      </c>
      <c r="L104" s="5">
        <f>INDEX(products!$A$1:$G$49,MATCH(orders!$D104,products!$A$1:$A$49,0),MATCH(orders!L$1,products!$A$1:$G$1,0))</f>
        <v/>
      </c>
      <c r="M104" s="5">
        <f>L104*E104</f>
        <v/>
      </c>
      <c r="N104">
        <f>IF(I104="Rob","Robusta",IF(I104="Exc","Excelsa",IF(I104="Ara","Arabica",IF(I104="Lib","Liberica",""))))</f>
        <v/>
      </c>
      <c r="O104">
        <f>IF(J104="M","Medium",IF(J104="L","Light",IF(J104="D","Dark","")))</f>
        <v/>
      </c>
      <c r="P104">
        <f>_xlfn.XLOOKUP(Orders[[#This Row],[Customer ID]],customers!$A$1:$A$1001,customers!$I$1:$I$1001,,0)</f>
        <v/>
      </c>
    </row>
    <row r="105">
      <c r="A105" s="2" t="inlineStr">
        <is>
          <t>O8125</t>
        </is>
      </c>
      <c r="B105" s="3" t="inlineStr">
        <is>
          <t>2022-03-07</t>
        </is>
      </c>
      <c r="C105" s="2" t="inlineStr">
        <is>
          <t>O1350</t>
        </is>
      </c>
      <c r="D105" t="inlineStr">
        <is>
          <t>O5464</t>
        </is>
      </c>
      <c r="E105" s="2" t="n">
        <v>161</v>
      </c>
      <c r="F105" s="2">
        <f>_xlfn.XLOOKUP(C105,customers!$A$1:$A$1001,customers!$B$1:$B$1001,,0)</f>
        <v/>
      </c>
      <c r="G105" s="2">
        <f>IF(_xlfn.XLOOKUP(C105,customers!$A$1:$A$1001,customers!$C$1:$C$1001,,0)=0,"",_xlfn.XLOOKUP(C105,customers!$A$1:$A$1001,customers!$C$1:$C$1001,,0))</f>
        <v/>
      </c>
      <c r="H105" s="2">
        <f>_xlfn.XLOOKUP(C105,customers!$A$1:$A$1001,customers!$G$1:$G$1001,,0)</f>
        <v/>
      </c>
      <c r="I105">
        <f>INDEX(products!$A$1:$G$49,MATCH(orders!$D105,products!$A$1:$A$49,0),MATCH(orders!I$1,products!$A$1:$G$1,0))</f>
        <v/>
      </c>
      <c r="J105">
        <f>INDEX(products!$A$1:$G$49,MATCH(orders!$D105,products!$A$1:$A$49,0),MATCH(orders!J$1,products!$A$1:$G$1,0))</f>
        <v/>
      </c>
      <c r="K105" s="4">
        <f>INDEX(products!$A$1:$G$49,MATCH(orders!$D105,products!$A$1:$A$49,0),MATCH(orders!K$1,products!$A$1:$G$1,0))</f>
        <v/>
      </c>
      <c r="L105" s="5">
        <f>INDEX(products!$A$1:$G$49,MATCH(orders!$D105,products!$A$1:$A$49,0),MATCH(orders!L$1,products!$A$1:$G$1,0))</f>
        <v/>
      </c>
      <c r="M105" s="5">
        <f>L105*E105</f>
        <v/>
      </c>
      <c r="N105">
        <f>IF(I105="Rob","Robusta",IF(I105="Exc","Excelsa",IF(I105="Ara","Arabica",IF(I105="Lib","Liberica",""))))</f>
        <v/>
      </c>
      <c r="O105">
        <f>IF(J105="M","Medium",IF(J105="L","Light",IF(J105="D","Dark","")))</f>
        <v/>
      </c>
      <c r="P105">
        <f>_xlfn.XLOOKUP(Orders[[#This Row],[Customer ID]],customers!$A$1:$A$1001,customers!$I$1:$I$1001,,0)</f>
        <v/>
      </c>
    </row>
    <row r="106">
      <c r="A106" s="2" t="inlineStr">
        <is>
          <t>O8157</t>
        </is>
      </c>
      <c r="B106" s="3" t="inlineStr">
        <is>
          <t>2022-03-21</t>
        </is>
      </c>
      <c r="C106" s="2" t="inlineStr">
        <is>
          <t>O5151</t>
        </is>
      </c>
      <c r="D106" t="inlineStr">
        <is>
          <t>O7334</t>
        </is>
      </c>
      <c r="E106" s="2" t="n">
        <v>179</v>
      </c>
      <c r="F106" s="2">
        <f>_xlfn.XLOOKUP(C106,customers!$A$1:$A$1001,customers!$B$1:$B$1001,,0)</f>
        <v/>
      </c>
      <c r="G106" s="2">
        <f>IF(_xlfn.XLOOKUP(C106,customers!$A$1:$A$1001,customers!$C$1:$C$1001,,0)=0,"",_xlfn.XLOOKUP(C106,customers!$A$1:$A$1001,customers!$C$1:$C$1001,,0))</f>
        <v/>
      </c>
      <c r="H106" s="2">
        <f>_xlfn.XLOOKUP(C106,customers!$A$1:$A$1001,customers!$G$1:$G$1001,,0)</f>
        <v/>
      </c>
      <c r="I106">
        <f>INDEX(products!$A$1:$G$49,MATCH(orders!$D106,products!$A$1:$A$49,0),MATCH(orders!I$1,products!$A$1:$G$1,0))</f>
        <v/>
      </c>
      <c r="J106">
        <f>INDEX(products!$A$1:$G$49,MATCH(orders!$D106,products!$A$1:$A$49,0),MATCH(orders!J$1,products!$A$1:$G$1,0))</f>
        <v/>
      </c>
      <c r="K106" s="4">
        <f>INDEX(products!$A$1:$G$49,MATCH(orders!$D106,products!$A$1:$A$49,0),MATCH(orders!K$1,products!$A$1:$G$1,0))</f>
        <v/>
      </c>
      <c r="L106" s="5">
        <f>INDEX(products!$A$1:$G$49,MATCH(orders!$D106,products!$A$1:$A$49,0),MATCH(orders!L$1,products!$A$1:$G$1,0))</f>
        <v/>
      </c>
      <c r="M106" s="5">
        <f>L106*E106</f>
        <v/>
      </c>
      <c r="N106">
        <f>IF(I106="Rob","Robusta",IF(I106="Exc","Excelsa",IF(I106="Ara","Arabica",IF(I106="Lib","Liberica",""))))</f>
        <v/>
      </c>
      <c r="O106">
        <f>IF(J106="M","Medium",IF(J106="L","Light",IF(J106="D","Dark","")))</f>
        <v/>
      </c>
      <c r="P106">
        <f>_xlfn.XLOOKUP(Orders[[#This Row],[Customer ID]],customers!$A$1:$A$1001,customers!$I$1:$I$1001,,0)</f>
        <v/>
      </c>
    </row>
    <row r="107">
      <c r="A107" s="2" t="inlineStr">
        <is>
          <t>O4404</t>
        </is>
      </c>
      <c r="B107" s="3" t="inlineStr">
        <is>
          <t>2023-09-01</t>
        </is>
      </c>
      <c r="C107" s="2" t="inlineStr">
        <is>
          <t>O6807</t>
        </is>
      </c>
      <c r="D107" t="inlineStr">
        <is>
          <t>O4193</t>
        </is>
      </c>
      <c r="E107" s="2" t="n">
        <v>299</v>
      </c>
      <c r="F107" s="2">
        <f>_xlfn.XLOOKUP(C107,customers!$A$1:$A$1001,customers!$B$1:$B$1001,,0)</f>
        <v/>
      </c>
      <c r="G107" s="2">
        <f>IF(_xlfn.XLOOKUP(C107,customers!$A$1:$A$1001,customers!$C$1:$C$1001,,0)=0,"",_xlfn.XLOOKUP(C107,customers!$A$1:$A$1001,customers!$C$1:$C$1001,,0))</f>
        <v/>
      </c>
      <c r="H107" s="2">
        <f>_xlfn.XLOOKUP(C107,customers!$A$1:$A$1001,customers!$G$1:$G$1001,,0)</f>
        <v/>
      </c>
      <c r="I107">
        <f>INDEX(products!$A$1:$G$49,MATCH(orders!$D107,products!$A$1:$A$49,0),MATCH(orders!I$1,products!$A$1:$G$1,0))</f>
        <v/>
      </c>
      <c r="J107">
        <f>INDEX(products!$A$1:$G$49,MATCH(orders!$D107,products!$A$1:$A$49,0),MATCH(orders!J$1,products!$A$1:$G$1,0))</f>
        <v/>
      </c>
      <c r="K107" s="4">
        <f>INDEX(products!$A$1:$G$49,MATCH(orders!$D107,products!$A$1:$A$49,0),MATCH(orders!K$1,products!$A$1:$G$1,0))</f>
        <v/>
      </c>
      <c r="L107" s="5">
        <f>INDEX(products!$A$1:$G$49,MATCH(orders!$D107,products!$A$1:$A$49,0),MATCH(orders!L$1,products!$A$1:$G$1,0))</f>
        <v/>
      </c>
      <c r="M107" s="5">
        <f>L107*E107</f>
        <v/>
      </c>
      <c r="N107">
        <f>IF(I107="Rob","Robusta",IF(I107="Exc","Excelsa",IF(I107="Ara","Arabica",IF(I107="Lib","Liberica",""))))</f>
        <v/>
      </c>
      <c r="O107">
        <f>IF(J107="M","Medium",IF(J107="L","Light",IF(J107="D","Dark","")))</f>
        <v/>
      </c>
      <c r="P107">
        <f>_xlfn.XLOOKUP(Orders[[#This Row],[Customer ID]],customers!$A$1:$A$1001,customers!$I$1:$I$1001,,0)</f>
        <v/>
      </c>
    </row>
    <row r="108">
      <c r="A108" s="2" t="inlineStr">
        <is>
          <t>O6665</t>
        </is>
      </c>
      <c r="B108" s="3" t="inlineStr">
        <is>
          <t>2020-01-22</t>
        </is>
      </c>
      <c r="C108" s="2" t="inlineStr">
        <is>
          <t>O5450</t>
        </is>
      </c>
      <c r="D108" t="inlineStr">
        <is>
          <t>O7974</t>
        </is>
      </c>
      <c r="E108" s="2" t="n">
        <v>396</v>
      </c>
      <c r="F108" s="2">
        <f>_xlfn.XLOOKUP(C108,customers!$A$1:$A$1001,customers!$B$1:$B$1001,,0)</f>
        <v/>
      </c>
      <c r="G108" s="2">
        <f>IF(_xlfn.XLOOKUP(C108,customers!$A$1:$A$1001,customers!$C$1:$C$1001,,0)=0,"",_xlfn.XLOOKUP(C108,customers!$A$1:$A$1001,customers!$C$1:$C$1001,,0))</f>
        <v/>
      </c>
      <c r="H108" s="2">
        <f>_xlfn.XLOOKUP(C108,customers!$A$1:$A$1001,customers!$G$1:$G$1001,,0)</f>
        <v/>
      </c>
      <c r="I108">
        <f>INDEX(products!$A$1:$G$49,MATCH(orders!$D108,products!$A$1:$A$49,0),MATCH(orders!I$1,products!$A$1:$G$1,0))</f>
        <v/>
      </c>
      <c r="J108">
        <f>INDEX(products!$A$1:$G$49,MATCH(orders!$D108,products!$A$1:$A$49,0),MATCH(orders!J$1,products!$A$1:$G$1,0))</f>
        <v/>
      </c>
      <c r="K108" s="4">
        <f>INDEX(products!$A$1:$G$49,MATCH(orders!$D108,products!$A$1:$A$49,0),MATCH(orders!K$1,products!$A$1:$G$1,0))</f>
        <v/>
      </c>
      <c r="L108" s="5">
        <f>INDEX(products!$A$1:$G$49,MATCH(orders!$D108,products!$A$1:$A$49,0),MATCH(orders!L$1,products!$A$1:$G$1,0))</f>
        <v/>
      </c>
      <c r="M108" s="5">
        <f>L108*E108</f>
        <v/>
      </c>
      <c r="N108">
        <f>IF(I108="Rob","Robusta",IF(I108="Exc","Excelsa",IF(I108="Ara","Arabica",IF(I108="Lib","Liberica",""))))</f>
        <v/>
      </c>
      <c r="O108">
        <f>IF(J108="M","Medium",IF(J108="L","Light",IF(J108="D","Dark","")))</f>
        <v/>
      </c>
      <c r="P108">
        <f>_xlfn.XLOOKUP(Orders[[#This Row],[Customer ID]],customers!$A$1:$A$1001,customers!$I$1:$I$1001,,0)</f>
        <v/>
      </c>
    </row>
    <row r="109">
      <c r="A109" s="2" t="inlineStr">
        <is>
          <t>O2953</t>
        </is>
      </c>
      <c r="B109" s="3" t="inlineStr">
        <is>
          <t>2023-06-05</t>
        </is>
      </c>
      <c r="C109" s="2" t="inlineStr">
        <is>
          <t>O9152</t>
        </is>
      </c>
      <c r="D109" t="inlineStr">
        <is>
          <t>O9095</t>
        </is>
      </c>
      <c r="E109" s="2" t="n">
        <v>2</v>
      </c>
      <c r="F109" s="2">
        <f>_xlfn.XLOOKUP(C109,customers!$A$1:$A$1001,customers!$B$1:$B$1001,,0)</f>
        <v/>
      </c>
      <c r="G109" s="2">
        <f>IF(_xlfn.XLOOKUP(C109,customers!$A$1:$A$1001,customers!$C$1:$C$1001,,0)=0,"",_xlfn.XLOOKUP(C109,customers!$A$1:$A$1001,customers!$C$1:$C$1001,,0))</f>
        <v/>
      </c>
      <c r="H109" s="2">
        <f>_xlfn.XLOOKUP(C109,customers!$A$1:$A$1001,customers!$G$1:$G$1001,,0)</f>
        <v/>
      </c>
      <c r="I109">
        <f>INDEX(products!$A$1:$G$49,MATCH(orders!$D109,products!$A$1:$A$49,0),MATCH(orders!I$1,products!$A$1:$G$1,0))</f>
        <v/>
      </c>
      <c r="J109">
        <f>INDEX(products!$A$1:$G$49,MATCH(orders!$D109,products!$A$1:$A$49,0),MATCH(orders!J$1,products!$A$1:$G$1,0))</f>
        <v/>
      </c>
      <c r="K109" s="4">
        <f>INDEX(products!$A$1:$G$49,MATCH(orders!$D109,products!$A$1:$A$49,0),MATCH(orders!K$1,products!$A$1:$G$1,0))</f>
        <v/>
      </c>
      <c r="L109" s="5">
        <f>INDEX(products!$A$1:$G$49,MATCH(orders!$D109,products!$A$1:$A$49,0),MATCH(orders!L$1,products!$A$1:$G$1,0))</f>
        <v/>
      </c>
      <c r="M109" s="5">
        <f>L109*E109</f>
        <v/>
      </c>
      <c r="N109">
        <f>IF(I109="Rob","Robusta",IF(I109="Exc","Excelsa",IF(I109="Ara","Arabica",IF(I109="Lib","Liberica",""))))</f>
        <v/>
      </c>
      <c r="O109">
        <f>IF(J109="M","Medium",IF(J109="L","Light",IF(J109="D","Dark","")))</f>
        <v/>
      </c>
      <c r="P109">
        <f>_xlfn.XLOOKUP(Orders[[#This Row],[Customer ID]],customers!$A$1:$A$1001,customers!$I$1:$I$1001,,0)</f>
        <v/>
      </c>
    </row>
    <row r="110">
      <c r="A110" s="2" t="inlineStr">
        <is>
          <t>O5715</t>
        </is>
      </c>
      <c r="B110" s="3" t="inlineStr">
        <is>
          <t>2024-03-13</t>
        </is>
      </c>
      <c r="C110" s="2" t="inlineStr">
        <is>
          <t>O1373</t>
        </is>
      </c>
      <c r="D110" t="inlineStr">
        <is>
          <t>O3471</t>
        </is>
      </c>
      <c r="E110" s="2" t="n">
        <v>300</v>
      </c>
      <c r="F110" s="2">
        <f>_xlfn.XLOOKUP(C110,customers!$A$1:$A$1001,customers!$B$1:$B$1001,,0)</f>
        <v/>
      </c>
      <c r="G110" s="2">
        <f>IF(_xlfn.XLOOKUP(C110,customers!$A$1:$A$1001,customers!$C$1:$C$1001,,0)=0,"",_xlfn.XLOOKUP(C110,customers!$A$1:$A$1001,customers!$C$1:$C$1001,,0))</f>
        <v/>
      </c>
      <c r="H110" s="2">
        <f>_xlfn.XLOOKUP(C110,customers!$A$1:$A$1001,customers!$G$1:$G$1001,,0)</f>
        <v/>
      </c>
      <c r="I110">
        <f>INDEX(products!$A$1:$G$49,MATCH(orders!$D110,products!$A$1:$A$49,0),MATCH(orders!I$1,products!$A$1:$G$1,0))</f>
        <v/>
      </c>
      <c r="J110">
        <f>INDEX(products!$A$1:$G$49,MATCH(orders!$D110,products!$A$1:$A$49,0),MATCH(orders!J$1,products!$A$1:$G$1,0))</f>
        <v/>
      </c>
      <c r="K110" s="4">
        <f>INDEX(products!$A$1:$G$49,MATCH(orders!$D110,products!$A$1:$A$49,0),MATCH(orders!K$1,products!$A$1:$G$1,0))</f>
        <v/>
      </c>
      <c r="L110" s="5">
        <f>INDEX(products!$A$1:$G$49,MATCH(orders!$D110,products!$A$1:$A$49,0),MATCH(orders!L$1,products!$A$1:$G$1,0))</f>
        <v/>
      </c>
      <c r="M110" s="5">
        <f>L110*E110</f>
        <v/>
      </c>
      <c r="N110">
        <f>IF(I110="Rob","Robusta",IF(I110="Exc","Excelsa",IF(I110="Ara","Arabica",IF(I110="Lib","Liberica",""))))</f>
        <v/>
      </c>
      <c r="O110">
        <f>IF(J110="M","Medium",IF(J110="L","Light",IF(J110="D","Dark","")))</f>
        <v/>
      </c>
      <c r="P110">
        <f>_xlfn.XLOOKUP(Orders[[#This Row],[Customer ID]],customers!$A$1:$A$1001,customers!$I$1:$I$1001,,0)</f>
        <v/>
      </c>
    </row>
    <row r="111">
      <c r="A111" s="2" t="inlineStr">
        <is>
          <t>O3466</t>
        </is>
      </c>
      <c r="B111" s="3" t="inlineStr">
        <is>
          <t>2021-01-15</t>
        </is>
      </c>
      <c r="C111" s="2" t="inlineStr">
        <is>
          <t>O8071</t>
        </is>
      </c>
      <c r="D111" t="inlineStr">
        <is>
          <t>O9119</t>
        </is>
      </c>
      <c r="E111" s="2" t="n">
        <v>117</v>
      </c>
      <c r="F111" s="2">
        <f>_xlfn.XLOOKUP(C111,customers!$A$1:$A$1001,customers!$B$1:$B$1001,,0)</f>
        <v/>
      </c>
      <c r="G111" s="2">
        <f>IF(_xlfn.XLOOKUP(C111,customers!$A$1:$A$1001,customers!$C$1:$C$1001,,0)=0,"",_xlfn.XLOOKUP(C111,customers!$A$1:$A$1001,customers!$C$1:$C$1001,,0))</f>
        <v/>
      </c>
      <c r="H111" s="2">
        <f>_xlfn.XLOOKUP(C111,customers!$A$1:$A$1001,customers!$G$1:$G$1001,,0)</f>
        <v/>
      </c>
      <c r="I111">
        <f>INDEX(products!$A$1:$G$49,MATCH(orders!$D111,products!$A$1:$A$49,0),MATCH(orders!I$1,products!$A$1:$G$1,0))</f>
        <v/>
      </c>
      <c r="J111">
        <f>INDEX(products!$A$1:$G$49,MATCH(orders!$D111,products!$A$1:$A$49,0),MATCH(orders!J$1,products!$A$1:$G$1,0))</f>
        <v/>
      </c>
      <c r="K111" s="4">
        <f>INDEX(products!$A$1:$G$49,MATCH(orders!$D111,products!$A$1:$A$49,0),MATCH(orders!K$1,products!$A$1:$G$1,0))</f>
        <v/>
      </c>
      <c r="L111" s="5">
        <f>INDEX(products!$A$1:$G$49,MATCH(orders!$D111,products!$A$1:$A$49,0),MATCH(orders!L$1,products!$A$1:$G$1,0))</f>
        <v/>
      </c>
      <c r="M111" s="5">
        <f>L111*E111</f>
        <v/>
      </c>
      <c r="N111">
        <f>IF(I111="Rob","Robusta",IF(I111="Exc","Excelsa",IF(I111="Ara","Arabica",IF(I111="Lib","Liberica",""))))</f>
        <v/>
      </c>
      <c r="O111">
        <f>IF(J111="M","Medium",IF(J111="L","Light",IF(J111="D","Dark","")))</f>
        <v/>
      </c>
      <c r="P111">
        <f>_xlfn.XLOOKUP(Orders[[#This Row],[Customer ID]],customers!$A$1:$A$1001,customers!$I$1:$I$1001,,0)</f>
        <v/>
      </c>
    </row>
    <row r="112">
      <c r="A112" s="2" t="inlineStr">
        <is>
          <t>O8950</t>
        </is>
      </c>
      <c r="B112" s="3" t="inlineStr">
        <is>
          <t>2024-10-22</t>
        </is>
      </c>
      <c r="C112" s="2" t="inlineStr">
        <is>
          <t>O6892</t>
        </is>
      </c>
      <c r="D112" t="inlineStr">
        <is>
          <t>O9880</t>
        </is>
      </c>
      <c r="E112" s="2" t="n">
        <v>242</v>
      </c>
      <c r="F112" s="2">
        <f>_xlfn.XLOOKUP(C112,customers!$A$1:$A$1001,customers!$B$1:$B$1001,,0)</f>
        <v/>
      </c>
      <c r="G112" s="2">
        <f>IF(_xlfn.XLOOKUP(C112,customers!$A$1:$A$1001,customers!$C$1:$C$1001,,0)=0,"",_xlfn.XLOOKUP(C112,customers!$A$1:$A$1001,customers!$C$1:$C$1001,,0))</f>
        <v/>
      </c>
      <c r="H112" s="2">
        <f>_xlfn.XLOOKUP(C112,customers!$A$1:$A$1001,customers!$G$1:$G$1001,,0)</f>
        <v/>
      </c>
      <c r="I112">
        <f>INDEX(products!$A$1:$G$49,MATCH(orders!$D112,products!$A$1:$A$49,0),MATCH(orders!I$1,products!$A$1:$G$1,0))</f>
        <v/>
      </c>
      <c r="J112">
        <f>INDEX(products!$A$1:$G$49,MATCH(orders!$D112,products!$A$1:$A$49,0),MATCH(orders!J$1,products!$A$1:$G$1,0))</f>
        <v/>
      </c>
      <c r="K112" s="4">
        <f>INDEX(products!$A$1:$G$49,MATCH(orders!$D112,products!$A$1:$A$49,0),MATCH(orders!K$1,products!$A$1:$G$1,0))</f>
        <v/>
      </c>
      <c r="L112" s="5">
        <f>INDEX(products!$A$1:$G$49,MATCH(orders!$D112,products!$A$1:$A$49,0),MATCH(orders!L$1,products!$A$1:$G$1,0))</f>
        <v/>
      </c>
      <c r="M112" s="5">
        <f>L112*E112</f>
        <v/>
      </c>
      <c r="N112">
        <f>IF(I112="Rob","Robusta",IF(I112="Exc","Excelsa",IF(I112="Ara","Arabica",IF(I112="Lib","Liberica",""))))</f>
        <v/>
      </c>
      <c r="O112">
        <f>IF(J112="M","Medium",IF(J112="L","Light",IF(J112="D","Dark","")))</f>
        <v/>
      </c>
      <c r="P112">
        <f>_xlfn.XLOOKUP(Orders[[#This Row],[Customer ID]],customers!$A$1:$A$1001,customers!$I$1:$I$1001,,0)</f>
        <v/>
      </c>
    </row>
    <row r="113">
      <c r="A113" s="2" t="inlineStr">
        <is>
          <t>O7835</t>
        </is>
      </c>
      <c r="B113" s="3" t="inlineStr">
        <is>
          <t>2023-02-10</t>
        </is>
      </c>
      <c r="C113" s="2" t="inlineStr">
        <is>
          <t>O1292</t>
        </is>
      </c>
      <c r="D113" t="inlineStr">
        <is>
          <t>O6808</t>
        </is>
      </c>
      <c r="E113" s="2" t="n">
        <v>27</v>
      </c>
      <c r="F113" s="2">
        <f>_xlfn.XLOOKUP(C113,customers!$A$1:$A$1001,customers!$B$1:$B$1001,,0)</f>
        <v/>
      </c>
      <c r="G113" s="2">
        <f>IF(_xlfn.XLOOKUP(C113,customers!$A$1:$A$1001,customers!$C$1:$C$1001,,0)=0,"",_xlfn.XLOOKUP(C113,customers!$A$1:$A$1001,customers!$C$1:$C$1001,,0))</f>
        <v/>
      </c>
      <c r="H113" s="2">
        <f>_xlfn.XLOOKUP(C113,customers!$A$1:$A$1001,customers!$G$1:$G$1001,,0)</f>
        <v/>
      </c>
      <c r="I113">
        <f>INDEX(products!$A$1:$G$49,MATCH(orders!$D113,products!$A$1:$A$49,0),MATCH(orders!I$1,products!$A$1:$G$1,0))</f>
        <v/>
      </c>
      <c r="J113">
        <f>INDEX(products!$A$1:$G$49,MATCH(orders!$D113,products!$A$1:$A$49,0),MATCH(orders!J$1,products!$A$1:$G$1,0))</f>
        <v/>
      </c>
      <c r="K113" s="4">
        <f>INDEX(products!$A$1:$G$49,MATCH(orders!$D113,products!$A$1:$A$49,0),MATCH(orders!K$1,products!$A$1:$G$1,0))</f>
        <v/>
      </c>
      <c r="L113" s="5">
        <f>INDEX(products!$A$1:$G$49,MATCH(orders!$D113,products!$A$1:$A$49,0),MATCH(orders!L$1,products!$A$1:$G$1,0))</f>
        <v/>
      </c>
      <c r="M113" s="5">
        <f>L113*E113</f>
        <v/>
      </c>
      <c r="N113">
        <f>IF(I113="Rob","Robusta",IF(I113="Exc","Excelsa",IF(I113="Ara","Arabica",IF(I113="Lib","Liberica",""))))</f>
        <v/>
      </c>
      <c r="O113">
        <f>IF(J113="M","Medium",IF(J113="L","Light",IF(J113="D","Dark","")))</f>
        <v/>
      </c>
      <c r="P113">
        <f>_xlfn.XLOOKUP(Orders[[#This Row],[Customer ID]],customers!$A$1:$A$1001,customers!$I$1:$I$1001,,0)</f>
        <v/>
      </c>
    </row>
    <row r="114">
      <c r="A114" s="2" t="inlineStr">
        <is>
          <t>O4588</t>
        </is>
      </c>
      <c r="B114" s="3" t="inlineStr">
        <is>
          <t>2021-06-18</t>
        </is>
      </c>
      <c r="C114" s="2" t="inlineStr">
        <is>
          <t>O1943</t>
        </is>
      </c>
      <c r="D114" t="inlineStr">
        <is>
          <t>O2442</t>
        </is>
      </c>
      <c r="E114" s="2" t="n">
        <v>345</v>
      </c>
      <c r="F114" s="2">
        <f>_xlfn.XLOOKUP(C114,customers!$A$1:$A$1001,customers!$B$1:$B$1001,,0)</f>
        <v/>
      </c>
      <c r="G114" s="2">
        <f>IF(_xlfn.XLOOKUP(C114,customers!$A$1:$A$1001,customers!$C$1:$C$1001,,0)=0,"",_xlfn.XLOOKUP(C114,customers!$A$1:$A$1001,customers!$C$1:$C$1001,,0))</f>
        <v/>
      </c>
      <c r="H114" s="2">
        <f>_xlfn.XLOOKUP(C114,customers!$A$1:$A$1001,customers!$G$1:$G$1001,,0)</f>
        <v/>
      </c>
      <c r="I114">
        <f>INDEX(products!$A$1:$G$49,MATCH(orders!$D114,products!$A$1:$A$49,0),MATCH(orders!I$1,products!$A$1:$G$1,0))</f>
        <v/>
      </c>
      <c r="J114">
        <f>INDEX(products!$A$1:$G$49,MATCH(orders!$D114,products!$A$1:$A$49,0),MATCH(orders!J$1,products!$A$1:$G$1,0))</f>
        <v/>
      </c>
      <c r="K114" s="4">
        <f>INDEX(products!$A$1:$G$49,MATCH(orders!$D114,products!$A$1:$A$49,0),MATCH(orders!K$1,products!$A$1:$G$1,0))</f>
        <v/>
      </c>
      <c r="L114" s="5">
        <f>INDEX(products!$A$1:$G$49,MATCH(orders!$D114,products!$A$1:$A$49,0),MATCH(orders!L$1,products!$A$1:$G$1,0))</f>
        <v/>
      </c>
      <c r="M114" s="5">
        <f>L114*E114</f>
        <v/>
      </c>
      <c r="N114">
        <f>IF(I114="Rob","Robusta",IF(I114="Exc","Excelsa",IF(I114="Ara","Arabica",IF(I114="Lib","Liberica",""))))</f>
        <v/>
      </c>
      <c r="O114">
        <f>IF(J114="M","Medium",IF(J114="L","Light",IF(J114="D","Dark","")))</f>
        <v/>
      </c>
      <c r="P114">
        <f>_xlfn.XLOOKUP(Orders[[#This Row],[Customer ID]],customers!$A$1:$A$1001,customers!$I$1:$I$1001,,0)</f>
        <v/>
      </c>
    </row>
    <row r="115">
      <c r="A115" s="2" t="inlineStr">
        <is>
          <t>O9458</t>
        </is>
      </c>
      <c r="B115" s="3" t="inlineStr">
        <is>
          <t>2020-02-25</t>
        </is>
      </c>
      <c r="C115" s="2" t="inlineStr">
        <is>
          <t>O8379</t>
        </is>
      </c>
      <c r="D115" t="inlineStr">
        <is>
          <t>O5116</t>
        </is>
      </c>
      <c r="E115" s="2" t="n">
        <v>33</v>
      </c>
      <c r="F115" s="2">
        <f>_xlfn.XLOOKUP(C115,customers!$A$1:$A$1001,customers!$B$1:$B$1001,,0)</f>
        <v/>
      </c>
      <c r="G115" s="2">
        <f>IF(_xlfn.XLOOKUP(C115,customers!$A$1:$A$1001,customers!$C$1:$C$1001,,0)=0,"",_xlfn.XLOOKUP(C115,customers!$A$1:$A$1001,customers!$C$1:$C$1001,,0))</f>
        <v/>
      </c>
      <c r="H115" s="2">
        <f>_xlfn.XLOOKUP(C115,customers!$A$1:$A$1001,customers!$G$1:$G$1001,,0)</f>
        <v/>
      </c>
      <c r="I115">
        <f>INDEX(products!$A$1:$G$49,MATCH(orders!$D115,products!$A$1:$A$49,0),MATCH(orders!I$1,products!$A$1:$G$1,0))</f>
        <v/>
      </c>
      <c r="J115">
        <f>INDEX(products!$A$1:$G$49,MATCH(orders!$D115,products!$A$1:$A$49,0),MATCH(orders!J$1,products!$A$1:$G$1,0))</f>
        <v/>
      </c>
      <c r="K115" s="4">
        <f>INDEX(products!$A$1:$G$49,MATCH(orders!$D115,products!$A$1:$A$49,0),MATCH(orders!K$1,products!$A$1:$G$1,0))</f>
        <v/>
      </c>
      <c r="L115" s="5">
        <f>INDEX(products!$A$1:$G$49,MATCH(orders!$D115,products!$A$1:$A$49,0),MATCH(orders!L$1,products!$A$1:$G$1,0))</f>
        <v/>
      </c>
      <c r="M115" s="5">
        <f>L115*E115</f>
        <v/>
      </c>
      <c r="N115">
        <f>IF(I115="Rob","Robusta",IF(I115="Exc","Excelsa",IF(I115="Ara","Arabica",IF(I115="Lib","Liberica",""))))</f>
        <v/>
      </c>
      <c r="O115">
        <f>IF(J115="M","Medium",IF(J115="L","Light",IF(J115="D","Dark","")))</f>
        <v/>
      </c>
      <c r="P115">
        <f>_xlfn.XLOOKUP(Orders[[#This Row],[Customer ID]],customers!$A$1:$A$1001,customers!$I$1:$I$1001,,0)</f>
        <v/>
      </c>
    </row>
    <row r="116">
      <c r="A116" s="2" t="inlineStr">
        <is>
          <t>O5081</t>
        </is>
      </c>
      <c r="B116" s="3" t="inlineStr">
        <is>
          <t>2025-07-05</t>
        </is>
      </c>
      <c r="C116" s="2" t="inlineStr">
        <is>
          <t>O5699</t>
        </is>
      </c>
      <c r="D116" t="inlineStr">
        <is>
          <t>O6290</t>
        </is>
      </c>
      <c r="E116" s="2" t="n">
        <v>302</v>
      </c>
      <c r="F116" s="2">
        <f>_xlfn.XLOOKUP(C116,customers!$A$1:$A$1001,customers!$B$1:$B$1001,,0)</f>
        <v/>
      </c>
      <c r="G116" s="2">
        <f>IF(_xlfn.XLOOKUP(C116,customers!$A$1:$A$1001,customers!$C$1:$C$1001,,0)=0,"",_xlfn.XLOOKUP(C116,customers!$A$1:$A$1001,customers!$C$1:$C$1001,,0))</f>
        <v/>
      </c>
      <c r="H116" s="2">
        <f>_xlfn.XLOOKUP(C116,customers!$A$1:$A$1001,customers!$G$1:$G$1001,,0)</f>
        <v/>
      </c>
      <c r="I116">
        <f>INDEX(products!$A$1:$G$49,MATCH(orders!$D116,products!$A$1:$A$49,0),MATCH(orders!I$1,products!$A$1:$G$1,0))</f>
        <v/>
      </c>
      <c r="J116">
        <f>INDEX(products!$A$1:$G$49,MATCH(orders!$D116,products!$A$1:$A$49,0),MATCH(orders!J$1,products!$A$1:$G$1,0))</f>
        <v/>
      </c>
      <c r="K116" s="4">
        <f>INDEX(products!$A$1:$G$49,MATCH(orders!$D116,products!$A$1:$A$49,0),MATCH(orders!K$1,products!$A$1:$G$1,0))</f>
        <v/>
      </c>
      <c r="L116" s="5">
        <f>INDEX(products!$A$1:$G$49,MATCH(orders!$D116,products!$A$1:$A$49,0),MATCH(orders!L$1,products!$A$1:$G$1,0))</f>
        <v/>
      </c>
      <c r="M116" s="5">
        <f>L116*E116</f>
        <v/>
      </c>
      <c r="N116">
        <f>IF(I116="Rob","Robusta",IF(I116="Exc","Excelsa",IF(I116="Ara","Arabica",IF(I116="Lib","Liberica",""))))</f>
        <v/>
      </c>
      <c r="O116">
        <f>IF(J116="M","Medium",IF(J116="L","Light",IF(J116="D","Dark","")))</f>
        <v/>
      </c>
      <c r="P116">
        <f>_xlfn.XLOOKUP(Orders[[#This Row],[Customer ID]],customers!$A$1:$A$1001,customers!$I$1:$I$1001,,0)</f>
        <v/>
      </c>
    </row>
    <row r="117">
      <c r="A117" s="2" t="inlineStr">
        <is>
          <t>O3103</t>
        </is>
      </c>
      <c r="B117" s="3" t="inlineStr">
        <is>
          <t>2025-08-31</t>
        </is>
      </c>
      <c r="C117" s="2" t="inlineStr">
        <is>
          <t>O4027</t>
        </is>
      </c>
      <c r="D117" t="inlineStr">
        <is>
          <t>O5901</t>
        </is>
      </c>
      <c r="E117" s="2" t="n">
        <v>141</v>
      </c>
      <c r="F117" s="2">
        <f>_xlfn.XLOOKUP(C117,customers!$A$1:$A$1001,customers!$B$1:$B$1001,,0)</f>
        <v/>
      </c>
      <c r="G117" s="2">
        <f>IF(_xlfn.XLOOKUP(C117,customers!$A$1:$A$1001,customers!$C$1:$C$1001,,0)=0,"",_xlfn.XLOOKUP(C117,customers!$A$1:$A$1001,customers!$C$1:$C$1001,,0))</f>
        <v/>
      </c>
      <c r="H117" s="2">
        <f>_xlfn.XLOOKUP(C117,customers!$A$1:$A$1001,customers!$G$1:$G$1001,,0)</f>
        <v/>
      </c>
      <c r="I117">
        <f>INDEX(products!$A$1:$G$49,MATCH(orders!$D117,products!$A$1:$A$49,0),MATCH(orders!I$1,products!$A$1:$G$1,0))</f>
        <v/>
      </c>
      <c r="J117">
        <f>INDEX(products!$A$1:$G$49,MATCH(orders!$D117,products!$A$1:$A$49,0),MATCH(orders!J$1,products!$A$1:$G$1,0))</f>
        <v/>
      </c>
      <c r="K117" s="4">
        <f>INDEX(products!$A$1:$G$49,MATCH(orders!$D117,products!$A$1:$A$49,0),MATCH(orders!K$1,products!$A$1:$G$1,0))</f>
        <v/>
      </c>
      <c r="L117" s="5">
        <f>INDEX(products!$A$1:$G$49,MATCH(orders!$D117,products!$A$1:$A$49,0),MATCH(orders!L$1,products!$A$1:$G$1,0))</f>
        <v/>
      </c>
      <c r="M117" s="5">
        <f>L117*E117</f>
        <v/>
      </c>
      <c r="N117">
        <f>IF(I117="Rob","Robusta",IF(I117="Exc","Excelsa",IF(I117="Ara","Arabica",IF(I117="Lib","Liberica",""))))</f>
        <v/>
      </c>
      <c r="O117">
        <f>IF(J117="M","Medium",IF(J117="L","Light",IF(J117="D","Dark","")))</f>
        <v/>
      </c>
      <c r="P117">
        <f>_xlfn.XLOOKUP(Orders[[#This Row],[Customer ID]],customers!$A$1:$A$1001,customers!$I$1:$I$1001,,0)</f>
        <v/>
      </c>
    </row>
    <row r="118">
      <c r="A118" s="2" t="inlineStr">
        <is>
          <t>O9703</t>
        </is>
      </c>
      <c r="B118" s="3" t="inlineStr">
        <is>
          <t>2025-05-02</t>
        </is>
      </c>
      <c r="C118" s="2" t="inlineStr">
        <is>
          <t>O7229</t>
        </is>
      </c>
      <c r="D118" t="inlineStr">
        <is>
          <t>O1835</t>
        </is>
      </c>
      <c r="E118" s="2" t="n">
        <v>446</v>
      </c>
      <c r="F118" s="2">
        <f>_xlfn.XLOOKUP(C118,customers!$A$1:$A$1001,customers!$B$1:$B$1001,,0)</f>
        <v/>
      </c>
      <c r="G118" s="2">
        <f>IF(_xlfn.XLOOKUP(C118,customers!$A$1:$A$1001,customers!$C$1:$C$1001,,0)=0,"",_xlfn.XLOOKUP(C118,customers!$A$1:$A$1001,customers!$C$1:$C$1001,,0))</f>
        <v/>
      </c>
      <c r="H118" s="2">
        <f>_xlfn.XLOOKUP(C118,customers!$A$1:$A$1001,customers!$G$1:$G$1001,,0)</f>
        <v/>
      </c>
      <c r="I118">
        <f>INDEX(products!$A$1:$G$49,MATCH(orders!$D118,products!$A$1:$A$49,0),MATCH(orders!I$1,products!$A$1:$G$1,0))</f>
        <v/>
      </c>
      <c r="J118">
        <f>INDEX(products!$A$1:$G$49,MATCH(orders!$D118,products!$A$1:$A$49,0),MATCH(orders!J$1,products!$A$1:$G$1,0))</f>
        <v/>
      </c>
      <c r="K118" s="4">
        <f>INDEX(products!$A$1:$G$49,MATCH(orders!$D118,products!$A$1:$A$49,0),MATCH(orders!K$1,products!$A$1:$G$1,0))</f>
        <v/>
      </c>
      <c r="L118" s="5">
        <f>INDEX(products!$A$1:$G$49,MATCH(orders!$D118,products!$A$1:$A$49,0),MATCH(orders!L$1,products!$A$1:$G$1,0))</f>
        <v/>
      </c>
      <c r="M118" s="5">
        <f>L118*E118</f>
        <v/>
      </c>
      <c r="N118">
        <f>IF(I118="Rob","Robusta",IF(I118="Exc","Excelsa",IF(I118="Ara","Arabica",IF(I118="Lib","Liberica",""))))</f>
        <v/>
      </c>
      <c r="O118">
        <f>IF(J118="M","Medium",IF(J118="L","Light",IF(J118="D","Dark","")))</f>
        <v/>
      </c>
      <c r="P118">
        <f>_xlfn.XLOOKUP(Orders[[#This Row],[Customer ID]],customers!$A$1:$A$1001,customers!$I$1:$I$1001,,0)</f>
        <v/>
      </c>
    </row>
    <row r="119">
      <c r="A119" s="2" t="inlineStr">
        <is>
          <t>O4585</t>
        </is>
      </c>
      <c r="B119" s="3" t="inlineStr">
        <is>
          <t>2020-11-24</t>
        </is>
      </c>
      <c r="C119" s="2" t="inlineStr">
        <is>
          <t>O8408</t>
        </is>
      </c>
      <c r="D119" t="inlineStr">
        <is>
          <t>O9840</t>
        </is>
      </c>
      <c r="E119" s="2" t="n">
        <v>278</v>
      </c>
      <c r="F119" s="2">
        <f>_xlfn.XLOOKUP(C119,customers!$A$1:$A$1001,customers!$B$1:$B$1001,,0)</f>
        <v/>
      </c>
      <c r="G119" s="2">
        <f>IF(_xlfn.XLOOKUP(C119,customers!$A$1:$A$1001,customers!$C$1:$C$1001,,0)=0,"",_xlfn.XLOOKUP(C119,customers!$A$1:$A$1001,customers!$C$1:$C$1001,,0))</f>
        <v/>
      </c>
      <c r="H119" s="2">
        <f>_xlfn.XLOOKUP(C119,customers!$A$1:$A$1001,customers!$G$1:$G$1001,,0)</f>
        <v/>
      </c>
      <c r="I119">
        <f>INDEX(products!$A$1:$G$49,MATCH(orders!$D119,products!$A$1:$A$49,0),MATCH(orders!I$1,products!$A$1:$G$1,0))</f>
        <v/>
      </c>
      <c r="J119">
        <f>INDEX(products!$A$1:$G$49,MATCH(orders!$D119,products!$A$1:$A$49,0),MATCH(orders!J$1,products!$A$1:$G$1,0))</f>
        <v/>
      </c>
      <c r="K119" s="4">
        <f>INDEX(products!$A$1:$G$49,MATCH(orders!$D119,products!$A$1:$A$49,0),MATCH(orders!K$1,products!$A$1:$G$1,0))</f>
        <v/>
      </c>
      <c r="L119" s="5">
        <f>INDEX(products!$A$1:$G$49,MATCH(orders!$D119,products!$A$1:$A$49,0),MATCH(orders!L$1,products!$A$1:$G$1,0))</f>
        <v/>
      </c>
      <c r="M119" s="5">
        <f>L119*E119</f>
        <v/>
      </c>
      <c r="N119">
        <f>IF(I119="Rob","Robusta",IF(I119="Exc","Excelsa",IF(I119="Ara","Arabica",IF(I119="Lib","Liberica",""))))</f>
        <v/>
      </c>
      <c r="O119">
        <f>IF(J119="M","Medium",IF(J119="L","Light",IF(J119="D","Dark","")))</f>
        <v/>
      </c>
      <c r="P119">
        <f>_xlfn.XLOOKUP(Orders[[#This Row],[Customer ID]],customers!$A$1:$A$1001,customers!$I$1:$I$1001,,0)</f>
        <v/>
      </c>
    </row>
    <row r="120">
      <c r="A120" s="2" t="inlineStr">
        <is>
          <t>O8903</t>
        </is>
      </c>
      <c r="B120" s="3" t="inlineStr">
        <is>
          <t>2023-12-22</t>
        </is>
      </c>
      <c r="C120" s="2" t="inlineStr">
        <is>
          <t>O6243</t>
        </is>
      </c>
      <c r="D120" t="inlineStr">
        <is>
          <t>O3035</t>
        </is>
      </c>
      <c r="E120" s="2" t="n">
        <v>254</v>
      </c>
      <c r="F120" s="2">
        <f>_xlfn.XLOOKUP(C120,customers!$A$1:$A$1001,customers!$B$1:$B$1001,,0)</f>
        <v/>
      </c>
      <c r="G120" s="2">
        <f>IF(_xlfn.XLOOKUP(C120,customers!$A$1:$A$1001,customers!$C$1:$C$1001,,0)=0,"",_xlfn.XLOOKUP(C120,customers!$A$1:$A$1001,customers!$C$1:$C$1001,,0))</f>
        <v/>
      </c>
      <c r="H120" s="2">
        <f>_xlfn.XLOOKUP(C120,customers!$A$1:$A$1001,customers!$G$1:$G$1001,,0)</f>
        <v/>
      </c>
      <c r="I120">
        <f>INDEX(products!$A$1:$G$49,MATCH(orders!$D120,products!$A$1:$A$49,0),MATCH(orders!I$1,products!$A$1:$G$1,0))</f>
        <v/>
      </c>
      <c r="J120">
        <f>INDEX(products!$A$1:$G$49,MATCH(orders!$D120,products!$A$1:$A$49,0),MATCH(orders!J$1,products!$A$1:$G$1,0))</f>
        <v/>
      </c>
      <c r="K120" s="4">
        <f>INDEX(products!$A$1:$G$49,MATCH(orders!$D120,products!$A$1:$A$49,0),MATCH(orders!K$1,products!$A$1:$G$1,0))</f>
        <v/>
      </c>
      <c r="L120" s="5">
        <f>INDEX(products!$A$1:$G$49,MATCH(orders!$D120,products!$A$1:$A$49,0),MATCH(orders!L$1,products!$A$1:$G$1,0))</f>
        <v/>
      </c>
      <c r="M120" s="5">
        <f>L120*E120</f>
        <v/>
      </c>
      <c r="N120">
        <f>IF(I120="Rob","Robusta",IF(I120="Exc","Excelsa",IF(I120="Ara","Arabica",IF(I120="Lib","Liberica",""))))</f>
        <v/>
      </c>
      <c r="O120">
        <f>IF(J120="M","Medium",IF(J120="L","Light",IF(J120="D","Dark","")))</f>
        <v/>
      </c>
      <c r="P120">
        <f>_xlfn.XLOOKUP(Orders[[#This Row],[Customer ID]],customers!$A$1:$A$1001,customers!$I$1:$I$1001,,0)</f>
        <v/>
      </c>
    </row>
    <row r="121">
      <c r="A121" s="2" t="inlineStr">
        <is>
          <t>O7587</t>
        </is>
      </c>
      <c r="B121" s="3" t="inlineStr">
        <is>
          <t>2024-02-24</t>
        </is>
      </c>
      <c r="C121" s="2" t="inlineStr">
        <is>
          <t>O7051</t>
        </is>
      </c>
      <c r="D121" t="inlineStr">
        <is>
          <t>O8202</t>
        </is>
      </c>
      <c r="E121" s="2" t="n">
        <v>453</v>
      </c>
      <c r="F121" s="2">
        <f>_xlfn.XLOOKUP(C121,customers!$A$1:$A$1001,customers!$B$1:$B$1001,,0)</f>
        <v/>
      </c>
      <c r="G121" s="2">
        <f>IF(_xlfn.XLOOKUP(C121,customers!$A$1:$A$1001,customers!$C$1:$C$1001,,0)=0,"",_xlfn.XLOOKUP(C121,customers!$A$1:$A$1001,customers!$C$1:$C$1001,,0))</f>
        <v/>
      </c>
      <c r="H121" s="2">
        <f>_xlfn.XLOOKUP(C121,customers!$A$1:$A$1001,customers!$G$1:$G$1001,,0)</f>
        <v/>
      </c>
      <c r="I121">
        <f>INDEX(products!$A$1:$G$49,MATCH(orders!$D121,products!$A$1:$A$49,0),MATCH(orders!I$1,products!$A$1:$G$1,0))</f>
        <v/>
      </c>
      <c r="J121">
        <f>INDEX(products!$A$1:$G$49,MATCH(orders!$D121,products!$A$1:$A$49,0),MATCH(orders!J$1,products!$A$1:$G$1,0))</f>
        <v/>
      </c>
      <c r="K121" s="4">
        <f>INDEX(products!$A$1:$G$49,MATCH(orders!$D121,products!$A$1:$A$49,0),MATCH(orders!K$1,products!$A$1:$G$1,0))</f>
        <v/>
      </c>
      <c r="L121" s="5">
        <f>INDEX(products!$A$1:$G$49,MATCH(orders!$D121,products!$A$1:$A$49,0),MATCH(orders!L$1,products!$A$1:$G$1,0))</f>
        <v/>
      </c>
      <c r="M121" s="5">
        <f>L121*E121</f>
        <v/>
      </c>
      <c r="N121">
        <f>IF(I121="Rob","Robusta",IF(I121="Exc","Excelsa",IF(I121="Ara","Arabica",IF(I121="Lib","Liberica",""))))</f>
        <v/>
      </c>
      <c r="O121">
        <f>IF(J121="M","Medium",IF(J121="L","Light",IF(J121="D","Dark","")))</f>
        <v/>
      </c>
      <c r="P121">
        <f>_xlfn.XLOOKUP(Orders[[#This Row],[Customer ID]],customers!$A$1:$A$1001,customers!$I$1:$I$1001,,0)</f>
        <v/>
      </c>
    </row>
    <row r="122">
      <c r="A122" s="2" t="inlineStr">
        <is>
          <t>O8905</t>
        </is>
      </c>
      <c r="B122" s="3" t="inlineStr">
        <is>
          <t>2022-06-22</t>
        </is>
      </c>
      <c r="C122" s="2" t="inlineStr">
        <is>
          <t>O8660</t>
        </is>
      </c>
      <c r="D122" t="inlineStr">
        <is>
          <t>O2218</t>
        </is>
      </c>
      <c r="E122" s="2" t="n">
        <v>295</v>
      </c>
      <c r="F122" s="2">
        <f>_xlfn.XLOOKUP(C122,customers!$A$1:$A$1001,customers!$B$1:$B$1001,,0)</f>
        <v/>
      </c>
      <c r="G122" s="2">
        <f>IF(_xlfn.XLOOKUP(C122,customers!$A$1:$A$1001,customers!$C$1:$C$1001,,0)=0,"",_xlfn.XLOOKUP(C122,customers!$A$1:$A$1001,customers!$C$1:$C$1001,,0))</f>
        <v/>
      </c>
      <c r="H122" s="2">
        <f>_xlfn.XLOOKUP(C122,customers!$A$1:$A$1001,customers!$G$1:$G$1001,,0)</f>
        <v/>
      </c>
      <c r="I122">
        <f>INDEX(products!$A$1:$G$49,MATCH(orders!$D122,products!$A$1:$A$49,0),MATCH(orders!I$1,products!$A$1:$G$1,0))</f>
        <v/>
      </c>
      <c r="J122">
        <f>INDEX(products!$A$1:$G$49,MATCH(orders!$D122,products!$A$1:$A$49,0),MATCH(orders!J$1,products!$A$1:$G$1,0))</f>
        <v/>
      </c>
      <c r="K122" s="4">
        <f>INDEX(products!$A$1:$G$49,MATCH(orders!$D122,products!$A$1:$A$49,0),MATCH(orders!K$1,products!$A$1:$G$1,0))</f>
        <v/>
      </c>
      <c r="L122" s="5">
        <f>INDEX(products!$A$1:$G$49,MATCH(orders!$D122,products!$A$1:$A$49,0),MATCH(orders!L$1,products!$A$1:$G$1,0))</f>
        <v/>
      </c>
      <c r="M122" s="5">
        <f>L122*E122</f>
        <v/>
      </c>
      <c r="N122">
        <f>IF(I122="Rob","Robusta",IF(I122="Exc","Excelsa",IF(I122="Ara","Arabica",IF(I122="Lib","Liberica",""))))</f>
        <v/>
      </c>
      <c r="O122">
        <f>IF(J122="M","Medium",IF(J122="L","Light",IF(J122="D","Dark","")))</f>
        <v/>
      </c>
      <c r="P122">
        <f>_xlfn.XLOOKUP(Orders[[#This Row],[Customer ID]],customers!$A$1:$A$1001,customers!$I$1:$I$1001,,0)</f>
        <v/>
      </c>
    </row>
    <row r="123">
      <c r="A123" s="2" t="inlineStr">
        <is>
          <t>O5529</t>
        </is>
      </c>
      <c r="B123" s="3" t="inlineStr">
        <is>
          <t>2023-05-10</t>
        </is>
      </c>
      <c r="C123" s="2" t="inlineStr">
        <is>
          <t>O6681</t>
        </is>
      </c>
      <c r="D123" t="inlineStr">
        <is>
          <t>O3285</t>
        </is>
      </c>
      <c r="E123" s="2" t="n">
        <v>364</v>
      </c>
      <c r="F123" s="2">
        <f>_xlfn.XLOOKUP(C123,customers!$A$1:$A$1001,customers!$B$1:$B$1001,,0)</f>
        <v/>
      </c>
      <c r="G123" s="2">
        <f>IF(_xlfn.XLOOKUP(C123,customers!$A$1:$A$1001,customers!$C$1:$C$1001,,0)=0,"",_xlfn.XLOOKUP(C123,customers!$A$1:$A$1001,customers!$C$1:$C$1001,,0))</f>
        <v/>
      </c>
      <c r="H123" s="2">
        <f>_xlfn.XLOOKUP(C123,customers!$A$1:$A$1001,customers!$G$1:$G$1001,,0)</f>
        <v/>
      </c>
      <c r="I123">
        <f>INDEX(products!$A$1:$G$49,MATCH(orders!$D123,products!$A$1:$A$49,0),MATCH(orders!I$1,products!$A$1:$G$1,0))</f>
        <v/>
      </c>
      <c r="J123">
        <f>INDEX(products!$A$1:$G$49,MATCH(orders!$D123,products!$A$1:$A$49,0),MATCH(orders!J$1,products!$A$1:$G$1,0))</f>
        <v/>
      </c>
      <c r="K123" s="4">
        <f>INDEX(products!$A$1:$G$49,MATCH(orders!$D123,products!$A$1:$A$49,0),MATCH(orders!K$1,products!$A$1:$G$1,0))</f>
        <v/>
      </c>
      <c r="L123" s="5">
        <f>INDEX(products!$A$1:$G$49,MATCH(orders!$D123,products!$A$1:$A$49,0),MATCH(orders!L$1,products!$A$1:$G$1,0))</f>
        <v/>
      </c>
      <c r="M123" s="5">
        <f>L123*E123</f>
        <v/>
      </c>
      <c r="N123">
        <f>IF(I123="Rob","Robusta",IF(I123="Exc","Excelsa",IF(I123="Ara","Arabica",IF(I123="Lib","Liberica",""))))</f>
        <v/>
      </c>
      <c r="O123">
        <f>IF(J123="M","Medium",IF(J123="L","Light",IF(J123="D","Dark","")))</f>
        <v/>
      </c>
      <c r="P123">
        <f>_xlfn.XLOOKUP(Orders[[#This Row],[Customer ID]],customers!$A$1:$A$1001,customers!$I$1:$I$1001,,0)</f>
        <v/>
      </c>
    </row>
    <row r="124">
      <c r="A124" s="2" t="inlineStr">
        <is>
          <t>O4491</t>
        </is>
      </c>
      <c r="B124" s="3" t="inlineStr">
        <is>
          <t>2021-01-07</t>
        </is>
      </c>
      <c r="C124" s="2" t="inlineStr">
        <is>
          <t>O8643</t>
        </is>
      </c>
      <c r="D124" t="inlineStr">
        <is>
          <t>O1426</t>
        </is>
      </c>
      <c r="E124" s="2" t="n">
        <v>292</v>
      </c>
      <c r="F124" s="2">
        <f>_xlfn.XLOOKUP(C124,customers!$A$1:$A$1001,customers!$B$1:$B$1001,,0)</f>
        <v/>
      </c>
      <c r="G124" s="2">
        <f>IF(_xlfn.XLOOKUP(C124,customers!$A$1:$A$1001,customers!$C$1:$C$1001,,0)=0,"",_xlfn.XLOOKUP(C124,customers!$A$1:$A$1001,customers!$C$1:$C$1001,,0))</f>
        <v/>
      </c>
      <c r="H124" s="2">
        <f>_xlfn.XLOOKUP(C124,customers!$A$1:$A$1001,customers!$G$1:$G$1001,,0)</f>
        <v/>
      </c>
      <c r="I124">
        <f>INDEX(products!$A$1:$G$49,MATCH(orders!$D124,products!$A$1:$A$49,0),MATCH(orders!I$1,products!$A$1:$G$1,0))</f>
        <v/>
      </c>
      <c r="J124">
        <f>INDEX(products!$A$1:$G$49,MATCH(orders!$D124,products!$A$1:$A$49,0),MATCH(orders!J$1,products!$A$1:$G$1,0))</f>
        <v/>
      </c>
      <c r="K124" s="4">
        <f>INDEX(products!$A$1:$G$49,MATCH(orders!$D124,products!$A$1:$A$49,0),MATCH(orders!K$1,products!$A$1:$G$1,0))</f>
        <v/>
      </c>
      <c r="L124" s="5">
        <f>INDEX(products!$A$1:$G$49,MATCH(orders!$D124,products!$A$1:$A$49,0),MATCH(orders!L$1,products!$A$1:$G$1,0))</f>
        <v/>
      </c>
      <c r="M124" s="5">
        <f>L124*E124</f>
        <v/>
      </c>
      <c r="N124">
        <f>IF(I124="Rob","Robusta",IF(I124="Exc","Excelsa",IF(I124="Ara","Arabica",IF(I124="Lib","Liberica",""))))</f>
        <v/>
      </c>
      <c r="O124">
        <f>IF(J124="M","Medium",IF(J124="L","Light",IF(J124="D","Dark","")))</f>
        <v/>
      </c>
      <c r="P124">
        <f>_xlfn.XLOOKUP(Orders[[#This Row],[Customer ID]],customers!$A$1:$A$1001,customers!$I$1:$I$1001,,0)</f>
        <v/>
      </c>
    </row>
    <row r="125">
      <c r="A125" s="2" t="inlineStr">
        <is>
          <t>O3383</t>
        </is>
      </c>
      <c r="B125" s="3" t="inlineStr">
        <is>
          <t>2021-05-11</t>
        </is>
      </c>
      <c r="C125" s="2" t="inlineStr">
        <is>
          <t>O7623</t>
        </is>
      </c>
      <c r="D125" t="inlineStr">
        <is>
          <t>O4801</t>
        </is>
      </c>
      <c r="E125" s="2" t="n">
        <v>167</v>
      </c>
      <c r="F125" s="2">
        <f>_xlfn.XLOOKUP(C125,customers!$A$1:$A$1001,customers!$B$1:$B$1001,,0)</f>
        <v/>
      </c>
      <c r="G125" s="2">
        <f>IF(_xlfn.XLOOKUP(C125,customers!$A$1:$A$1001,customers!$C$1:$C$1001,,0)=0,"",_xlfn.XLOOKUP(C125,customers!$A$1:$A$1001,customers!$C$1:$C$1001,,0))</f>
        <v/>
      </c>
      <c r="H125" s="2">
        <f>_xlfn.XLOOKUP(C125,customers!$A$1:$A$1001,customers!$G$1:$G$1001,,0)</f>
        <v/>
      </c>
      <c r="I125">
        <f>INDEX(products!$A$1:$G$49,MATCH(orders!$D125,products!$A$1:$A$49,0),MATCH(orders!I$1,products!$A$1:$G$1,0))</f>
        <v/>
      </c>
      <c r="J125">
        <f>INDEX(products!$A$1:$G$49,MATCH(orders!$D125,products!$A$1:$A$49,0),MATCH(orders!J$1,products!$A$1:$G$1,0))</f>
        <v/>
      </c>
      <c r="K125" s="4">
        <f>INDEX(products!$A$1:$G$49,MATCH(orders!$D125,products!$A$1:$A$49,0),MATCH(orders!K$1,products!$A$1:$G$1,0))</f>
        <v/>
      </c>
      <c r="L125" s="5">
        <f>INDEX(products!$A$1:$G$49,MATCH(orders!$D125,products!$A$1:$A$49,0),MATCH(orders!L$1,products!$A$1:$G$1,0))</f>
        <v/>
      </c>
      <c r="M125" s="5">
        <f>L125*E125</f>
        <v/>
      </c>
      <c r="N125">
        <f>IF(I125="Rob","Robusta",IF(I125="Exc","Excelsa",IF(I125="Ara","Arabica",IF(I125="Lib","Liberica",""))))</f>
        <v/>
      </c>
      <c r="O125">
        <f>IF(J125="M","Medium",IF(J125="L","Light",IF(J125="D","Dark","")))</f>
        <v/>
      </c>
      <c r="P125">
        <f>_xlfn.XLOOKUP(Orders[[#This Row],[Customer ID]],customers!$A$1:$A$1001,customers!$I$1:$I$1001,,0)</f>
        <v/>
      </c>
    </row>
    <row r="126">
      <c r="A126" s="2" t="inlineStr">
        <is>
          <t>O6291</t>
        </is>
      </c>
      <c r="B126" s="3" t="inlineStr">
        <is>
          <t>2020-11-16</t>
        </is>
      </c>
      <c r="C126" s="2" t="inlineStr">
        <is>
          <t>O8736</t>
        </is>
      </c>
      <c r="D126" t="inlineStr">
        <is>
          <t>O6873</t>
        </is>
      </c>
      <c r="E126" s="2" t="n">
        <v>162</v>
      </c>
      <c r="F126" s="2">
        <f>_xlfn.XLOOKUP(C126,customers!$A$1:$A$1001,customers!$B$1:$B$1001,,0)</f>
        <v/>
      </c>
      <c r="G126" s="2">
        <f>IF(_xlfn.XLOOKUP(C126,customers!$A$1:$A$1001,customers!$C$1:$C$1001,,0)=0,"",_xlfn.XLOOKUP(C126,customers!$A$1:$A$1001,customers!$C$1:$C$1001,,0))</f>
        <v/>
      </c>
      <c r="H126" s="2">
        <f>_xlfn.XLOOKUP(C126,customers!$A$1:$A$1001,customers!$G$1:$G$1001,,0)</f>
        <v/>
      </c>
      <c r="I126">
        <f>INDEX(products!$A$1:$G$49,MATCH(orders!$D126,products!$A$1:$A$49,0),MATCH(orders!I$1,products!$A$1:$G$1,0))</f>
        <v/>
      </c>
      <c r="J126">
        <f>INDEX(products!$A$1:$G$49,MATCH(orders!$D126,products!$A$1:$A$49,0),MATCH(orders!J$1,products!$A$1:$G$1,0))</f>
        <v/>
      </c>
      <c r="K126" s="4">
        <f>INDEX(products!$A$1:$G$49,MATCH(orders!$D126,products!$A$1:$A$49,0),MATCH(orders!K$1,products!$A$1:$G$1,0))</f>
        <v/>
      </c>
      <c r="L126" s="5">
        <f>INDEX(products!$A$1:$G$49,MATCH(orders!$D126,products!$A$1:$A$49,0),MATCH(orders!L$1,products!$A$1:$G$1,0))</f>
        <v/>
      </c>
      <c r="M126" s="5">
        <f>L126*E126</f>
        <v/>
      </c>
      <c r="N126">
        <f>IF(I126="Rob","Robusta",IF(I126="Exc","Excelsa",IF(I126="Ara","Arabica",IF(I126="Lib","Liberica",""))))</f>
        <v/>
      </c>
      <c r="O126">
        <f>IF(J126="M","Medium",IF(J126="L","Light",IF(J126="D","Dark","")))</f>
        <v/>
      </c>
      <c r="P126">
        <f>_xlfn.XLOOKUP(Orders[[#This Row],[Customer ID]],customers!$A$1:$A$1001,customers!$I$1:$I$1001,,0)</f>
        <v/>
      </c>
    </row>
    <row r="127">
      <c r="A127" s="2" t="inlineStr">
        <is>
          <t>O6974</t>
        </is>
      </c>
      <c r="B127" s="3" t="inlineStr">
        <is>
          <t>2024-05-13</t>
        </is>
      </c>
      <c r="C127" s="2" t="inlineStr">
        <is>
          <t>O6651</t>
        </is>
      </c>
      <c r="D127" t="inlineStr">
        <is>
          <t>O4312</t>
        </is>
      </c>
      <c r="E127" s="2" t="n">
        <v>226</v>
      </c>
      <c r="F127" s="2">
        <f>_xlfn.XLOOKUP(C127,customers!$A$1:$A$1001,customers!$B$1:$B$1001,,0)</f>
        <v/>
      </c>
      <c r="G127" s="2">
        <f>IF(_xlfn.XLOOKUP(C127,customers!$A$1:$A$1001,customers!$C$1:$C$1001,,0)=0,"",_xlfn.XLOOKUP(C127,customers!$A$1:$A$1001,customers!$C$1:$C$1001,,0))</f>
        <v/>
      </c>
      <c r="H127" s="2">
        <f>_xlfn.XLOOKUP(C127,customers!$A$1:$A$1001,customers!$G$1:$G$1001,,0)</f>
        <v/>
      </c>
      <c r="I127">
        <f>INDEX(products!$A$1:$G$49,MATCH(orders!$D127,products!$A$1:$A$49,0),MATCH(orders!I$1,products!$A$1:$G$1,0))</f>
        <v/>
      </c>
      <c r="J127">
        <f>INDEX(products!$A$1:$G$49,MATCH(orders!$D127,products!$A$1:$A$49,0),MATCH(orders!J$1,products!$A$1:$G$1,0))</f>
        <v/>
      </c>
      <c r="K127" s="4">
        <f>INDEX(products!$A$1:$G$49,MATCH(orders!$D127,products!$A$1:$A$49,0),MATCH(orders!K$1,products!$A$1:$G$1,0))</f>
        <v/>
      </c>
      <c r="L127" s="5">
        <f>INDEX(products!$A$1:$G$49,MATCH(orders!$D127,products!$A$1:$A$49,0),MATCH(orders!L$1,products!$A$1:$G$1,0))</f>
        <v/>
      </c>
      <c r="M127" s="5">
        <f>L127*E127</f>
        <v/>
      </c>
      <c r="N127">
        <f>IF(I127="Rob","Robusta",IF(I127="Exc","Excelsa",IF(I127="Ara","Arabica",IF(I127="Lib","Liberica",""))))</f>
        <v/>
      </c>
      <c r="O127">
        <f>IF(J127="M","Medium",IF(J127="L","Light",IF(J127="D","Dark","")))</f>
        <v/>
      </c>
      <c r="P127">
        <f>_xlfn.XLOOKUP(Orders[[#This Row],[Customer ID]],customers!$A$1:$A$1001,customers!$I$1:$I$1001,,0)</f>
        <v/>
      </c>
    </row>
    <row r="128">
      <c r="A128" s="2" t="inlineStr">
        <is>
          <t>O9528</t>
        </is>
      </c>
      <c r="B128" s="3" t="inlineStr">
        <is>
          <t>2020-09-29</t>
        </is>
      </c>
      <c r="C128" s="2" t="inlineStr">
        <is>
          <t>O4575</t>
        </is>
      </c>
      <c r="D128" t="inlineStr">
        <is>
          <t>O3982</t>
        </is>
      </c>
      <c r="E128" s="2" t="n">
        <v>106</v>
      </c>
      <c r="F128" s="2">
        <f>_xlfn.XLOOKUP(C128,customers!$A$1:$A$1001,customers!$B$1:$B$1001,,0)</f>
        <v/>
      </c>
      <c r="G128" s="2">
        <f>IF(_xlfn.XLOOKUP(C128,customers!$A$1:$A$1001,customers!$C$1:$C$1001,,0)=0,"",_xlfn.XLOOKUP(C128,customers!$A$1:$A$1001,customers!$C$1:$C$1001,,0))</f>
        <v/>
      </c>
      <c r="H128" s="2">
        <f>_xlfn.XLOOKUP(C128,customers!$A$1:$A$1001,customers!$G$1:$G$1001,,0)</f>
        <v/>
      </c>
      <c r="I128">
        <f>INDEX(products!$A$1:$G$49,MATCH(orders!$D128,products!$A$1:$A$49,0),MATCH(orders!I$1,products!$A$1:$G$1,0))</f>
        <v/>
      </c>
      <c r="J128">
        <f>INDEX(products!$A$1:$G$49,MATCH(orders!$D128,products!$A$1:$A$49,0),MATCH(orders!J$1,products!$A$1:$G$1,0))</f>
        <v/>
      </c>
      <c r="K128" s="4">
        <f>INDEX(products!$A$1:$G$49,MATCH(orders!$D128,products!$A$1:$A$49,0),MATCH(orders!K$1,products!$A$1:$G$1,0))</f>
        <v/>
      </c>
      <c r="L128" s="5">
        <f>INDEX(products!$A$1:$G$49,MATCH(orders!$D128,products!$A$1:$A$49,0),MATCH(orders!L$1,products!$A$1:$G$1,0))</f>
        <v/>
      </c>
      <c r="M128" s="5">
        <f>L128*E128</f>
        <v/>
      </c>
      <c r="N128">
        <f>IF(I128="Rob","Robusta",IF(I128="Exc","Excelsa",IF(I128="Ara","Arabica",IF(I128="Lib","Liberica",""))))</f>
        <v/>
      </c>
      <c r="O128">
        <f>IF(J128="M","Medium",IF(J128="L","Light",IF(J128="D","Dark","")))</f>
        <v/>
      </c>
      <c r="P128">
        <f>_xlfn.XLOOKUP(Orders[[#This Row],[Customer ID]],customers!$A$1:$A$1001,customers!$I$1:$I$1001,,0)</f>
        <v/>
      </c>
    </row>
    <row r="129">
      <c r="A129" s="2" t="inlineStr">
        <is>
          <t>O1230</t>
        </is>
      </c>
      <c r="B129" s="3" t="inlineStr">
        <is>
          <t>2024-12-30</t>
        </is>
      </c>
      <c r="C129" s="2" t="inlineStr">
        <is>
          <t>O2497</t>
        </is>
      </c>
      <c r="D129" t="inlineStr">
        <is>
          <t>O6118</t>
        </is>
      </c>
      <c r="E129" s="2" t="n">
        <v>109</v>
      </c>
      <c r="F129" s="2">
        <f>_xlfn.XLOOKUP(C129,customers!$A$1:$A$1001,customers!$B$1:$B$1001,,0)</f>
        <v/>
      </c>
      <c r="G129" s="2">
        <f>IF(_xlfn.XLOOKUP(C129,customers!$A$1:$A$1001,customers!$C$1:$C$1001,,0)=0,"",_xlfn.XLOOKUP(C129,customers!$A$1:$A$1001,customers!$C$1:$C$1001,,0))</f>
        <v/>
      </c>
      <c r="H129" s="2">
        <f>_xlfn.XLOOKUP(C129,customers!$A$1:$A$1001,customers!$G$1:$G$1001,,0)</f>
        <v/>
      </c>
      <c r="I129">
        <f>INDEX(products!$A$1:$G$49,MATCH(orders!$D129,products!$A$1:$A$49,0),MATCH(orders!I$1,products!$A$1:$G$1,0))</f>
        <v/>
      </c>
      <c r="J129">
        <f>INDEX(products!$A$1:$G$49,MATCH(orders!$D129,products!$A$1:$A$49,0),MATCH(orders!J$1,products!$A$1:$G$1,0))</f>
        <v/>
      </c>
      <c r="K129" s="4">
        <f>INDEX(products!$A$1:$G$49,MATCH(orders!$D129,products!$A$1:$A$49,0),MATCH(orders!K$1,products!$A$1:$G$1,0))</f>
        <v/>
      </c>
      <c r="L129" s="5">
        <f>INDEX(products!$A$1:$G$49,MATCH(orders!$D129,products!$A$1:$A$49,0),MATCH(orders!L$1,products!$A$1:$G$1,0))</f>
        <v/>
      </c>
      <c r="M129" s="5">
        <f>L129*E129</f>
        <v/>
      </c>
      <c r="N129">
        <f>IF(I129="Rob","Robusta",IF(I129="Exc","Excelsa",IF(I129="Ara","Arabica",IF(I129="Lib","Liberica",""))))</f>
        <v/>
      </c>
      <c r="O129">
        <f>IF(J129="M","Medium",IF(J129="L","Light",IF(J129="D","Dark","")))</f>
        <v/>
      </c>
      <c r="P129">
        <f>_xlfn.XLOOKUP(Orders[[#This Row],[Customer ID]],customers!$A$1:$A$1001,customers!$I$1:$I$1001,,0)</f>
        <v/>
      </c>
    </row>
    <row r="130">
      <c r="A130" s="2" t="inlineStr">
        <is>
          <t>O6566</t>
        </is>
      </c>
      <c r="B130" s="3" t="inlineStr">
        <is>
          <t>2025-07-01</t>
        </is>
      </c>
      <c r="C130" s="2" t="inlineStr">
        <is>
          <t>O6029</t>
        </is>
      </c>
      <c r="D130" t="inlineStr">
        <is>
          <t>O4550</t>
        </is>
      </c>
      <c r="E130" s="2" t="n">
        <v>366</v>
      </c>
      <c r="F130" s="2">
        <f>_xlfn.XLOOKUP(C130,customers!$A$1:$A$1001,customers!$B$1:$B$1001,,0)</f>
        <v/>
      </c>
      <c r="G130" s="2">
        <f>IF(_xlfn.XLOOKUP(C130,customers!$A$1:$A$1001,customers!$C$1:$C$1001,,0)=0,"",_xlfn.XLOOKUP(C130,customers!$A$1:$A$1001,customers!$C$1:$C$1001,,0))</f>
        <v/>
      </c>
      <c r="H130" s="2">
        <f>_xlfn.XLOOKUP(C130,customers!$A$1:$A$1001,customers!$G$1:$G$1001,,0)</f>
        <v/>
      </c>
      <c r="I130">
        <f>INDEX(products!$A$1:$G$49,MATCH(orders!$D130,products!$A$1:$A$49,0),MATCH(orders!I$1,products!$A$1:$G$1,0))</f>
        <v/>
      </c>
      <c r="J130">
        <f>INDEX(products!$A$1:$G$49,MATCH(orders!$D130,products!$A$1:$A$49,0),MATCH(orders!J$1,products!$A$1:$G$1,0))</f>
        <v/>
      </c>
      <c r="K130" s="4">
        <f>INDEX(products!$A$1:$G$49,MATCH(orders!$D130,products!$A$1:$A$49,0),MATCH(orders!K$1,products!$A$1:$G$1,0))</f>
        <v/>
      </c>
      <c r="L130" s="5">
        <f>INDEX(products!$A$1:$G$49,MATCH(orders!$D130,products!$A$1:$A$49,0),MATCH(orders!L$1,products!$A$1:$G$1,0))</f>
        <v/>
      </c>
      <c r="M130" s="5">
        <f>L130*E130</f>
        <v/>
      </c>
      <c r="N130">
        <f>IF(I130="Rob","Robusta",IF(I130="Exc","Excelsa",IF(I130="Ara","Arabica",IF(I130="Lib","Liberica",""))))</f>
        <v/>
      </c>
      <c r="O130">
        <f>IF(J130="M","Medium",IF(J130="L","Light",IF(J130="D","Dark","")))</f>
        <v/>
      </c>
      <c r="P130">
        <f>_xlfn.XLOOKUP(Orders[[#This Row],[Customer ID]],customers!$A$1:$A$1001,customers!$I$1:$I$1001,,0)</f>
        <v/>
      </c>
    </row>
    <row r="131">
      <c r="A131" s="2" t="inlineStr">
        <is>
          <t>O2362</t>
        </is>
      </c>
      <c r="B131" s="3" t="inlineStr">
        <is>
          <t>2021-11-11</t>
        </is>
      </c>
      <c r="C131" s="2" t="inlineStr">
        <is>
          <t>O5833</t>
        </is>
      </c>
      <c r="D131" t="inlineStr">
        <is>
          <t>O2367</t>
        </is>
      </c>
      <c r="E131" s="2" t="n">
        <v>92</v>
      </c>
      <c r="F131" s="2">
        <f>_xlfn.XLOOKUP(C131,customers!$A$1:$A$1001,customers!$B$1:$B$1001,,0)</f>
        <v/>
      </c>
      <c r="G131" s="2">
        <f>IF(_xlfn.XLOOKUP(C131,customers!$A$1:$A$1001,customers!$C$1:$C$1001,,0)=0,"",_xlfn.XLOOKUP(C131,customers!$A$1:$A$1001,customers!$C$1:$C$1001,,0))</f>
        <v/>
      </c>
      <c r="H131" s="2">
        <f>_xlfn.XLOOKUP(C131,customers!$A$1:$A$1001,customers!$G$1:$G$1001,,0)</f>
        <v/>
      </c>
      <c r="I131">
        <f>INDEX(products!$A$1:$G$49,MATCH(orders!$D131,products!$A$1:$A$49,0),MATCH(orders!I$1,products!$A$1:$G$1,0))</f>
        <v/>
      </c>
      <c r="J131">
        <f>INDEX(products!$A$1:$G$49,MATCH(orders!$D131,products!$A$1:$A$49,0),MATCH(orders!J$1,products!$A$1:$G$1,0))</f>
        <v/>
      </c>
      <c r="K131" s="4">
        <f>INDEX(products!$A$1:$G$49,MATCH(orders!$D131,products!$A$1:$A$49,0),MATCH(orders!K$1,products!$A$1:$G$1,0))</f>
        <v/>
      </c>
      <c r="L131" s="5">
        <f>INDEX(products!$A$1:$G$49,MATCH(orders!$D131,products!$A$1:$A$49,0),MATCH(orders!L$1,products!$A$1:$G$1,0))</f>
        <v/>
      </c>
      <c r="M131" s="5">
        <f>L131*E131</f>
        <v/>
      </c>
      <c r="N131">
        <f>IF(I131="Rob","Robusta",IF(I131="Exc","Excelsa",IF(I131="Ara","Arabica",IF(I131="Lib","Liberica",""))))</f>
        <v/>
      </c>
      <c r="O131">
        <f>IF(J131="M","Medium",IF(J131="L","Light",IF(J131="D","Dark","")))</f>
        <v/>
      </c>
      <c r="P131">
        <f>_xlfn.XLOOKUP(Orders[[#This Row],[Customer ID]],customers!$A$1:$A$1001,customers!$I$1:$I$1001,,0)</f>
        <v/>
      </c>
    </row>
    <row r="132">
      <c r="A132" s="2" t="inlineStr">
        <is>
          <t>O5881</t>
        </is>
      </c>
      <c r="B132" s="3" t="inlineStr">
        <is>
          <t>2025-09-08</t>
        </is>
      </c>
      <c r="C132" s="2" t="inlineStr">
        <is>
          <t>O1339</t>
        </is>
      </c>
      <c r="D132" t="inlineStr">
        <is>
          <t>O6648</t>
        </is>
      </c>
      <c r="E132" s="2" t="n">
        <v>3</v>
      </c>
      <c r="F132" s="2">
        <f>_xlfn.XLOOKUP(C132,customers!$A$1:$A$1001,customers!$B$1:$B$1001,,0)</f>
        <v/>
      </c>
      <c r="G132" s="2">
        <f>IF(_xlfn.XLOOKUP(C132,customers!$A$1:$A$1001,customers!$C$1:$C$1001,,0)=0,"",_xlfn.XLOOKUP(C132,customers!$A$1:$A$1001,customers!$C$1:$C$1001,,0))</f>
        <v/>
      </c>
      <c r="H132" s="2">
        <f>_xlfn.XLOOKUP(C132,customers!$A$1:$A$1001,customers!$G$1:$G$1001,,0)</f>
        <v/>
      </c>
      <c r="I132">
        <f>INDEX(products!$A$1:$G$49,MATCH(orders!$D132,products!$A$1:$A$49,0),MATCH(orders!I$1,products!$A$1:$G$1,0))</f>
        <v/>
      </c>
      <c r="J132">
        <f>INDEX(products!$A$1:$G$49,MATCH(orders!$D132,products!$A$1:$A$49,0),MATCH(orders!J$1,products!$A$1:$G$1,0))</f>
        <v/>
      </c>
      <c r="K132" s="4">
        <f>INDEX(products!$A$1:$G$49,MATCH(orders!$D132,products!$A$1:$A$49,0),MATCH(orders!K$1,products!$A$1:$G$1,0))</f>
        <v/>
      </c>
      <c r="L132" s="5">
        <f>INDEX(products!$A$1:$G$49,MATCH(orders!$D132,products!$A$1:$A$49,0),MATCH(orders!L$1,products!$A$1:$G$1,0))</f>
        <v/>
      </c>
      <c r="M132" s="5">
        <f>L132*E132</f>
        <v/>
      </c>
      <c r="N132">
        <f>IF(I132="Rob","Robusta",IF(I132="Exc","Excelsa",IF(I132="Ara","Arabica",IF(I132="Lib","Liberica",""))))</f>
        <v/>
      </c>
      <c r="O132">
        <f>IF(J132="M","Medium",IF(J132="L","Light",IF(J132="D","Dark","")))</f>
        <v/>
      </c>
      <c r="P132">
        <f>_xlfn.XLOOKUP(Orders[[#This Row],[Customer ID]],customers!$A$1:$A$1001,customers!$I$1:$I$1001,,0)</f>
        <v/>
      </c>
    </row>
    <row r="133">
      <c r="A133" s="2" t="inlineStr">
        <is>
          <t>O8155</t>
        </is>
      </c>
      <c r="B133" s="3" t="inlineStr">
        <is>
          <t>2022-03-03</t>
        </is>
      </c>
      <c r="C133" s="2" t="inlineStr">
        <is>
          <t>O9358</t>
        </is>
      </c>
      <c r="D133" t="inlineStr">
        <is>
          <t>O9714</t>
        </is>
      </c>
      <c r="E133" s="2" t="n">
        <v>434</v>
      </c>
      <c r="F133" s="2">
        <f>_xlfn.XLOOKUP(C133,customers!$A$1:$A$1001,customers!$B$1:$B$1001,,0)</f>
        <v/>
      </c>
      <c r="G133" s="2">
        <f>IF(_xlfn.XLOOKUP(C133,customers!$A$1:$A$1001,customers!$C$1:$C$1001,,0)=0,"",_xlfn.XLOOKUP(C133,customers!$A$1:$A$1001,customers!$C$1:$C$1001,,0))</f>
        <v/>
      </c>
      <c r="H133" s="2">
        <f>_xlfn.XLOOKUP(C133,customers!$A$1:$A$1001,customers!$G$1:$G$1001,,0)</f>
        <v/>
      </c>
      <c r="I133">
        <f>INDEX(products!$A$1:$G$49,MATCH(orders!$D133,products!$A$1:$A$49,0),MATCH(orders!I$1,products!$A$1:$G$1,0))</f>
        <v/>
      </c>
      <c r="J133">
        <f>INDEX(products!$A$1:$G$49,MATCH(orders!$D133,products!$A$1:$A$49,0),MATCH(orders!J$1,products!$A$1:$G$1,0))</f>
        <v/>
      </c>
      <c r="K133" s="4">
        <f>INDEX(products!$A$1:$G$49,MATCH(orders!$D133,products!$A$1:$A$49,0),MATCH(orders!K$1,products!$A$1:$G$1,0))</f>
        <v/>
      </c>
      <c r="L133" s="5">
        <f>INDEX(products!$A$1:$G$49,MATCH(orders!$D133,products!$A$1:$A$49,0),MATCH(orders!L$1,products!$A$1:$G$1,0))</f>
        <v/>
      </c>
      <c r="M133" s="5">
        <f>L133*E133</f>
        <v/>
      </c>
      <c r="N133">
        <f>IF(I133="Rob","Robusta",IF(I133="Exc","Excelsa",IF(I133="Ara","Arabica",IF(I133="Lib","Liberica",""))))</f>
        <v/>
      </c>
      <c r="O133">
        <f>IF(J133="M","Medium",IF(J133="L","Light",IF(J133="D","Dark","")))</f>
        <v/>
      </c>
      <c r="P133">
        <f>_xlfn.XLOOKUP(Orders[[#This Row],[Customer ID]],customers!$A$1:$A$1001,customers!$I$1:$I$1001,,0)</f>
        <v/>
      </c>
    </row>
    <row r="134">
      <c r="A134" s="2" t="inlineStr">
        <is>
          <t>O5149</t>
        </is>
      </c>
      <c r="B134" s="3" t="inlineStr">
        <is>
          <t>2022-01-05</t>
        </is>
      </c>
      <c r="C134" s="2" t="inlineStr">
        <is>
          <t>O8756</t>
        </is>
      </c>
      <c r="D134" t="inlineStr">
        <is>
          <t>O9759</t>
        </is>
      </c>
      <c r="E134" s="2" t="n">
        <v>365</v>
      </c>
      <c r="F134" s="2">
        <f>_xlfn.XLOOKUP(C134,customers!$A$1:$A$1001,customers!$B$1:$B$1001,,0)</f>
        <v/>
      </c>
      <c r="G134" s="2">
        <f>IF(_xlfn.XLOOKUP(C134,customers!$A$1:$A$1001,customers!$C$1:$C$1001,,0)=0,"",_xlfn.XLOOKUP(C134,customers!$A$1:$A$1001,customers!$C$1:$C$1001,,0))</f>
        <v/>
      </c>
      <c r="H134" s="2">
        <f>_xlfn.XLOOKUP(C134,customers!$A$1:$A$1001,customers!$G$1:$G$1001,,0)</f>
        <v/>
      </c>
      <c r="I134">
        <f>INDEX(products!$A$1:$G$49,MATCH(orders!$D134,products!$A$1:$A$49,0),MATCH(orders!I$1,products!$A$1:$G$1,0))</f>
        <v/>
      </c>
      <c r="J134">
        <f>INDEX(products!$A$1:$G$49,MATCH(orders!$D134,products!$A$1:$A$49,0),MATCH(orders!J$1,products!$A$1:$G$1,0))</f>
        <v/>
      </c>
      <c r="K134" s="4">
        <f>INDEX(products!$A$1:$G$49,MATCH(orders!$D134,products!$A$1:$A$49,0),MATCH(orders!K$1,products!$A$1:$G$1,0))</f>
        <v/>
      </c>
      <c r="L134" s="5">
        <f>INDEX(products!$A$1:$G$49,MATCH(orders!$D134,products!$A$1:$A$49,0),MATCH(orders!L$1,products!$A$1:$G$1,0))</f>
        <v/>
      </c>
      <c r="M134" s="5">
        <f>L134*E134</f>
        <v/>
      </c>
      <c r="N134">
        <f>IF(I134="Rob","Robusta",IF(I134="Exc","Excelsa",IF(I134="Ara","Arabica",IF(I134="Lib","Liberica",""))))</f>
        <v/>
      </c>
      <c r="O134">
        <f>IF(J134="M","Medium",IF(J134="L","Light",IF(J134="D","Dark","")))</f>
        <v/>
      </c>
      <c r="P134">
        <f>_xlfn.XLOOKUP(Orders[[#This Row],[Customer ID]],customers!$A$1:$A$1001,customers!$I$1:$I$1001,,0)</f>
        <v/>
      </c>
    </row>
    <row r="135">
      <c r="A135" s="2" t="inlineStr">
        <is>
          <t>O6819</t>
        </is>
      </c>
      <c r="B135" s="3" t="inlineStr">
        <is>
          <t>2021-02-12</t>
        </is>
      </c>
      <c r="C135" s="2" t="inlineStr">
        <is>
          <t>O6369</t>
        </is>
      </c>
      <c r="D135" t="inlineStr">
        <is>
          <t>O3408</t>
        </is>
      </c>
      <c r="E135" s="2" t="n">
        <v>229</v>
      </c>
      <c r="F135" s="2">
        <f>_xlfn.XLOOKUP(C135,customers!$A$1:$A$1001,customers!$B$1:$B$1001,,0)</f>
        <v/>
      </c>
      <c r="G135" s="2">
        <f>IF(_xlfn.XLOOKUP(C135,customers!$A$1:$A$1001,customers!$C$1:$C$1001,,0)=0,"",_xlfn.XLOOKUP(C135,customers!$A$1:$A$1001,customers!$C$1:$C$1001,,0))</f>
        <v/>
      </c>
      <c r="H135" s="2">
        <f>_xlfn.XLOOKUP(C135,customers!$A$1:$A$1001,customers!$G$1:$G$1001,,0)</f>
        <v/>
      </c>
      <c r="I135">
        <f>INDEX(products!$A$1:$G$49,MATCH(orders!$D135,products!$A$1:$A$49,0),MATCH(orders!I$1,products!$A$1:$G$1,0))</f>
        <v/>
      </c>
      <c r="J135">
        <f>INDEX(products!$A$1:$G$49,MATCH(orders!$D135,products!$A$1:$A$49,0),MATCH(orders!J$1,products!$A$1:$G$1,0))</f>
        <v/>
      </c>
      <c r="K135" s="4">
        <f>INDEX(products!$A$1:$G$49,MATCH(orders!$D135,products!$A$1:$A$49,0),MATCH(orders!K$1,products!$A$1:$G$1,0))</f>
        <v/>
      </c>
      <c r="L135" s="5">
        <f>INDEX(products!$A$1:$G$49,MATCH(orders!$D135,products!$A$1:$A$49,0),MATCH(orders!L$1,products!$A$1:$G$1,0))</f>
        <v/>
      </c>
      <c r="M135" s="5">
        <f>L135*E135</f>
        <v/>
      </c>
      <c r="N135">
        <f>IF(I135="Rob","Robusta",IF(I135="Exc","Excelsa",IF(I135="Ara","Arabica",IF(I135="Lib","Liberica",""))))</f>
        <v/>
      </c>
      <c r="O135">
        <f>IF(J135="M","Medium",IF(J135="L","Light",IF(J135="D","Dark","")))</f>
        <v/>
      </c>
      <c r="P135">
        <f>_xlfn.XLOOKUP(Orders[[#This Row],[Customer ID]],customers!$A$1:$A$1001,customers!$I$1:$I$1001,,0)</f>
        <v/>
      </c>
    </row>
    <row r="136">
      <c r="A136" s="2" t="inlineStr">
        <is>
          <t>O1732</t>
        </is>
      </c>
      <c r="B136" s="3" t="inlineStr">
        <is>
          <t>2023-01-20</t>
        </is>
      </c>
      <c r="C136" s="2" t="inlineStr">
        <is>
          <t>O4215</t>
        </is>
      </c>
      <c r="D136" t="inlineStr">
        <is>
          <t>O2260</t>
        </is>
      </c>
      <c r="E136" s="2" t="n">
        <v>45</v>
      </c>
      <c r="F136" s="2">
        <f>_xlfn.XLOOKUP(C136,customers!$A$1:$A$1001,customers!$B$1:$B$1001,,0)</f>
        <v/>
      </c>
      <c r="G136" s="2">
        <f>IF(_xlfn.XLOOKUP(C136,customers!$A$1:$A$1001,customers!$C$1:$C$1001,,0)=0,"",_xlfn.XLOOKUP(C136,customers!$A$1:$A$1001,customers!$C$1:$C$1001,,0))</f>
        <v/>
      </c>
      <c r="H136" s="2">
        <f>_xlfn.XLOOKUP(C136,customers!$A$1:$A$1001,customers!$G$1:$G$1001,,0)</f>
        <v/>
      </c>
      <c r="I136">
        <f>INDEX(products!$A$1:$G$49,MATCH(orders!$D136,products!$A$1:$A$49,0),MATCH(orders!I$1,products!$A$1:$G$1,0))</f>
        <v/>
      </c>
      <c r="J136">
        <f>INDEX(products!$A$1:$G$49,MATCH(orders!$D136,products!$A$1:$A$49,0),MATCH(orders!J$1,products!$A$1:$G$1,0))</f>
        <v/>
      </c>
      <c r="K136" s="4">
        <f>INDEX(products!$A$1:$G$49,MATCH(orders!$D136,products!$A$1:$A$49,0),MATCH(orders!K$1,products!$A$1:$G$1,0))</f>
        <v/>
      </c>
      <c r="L136" s="5">
        <f>INDEX(products!$A$1:$G$49,MATCH(orders!$D136,products!$A$1:$A$49,0),MATCH(orders!L$1,products!$A$1:$G$1,0))</f>
        <v/>
      </c>
      <c r="M136" s="5">
        <f>L136*E136</f>
        <v/>
      </c>
      <c r="N136">
        <f>IF(I136="Rob","Robusta",IF(I136="Exc","Excelsa",IF(I136="Ara","Arabica",IF(I136="Lib","Liberica",""))))</f>
        <v/>
      </c>
      <c r="O136">
        <f>IF(J136="M","Medium",IF(J136="L","Light",IF(J136="D","Dark","")))</f>
        <v/>
      </c>
      <c r="P136">
        <f>_xlfn.XLOOKUP(Orders[[#This Row],[Customer ID]],customers!$A$1:$A$1001,customers!$I$1:$I$1001,,0)</f>
        <v/>
      </c>
    </row>
    <row r="137">
      <c r="A137" s="2" t="inlineStr">
        <is>
          <t>O3492</t>
        </is>
      </c>
      <c r="B137" s="3" t="inlineStr">
        <is>
          <t>2023-03-10</t>
        </is>
      </c>
      <c r="C137" s="2" t="inlineStr">
        <is>
          <t>O3936</t>
        </is>
      </c>
      <c r="D137" t="inlineStr">
        <is>
          <t>O1393</t>
        </is>
      </c>
      <c r="E137" s="2" t="n">
        <v>271</v>
      </c>
      <c r="F137" s="2">
        <f>_xlfn.XLOOKUP(C137,customers!$A$1:$A$1001,customers!$B$1:$B$1001,,0)</f>
        <v/>
      </c>
      <c r="G137" s="2">
        <f>IF(_xlfn.XLOOKUP(C137,customers!$A$1:$A$1001,customers!$C$1:$C$1001,,0)=0,"",_xlfn.XLOOKUP(C137,customers!$A$1:$A$1001,customers!$C$1:$C$1001,,0))</f>
        <v/>
      </c>
      <c r="H137" s="2">
        <f>_xlfn.XLOOKUP(C137,customers!$A$1:$A$1001,customers!$G$1:$G$1001,,0)</f>
        <v/>
      </c>
      <c r="I137">
        <f>INDEX(products!$A$1:$G$49,MATCH(orders!$D137,products!$A$1:$A$49,0),MATCH(orders!I$1,products!$A$1:$G$1,0))</f>
        <v/>
      </c>
      <c r="J137">
        <f>INDEX(products!$A$1:$G$49,MATCH(orders!$D137,products!$A$1:$A$49,0),MATCH(orders!J$1,products!$A$1:$G$1,0))</f>
        <v/>
      </c>
      <c r="K137" s="4">
        <f>INDEX(products!$A$1:$G$49,MATCH(orders!$D137,products!$A$1:$A$49,0),MATCH(orders!K$1,products!$A$1:$G$1,0))</f>
        <v/>
      </c>
      <c r="L137" s="5">
        <f>INDEX(products!$A$1:$G$49,MATCH(orders!$D137,products!$A$1:$A$49,0),MATCH(orders!L$1,products!$A$1:$G$1,0))</f>
        <v/>
      </c>
      <c r="M137" s="5">
        <f>L137*E137</f>
        <v/>
      </c>
      <c r="N137">
        <f>IF(I137="Rob","Robusta",IF(I137="Exc","Excelsa",IF(I137="Ara","Arabica",IF(I137="Lib","Liberica",""))))</f>
        <v/>
      </c>
      <c r="O137">
        <f>IF(J137="M","Medium",IF(J137="L","Light",IF(J137="D","Dark","")))</f>
        <v/>
      </c>
      <c r="P137">
        <f>_xlfn.XLOOKUP(Orders[[#This Row],[Customer ID]],customers!$A$1:$A$1001,customers!$I$1:$I$1001,,0)</f>
        <v/>
      </c>
    </row>
    <row r="138">
      <c r="A138" s="2" t="inlineStr">
        <is>
          <t>O7731</t>
        </is>
      </c>
      <c r="B138" s="3" t="inlineStr">
        <is>
          <t>2022-07-08</t>
        </is>
      </c>
      <c r="C138" s="2" t="inlineStr">
        <is>
          <t>O1592</t>
        </is>
      </c>
      <c r="D138" t="inlineStr">
        <is>
          <t>O6779</t>
        </is>
      </c>
      <c r="E138" s="2" t="n">
        <v>132</v>
      </c>
      <c r="F138" s="2">
        <f>_xlfn.XLOOKUP(C138,customers!$A$1:$A$1001,customers!$B$1:$B$1001,,0)</f>
        <v/>
      </c>
      <c r="G138" s="2">
        <f>IF(_xlfn.XLOOKUP(C138,customers!$A$1:$A$1001,customers!$C$1:$C$1001,,0)=0,"",_xlfn.XLOOKUP(C138,customers!$A$1:$A$1001,customers!$C$1:$C$1001,,0))</f>
        <v/>
      </c>
      <c r="H138" s="2">
        <f>_xlfn.XLOOKUP(C138,customers!$A$1:$A$1001,customers!$G$1:$G$1001,,0)</f>
        <v/>
      </c>
      <c r="I138">
        <f>INDEX(products!$A$1:$G$49,MATCH(orders!$D138,products!$A$1:$A$49,0),MATCH(orders!I$1,products!$A$1:$G$1,0))</f>
        <v/>
      </c>
      <c r="J138">
        <f>INDEX(products!$A$1:$G$49,MATCH(orders!$D138,products!$A$1:$A$49,0),MATCH(orders!J$1,products!$A$1:$G$1,0))</f>
        <v/>
      </c>
      <c r="K138" s="4">
        <f>INDEX(products!$A$1:$G$49,MATCH(orders!$D138,products!$A$1:$A$49,0),MATCH(orders!K$1,products!$A$1:$G$1,0))</f>
        <v/>
      </c>
      <c r="L138" s="5">
        <f>INDEX(products!$A$1:$G$49,MATCH(orders!$D138,products!$A$1:$A$49,0),MATCH(orders!L$1,products!$A$1:$G$1,0))</f>
        <v/>
      </c>
      <c r="M138" s="5">
        <f>L138*E138</f>
        <v/>
      </c>
      <c r="N138">
        <f>IF(I138="Rob","Robusta",IF(I138="Exc","Excelsa",IF(I138="Ara","Arabica",IF(I138="Lib","Liberica",""))))</f>
        <v/>
      </c>
      <c r="O138">
        <f>IF(J138="M","Medium",IF(J138="L","Light",IF(J138="D","Dark","")))</f>
        <v/>
      </c>
      <c r="P138">
        <f>_xlfn.XLOOKUP(Orders[[#This Row],[Customer ID]],customers!$A$1:$A$1001,customers!$I$1:$I$1001,,0)</f>
        <v/>
      </c>
    </row>
    <row r="139">
      <c r="A139" s="2" t="inlineStr">
        <is>
          <t>O5612</t>
        </is>
      </c>
      <c r="B139" s="3" t="inlineStr">
        <is>
          <t>2023-12-08</t>
        </is>
      </c>
      <c r="C139" s="2" t="inlineStr">
        <is>
          <t>O8229</t>
        </is>
      </c>
      <c r="D139" t="inlineStr">
        <is>
          <t>O3287</t>
        </is>
      </c>
      <c r="E139" s="2" t="n">
        <v>191</v>
      </c>
      <c r="F139" s="2">
        <f>_xlfn.XLOOKUP(C139,customers!$A$1:$A$1001,customers!$B$1:$B$1001,,0)</f>
        <v/>
      </c>
      <c r="G139" s="2">
        <f>IF(_xlfn.XLOOKUP(C139,customers!$A$1:$A$1001,customers!$C$1:$C$1001,,0)=0,"",_xlfn.XLOOKUP(C139,customers!$A$1:$A$1001,customers!$C$1:$C$1001,,0))</f>
        <v/>
      </c>
      <c r="H139" s="2">
        <f>_xlfn.XLOOKUP(C139,customers!$A$1:$A$1001,customers!$G$1:$G$1001,,0)</f>
        <v/>
      </c>
      <c r="I139">
        <f>INDEX(products!$A$1:$G$49,MATCH(orders!$D139,products!$A$1:$A$49,0),MATCH(orders!I$1,products!$A$1:$G$1,0))</f>
        <v/>
      </c>
      <c r="J139">
        <f>INDEX(products!$A$1:$G$49,MATCH(orders!$D139,products!$A$1:$A$49,0),MATCH(orders!J$1,products!$A$1:$G$1,0))</f>
        <v/>
      </c>
      <c r="K139" s="4">
        <f>INDEX(products!$A$1:$G$49,MATCH(orders!$D139,products!$A$1:$A$49,0),MATCH(orders!K$1,products!$A$1:$G$1,0))</f>
        <v/>
      </c>
      <c r="L139" s="5">
        <f>INDEX(products!$A$1:$G$49,MATCH(orders!$D139,products!$A$1:$A$49,0),MATCH(orders!L$1,products!$A$1:$G$1,0))</f>
        <v/>
      </c>
      <c r="M139" s="5">
        <f>L139*E139</f>
        <v/>
      </c>
      <c r="N139">
        <f>IF(I139="Rob","Robusta",IF(I139="Exc","Excelsa",IF(I139="Ara","Arabica",IF(I139="Lib","Liberica",""))))</f>
        <v/>
      </c>
      <c r="O139">
        <f>IF(J139="M","Medium",IF(J139="L","Light",IF(J139="D","Dark","")))</f>
        <v/>
      </c>
      <c r="P139">
        <f>_xlfn.XLOOKUP(Orders[[#This Row],[Customer ID]],customers!$A$1:$A$1001,customers!$I$1:$I$1001,,0)</f>
        <v/>
      </c>
    </row>
    <row r="140">
      <c r="A140" s="2" t="inlineStr">
        <is>
          <t>O1349</t>
        </is>
      </c>
      <c r="B140" s="3" t="inlineStr">
        <is>
          <t>2020-11-24</t>
        </is>
      </c>
      <c r="C140" s="2" t="inlineStr">
        <is>
          <t>O9959</t>
        </is>
      </c>
      <c r="D140" t="inlineStr">
        <is>
          <t>O1547</t>
        </is>
      </c>
      <c r="E140" s="2" t="n">
        <v>396</v>
      </c>
      <c r="F140" s="2">
        <f>_xlfn.XLOOKUP(C140,customers!$A$1:$A$1001,customers!$B$1:$B$1001,,0)</f>
        <v/>
      </c>
      <c r="G140" s="2">
        <f>IF(_xlfn.XLOOKUP(C140,customers!$A$1:$A$1001,customers!$C$1:$C$1001,,0)=0,"",_xlfn.XLOOKUP(C140,customers!$A$1:$A$1001,customers!$C$1:$C$1001,,0))</f>
        <v/>
      </c>
      <c r="H140" s="2">
        <f>_xlfn.XLOOKUP(C140,customers!$A$1:$A$1001,customers!$G$1:$G$1001,,0)</f>
        <v/>
      </c>
      <c r="I140">
        <f>INDEX(products!$A$1:$G$49,MATCH(orders!$D140,products!$A$1:$A$49,0),MATCH(orders!I$1,products!$A$1:$G$1,0))</f>
        <v/>
      </c>
      <c r="J140">
        <f>INDEX(products!$A$1:$G$49,MATCH(orders!$D140,products!$A$1:$A$49,0),MATCH(orders!J$1,products!$A$1:$G$1,0))</f>
        <v/>
      </c>
      <c r="K140" s="4">
        <f>INDEX(products!$A$1:$G$49,MATCH(orders!$D140,products!$A$1:$A$49,0),MATCH(orders!K$1,products!$A$1:$G$1,0))</f>
        <v/>
      </c>
      <c r="L140" s="5">
        <f>INDEX(products!$A$1:$G$49,MATCH(orders!$D140,products!$A$1:$A$49,0),MATCH(orders!L$1,products!$A$1:$G$1,0))</f>
        <v/>
      </c>
      <c r="M140" s="5">
        <f>L140*E140</f>
        <v/>
      </c>
      <c r="N140">
        <f>IF(I140="Rob","Robusta",IF(I140="Exc","Excelsa",IF(I140="Ara","Arabica",IF(I140="Lib","Liberica",""))))</f>
        <v/>
      </c>
      <c r="O140">
        <f>IF(J140="M","Medium",IF(J140="L","Light",IF(J140="D","Dark","")))</f>
        <v/>
      </c>
      <c r="P140">
        <f>_xlfn.XLOOKUP(Orders[[#This Row],[Customer ID]],customers!$A$1:$A$1001,customers!$I$1:$I$1001,,0)</f>
        <v/>
      </c>
    </row>
    <row r="141">
      <c r="A141" s="2" t="inlineStr">
        <is>
          <t>O7180</t>
        </is>
      </c>
      <c r="B141" s="3" t="inlineStr">
        <is>
          <t>2023-07-30</t>
        </is>
      </c>
      <c r="C141" s="2" t="inlineStr">
        <is>
          <t>O2241</t>
        </is>
      </c>
      <c r="D141" t="inlineStr">
        <is>
          <t>O8777</t>
        </is>
      </c>
      <c r="E141" s="2" t="n">
        <v>75</v>
      </c>
      <c r="F141" s="2">
        <f>_xlfn.XLOOKUP(C141,customers!$A$1:$A$1001,customers!$B$1:$B$1001,,0)</f>
        <v/>
      </c>
      <c r="G141" s="2">
        <f>IF(_xlfn.XLOOKUP(C141,customers!$A$1:$A$1001,customers!$C$1:$C$1001,,0)=0,"",_xlfn.XLOOKUP(C141,customers!$A$1:$A$1001,customers!$C$1:$C$1001,,0))</f>
        <v/>
      </c>
      <c r="H141" s="2">
        <f>_xlfn.XLOOKUP(C141,customers!$A$1:$A$1001,customers!$G$1:$G$1001,,0)</f>
        <v/>
      </c>
      <c r="I141">
        <f>INDEX(products!$A$1:$G$49,MATCH(orders!$D141,products!$A$1:$A$49,0),MATCH(orders!I$1,products!$A$1:$G$1,0))</f>
        <v/>
      </c>
      <c r="J141">
        <f>INDEX(products!$A$1:$G$49,MATCH(orders!$D141,products!$A$1:$A$49,0),MATCH(orders!J$1,products!$A$1:$G$1,0))</f>
        <v/>
      </c>
      <c r="K141" s="4">
        <f>INDEX(products!$A$1:$G$49,MATCH(orders!$D141,products!$A$1:$A$49,0),MATCH(orders!K$1,products!$A$1:$G$1,0))</f>
        <v/>
      </c>
      <c r="L141" s="5">
        <f>INDEX(products!$A$1:$G$49,MATCH(orders!$D141,products!$A$1:$A$49,0),MATCH(orders!L$1,products!$A$1:$G$1,0))</f>
        <v/>
      </c>
      <c r="M141" s="5">
        <f>L141*E141</f>
        <v/>
      </c>
      <c r="N141">
        <f>IF(I141="Rob","Robusta",IF(I141="Exc","Excelsa",IF(I141="Ara","Arabica",IF(I141="Lib","Liberica",""))))</f>
        <v/>
      </c>
      <c r="O141">
        <f>IF(J141="M","Medium",IF(J141="L","Light",IF(J141="D","Dark","")))</f>
        <v/>
      </c>
      <c r="P141">
        <f>_xlfn.XLOOKUP(Orders[[#This Row],[Customer ID]],customers!$A$1:$A$1001,customers!$I$1:$I$1001,,0)</f>
        <v/>
      </c>
    </row>
    <row r="142">
      <c r="A142" s="2" t="inlineStr">
        <is>
          <t>O2412</t>
        </is>
      </c>
      <c r="B142" s="3" t="inlineStr">
        <is>
          <t>2024-10-22</t>
        </is>
      </c>
      <c r="C142" s="2" t="inlineStr">
        <is>
          <t>O3044</t>
        </is>
      </c>
      <c r="D142" t="inlineStr">
        <is>
          <t>O6961</t>
        </is>
      </c>
      <c r="E142" s="2" t="n">
        <v>26</v>
      </c>
      <c r="F142" s="2">
        <f>_xlfn.XLOOKUP(C142,customers!$A$1:$A$1001,customers!$B$1:$B$1001,,0)</f>
        <v/>
      </c>
      <c r="G142" s="2">
        <f>IF(_xlfn.XLOOKUP(C142,customers!$A$1:$A$1001,customers!$C$1:$C$1001,,0)=0,"",_xlfn.XLOOKUP(C142,customers!$A$1:$A$1001,customers!$C$1:$C$1001,,0))</f>
        <v/>
      </c>
      <c r="H142" s="2">
        <f>_xlfn.XLOOKUP(C142,customers!$A$1:$A$1001,customers!$G$1:$G$1001,,0)</f>
        <v/>
      </c>
      <c r="I142">
        <f>INDEX(products!$A$1:$G$49,MATCH(orders!$D142,products!$A$1:$A$49,0),MATCH(orders!I$1,products!$A$1:$G$1,0))</f>
        <v/>
      </c>
      <c r="J142">
        <f>INDEX(products!$A$1:$G$49,MATCH(orders!$D142,products!$A$1:$A$49,0),MATCH(orders!J$1,products!$A$1:$G$1,0))</f>
        <v/>
      </c>
      <c r="K142" s="4">
        <f>INDEX(products!$A$1:$G$49,MATCH(orders!$D142,products!$A$1:$A$49,0),MATCH(orders!K$1,products!$A$1:$G$1,0))</f>
        <v/>
      </c>
      <c r="L142" s="5">
        <f>INDEX(products!$A$1:$G$49,MATCH(orders!$D142,products!$A$1:$A$49,0),MATCH(orders!L$1,products!$A$1:$G$1,0))</f>
        <v/>
      </c>
      <c r="M142" s="5">
        <f>L142*E142</f>
        <v/>
      </c>
      <c r="N142">
        <f>IF(I142="Rob","Robusta",IF(I142="Exc","Excelsa",IF(I142="Ara","Arabica",IF(I142="Lib","Liberica",""))))</f>
        <v/>
      </c>
      <c r="O142">
        <f>IF(J142="M","Medium",IF(J142="L","Light",IF(J142="D","Dark","")))</f>
        <v/>
      </c>
      <c r="P142">
        <f>_xlfn.XLOOKUP(Orders[[#This Row],[Customer ID]],customers!$A$1:$A$1001,customers!$I$1:$I$1001,,0)</f>
        <v/>
      </c>
    </row>
    <row r="143">
      <c r="A143" s="2" t="inlineStr">
        <is>
          <t>O1294</t>
        </is>
      </c>
      <c r="B143" s="3" t="inlineStr">
        <is>
          <t>2020-04-13</t>
        </is>
      </c>
      <c r="C143" s="2" t="inlineStr">
        <is>
          <t>O6068</t>
        </is>
      </c>
      <c r="D143" t="inlineStr">
        <is>
          <t>O2326</t>
        </is>
      </c>
      <c r="E143" s="2" t="n">
        <v>26</v>
      </c>
      <c r="F143" s="2">
        <f>_xlfn.XLOOKUP(C143,customers!$A$1:$A$1001,customers!$B$1:$B$1001,,0)</f>
        <v/>
      </c>
      <c r="G143" s="2">
        <f>IF(_xlfn.XLOOKUP(C143,customers!$A$1:$A$1001,customers!$C$1:$C$1001,,0)=0,"",_xlfn.XLOOKUP(C143,customers!$A$1:$A$1001,customers!$C$1:$C$1001,,0))</f>
        <v/>
      </c>
      <c r="H143" s="2">
        <f>_xlfn.XLOOKUP(C143,customers!$A$1:$A$1001,customers!$G$1:$G$1001,,0)</f>
        <v/>
      </c>
      <c r="I143">
        <f>INDEX(products!$A$1:$G$49,MATCH(orders!$D143,products!$A$1:$A$49,0),MATCH(orders!I$1,products!$A$1:$G$1,0))</f>
        <v/>
      </c>
      <c r="J143">
        <f>INDEX(products!$A$1:$G$49,MATCH(orders!$D143,products!$A$1:$A$49,0),MATCH(orders!J$1,products!$A$1:$G$1,0))</f>
        <v/>
      </c>
      <c r="K143" s="4">
        <f>INDEX(products!$A$1:$G$49,MATCH(orders!$D143,products!$A$1:$A$49,0),MATCH(orders!K$1,products!$A$1:$G$1,0))</f>
        <v/>
      </c>
      <c r="L143" s="5">
        <f>INDEX(products!$A$1:$G$49,MATCH(orders!$D143,products!$A$1:$A$49,0),MATCH(orders!L$1,products!$A$1:$G$1,0))</f>
        <v/>
      </c>
      <c r="M143" s="5">
        <f>L143*E143</f>
        <v/>
      </c>
      <c r="N143">
        <f>IF(I143="Rob","Robusta",IF(I143="Exc","Excelsa",IF(I143="Ara","Arabica",IF(I143="Lib","Liberica",""))))</f>
        <v/>
      </c>
      <c r="O143">
        <f>IF(J143="M","Medium",IF(J143="L","Light",IF(J143="D","Dark","")))</f>
        <v/>
      </c>
      <c r="P143">
        <f>_xlfn.XLOOKUP(Orders[[#This Row],[Customer ID]],customers!$A$1:$A$1001,customers!$I$1:$I$1001,,0)</f>
        <v/>
      </c>
    </row>
    <row r="144">
      <c r="A144" s="2" t="inlineStr">
        <is>
          <t>O6680</t>
        </is>
      </c>
      <c r="B144" s="3" t="inlineStr">
        <is>
          <t>2023-11-03</t>
        </is>
      </c>
      <c r="C144" s="2" t="inlineStr">
        <is>
          <t>O4533</t>
        </is>
      </c>
      <c r="D144" t="inlineStr">
        <is>
          <t>O6236</t>
        </is>
      </c>
      <c r="E144" s="2" t="n">
        <v>295</v>
      </c>
      <c r="F144" s="2">
        <f>_xlfn.XLOOKUP(C144,customers!$A$1:$A$1001,customers!$B$1:$B$1001,,0)</f>
        <v/>
      </c>
      <c r="G144" s="2">
        <f>IF(_xlfn.XLOOKUP(C144,customers!$A$1:$A$1001,customers!$C$1:$C$1001,,0)=0,"",_xlfn.XLOOKUP(C144,customers!$A$1:$A$1001,customers!$C$1:$C$1001,,0))</f>
        <v/>
      </c>
      <c r="H144" s="2">
        <f>_xlfn.XLOOKUP(C144,customers!$A$1:$A$1001,customers!$G$1:$G$1001,,0)</f>
        <v/>
      </c>
      <c r="I144">
        <f>INDEX(products!$A$1:$G$49,MATCH(orders!$D144,products!$A$1:$A$49,0),MATCH(orders!I$1,products!$A$1:$G$1,0))</f>
        <v/>
      </c>
      <c r="J144">
        <f>INDEX(products!$A$1:$G$49,MATCH(orders!$D144,products!$A$1:$A$49,0),MATCH(orders!J$1,products!$A$1:$G$1,0))</f>
        <v/>
      </c>
      <c r="K144" s="4">
        <f>INDEX(products!$A$1:$G$49,MATCH(orders!$D144,products!$A$1:$A$49,0),MATCH(orders!K$1,products!$A$1:$G$1,0))</f>
        <v/>
      </c>
      <c r="L144" s="5">
        <f>INDEX(products!$A$1:$G$49,MATCH(orders!$D144,products!$A$1:$A$49,0),MATCH(orders!L$1,products!$A$1:$G$1,0))</f>
        <v/>
      </c>
      <c r="M144" s="5">
        <f>L144*E144</f>
        <v/>
      </c>
      <c r="N144">
        <f>IF(I144="Rob","Robusta",IF(I144="Exc","Excelsa",IF(I144="Ara","Arabica",IF(I144="Lib","Liberica",""))))</f>
        <v/>
      </c>
      <c r="O144">
        <f>IF(J144="M","Medium",IF(J144="L","Light",IF(J144="D","Dark","")))</f>
        <v/>
      </c>
      <c r="P144">
        <f>_xlfn.XLOOKUP(Orders[[#This Row],[Customer ID]],customers!$A$1:$A$1001,customers!$I$1:$I$1001,,0)</f>
        <v/>
      </c>
    </row>
    <row r="145">
      <c r="A145" s="2" t="inlineStr">
        <is>
          <t>O4270</t>
        </is>
      </c>
      <c r="B145" s="3" t="inlineStr">
        <is>
          <t>2022-02-17</t>
        </is>
      </c>
      <c r="C145" s="2" t="inlineStr">
        <is>
          <t>O8486</t>
        </is>
      </c>
      <c r="D145" t="inlineStr">
        <is>
          <t>O7577</t>
        </is>
      </c>
      <c r="E145" s="2" t="n">
        <v>359</v>
      </c>
      <c r="F145" s="2">
        <f>_xlfn.XLOOKUP(C145,customers!$A$1:$A$1001,customers!$B$1:$B$1001,,0)</f>
        <v/>
      </c>
      <c r="G145" s="2">
        <f>IF(_xlfn.XLOOKUP(C145,customers!$A$1:$A$1001,customers!$C$1:$C$1001,,0)=0,"",_xlfn.XLOOKUP(C145,customers!$A$1:$A$1001,customers!$C$1:$C$1001,,0))</f>
        <v/>
      </c>
      <c r="H145" s="2">
        <f>_xlfn.XLOOKUP(C145,customers!$A$1:$A$1001,customers!$G$1:$G$1001,,0)</f>
        <v/>
      </c>
      <c r="I145">
        <f>INDEX(products!$A$1:$G$49,MATCH(orders!$D145,products!$A$1:$A$49,0),MATCH(orders!I$1,products!$A$1:$G$1,0))</f>
        <v/>
      </c>
      <c r="J145">
        <f>INDEX(products!$A$1:$G$49,MATCH(orders!$D145,products!$A$1:$A$49,0),MATCH(orders!J$1,products!$A$1:$G$1,0))</f>
        <v/>
      </c>
      <c r="K145" s="4">
        <f>INDEX(products!$A$1:$G$49,MATCH(orders!$D145,products!$A$1:$A$49,0),MATCH(orders!K$1,products!$A$1:$G$1,0))</f>
        <v/>
      </c>
      <c r="L145" s="5">
        <f>INDEX(products!$A$1:$G$49,MATCH(orders!$D145,products!$A$1:$A$49,0),MATCH(orders!L$1,products!$A$1:$G$1,0))</f>
        <v/>
      </c>
      <c r="M145" s="5">
        <f>L145*E145</f>
        <v/>
      </c>
      <c r="N145">
        <f>IF(I145="Rob","Robusta",IF(I145="Exc","Excelsa",IF(I145="Ara","Arabica",IF(I145="Lib","Liberica",""))))</f>
        <v/>
      </c>
      <c r="O145">
        <f>IF(J145="M","Medium",IF(J145="L","Light",IF(J145="D","Dark","")))</f>
        <v/>
      </c>
      <c r="P145">
        <f>_xlfn.XLOOKUP(Orders[[#This Row],[Customer ID]],customers!$A$1:$A$1001,customers!$I$1:$I$1001,,0)</f>
        <v/>
      </c>
    </row>
    <row r="146">
      <c r="A146" s="2" t="inlineStr">
        <is>
          <t>O9002</t>
        </is>
      </c>
      <c r="B146" s="3" t="inlineStr">
        <is>
          <t>2022-09-26</t>
        </is>
      </c>
      <c r="C146" s="2" t="inlineStr">
        <is>
          <t>O5306</t>
        </is>
      </c>
      <c r="D146" t="inlineStr">
        <is>
          <t>O8328</t>
        </is>
      </c>
      <c r="E146" s="2" t="n">
        <v>97</v>
      </c>
      <c r="F146" s="2">
        <f>_xlfn.XLOOKUP(C146,customers!$A$1:$A$1001,customers!$B$1:$B$1001,,0)</f>
        <v/>
      </c>
      <c r="G146" s="2">
        <f>IF(_xlfn.XLOOKUP(C146,customers!$A$1:$A$1001,customers!$C$1:$C$1001,,0)=0,"",_xlfn.XLOOKUP(C146,customers!$A$1:$A$1001,customers!$C$1:$C$1001,,0))</f>
        <v/>
      </c>
      <c r="H146" s="2">
        <f>_xlfn.XLOOKUP(C146,customers!$A$1:$A$1001,customers!$G$1:$G$1001,,0)</f>
        <v/>
      </c>
      <c r="I146">
        <f>INDEX(products!$A$1:$G$49,MATCH(orders!$D146,products!$A$1:$A$49,0),MATCH(orders!I$1,products!$A$1:$G$1,0))</f>
        <v/>
      </c>
      <c r="J146">
        <f>INDEX(products!$A$1:$G$49,MATCH(orders!$D146,products!$A$1:$A$49,0),MATCH(orders!J$1,products!$A$1:$G$1,0))</f>
        <v/>
      </c>
      <c r="K146" s="4">
        <f>INDEX(products!$A$1:$G$49,MATCH(orders!$D146,products!$A$1:$A$49,0),MATCH(orders!K$1,products!$A$1:$G$1,0))</f>
        <v/>
      </c>
      <c r="L146" s="5">
        <f>INDEX(products!$A$1:$G$49,MATCH(orders!$D146,products!$A$1:$A$49,0),MATCH(orders!L$1,products!$A$1:$G$1,0))</f>
        <v/>
      </c>
      <c r="M146" s="5">
        <f>L146*E146</f>
        <v/>
      </c>
      <c r="N146">
        <f>IF(I146="Rob","Robusta",IF(I146="Exc","Excelsa",IF(I146="Ara","Arabica",IF(I146="Lib","Liberica",""))))</f>
        <v/>
      </c>
      <c r="O146">
        <f>IF(J146="M","Medium",IF(J146="L","Light",IF(J146="D","Dark","")))</f>
        <v/>
      </c>
      <c r="P146">
        <f>_xlfn.XLOOKUP(Orders[[#This Row],[Customer ID]],customers!$A$1:$A$1001,customers!$I$1:$I$1001,,0)</f>
        <v/>
      </c>
    </row>
    <row r="147">
      <c r="A147" s="2" t="inlineStr">
        <is>
          <t>O1854</t>
        </is>
      </c>
      <c r="B147" s="3" t="inlineStr">
        <is>
          <t>2022-05-12</t>
        </is>
      </c>
      <c r="C147" s="2" t="inlineStr">
        <is>
          <t>O9518</t>
        </is>
      </c>
      <c r="D147" t="inlineStr">
        <is>
          <t>O8636</t>
        </is>
      </c>
      <c r="E147" s="2" t="n">
        <v>95</v>
      </c>
      <c r="F147" s="2">
        <f>_xlfn.XLOOKUP(C147,customers!$A$1:$A$1001,customers!$B$1:$B$1001,,0)</f>
        <v/>
      </c>
      <c r="G147" s="2">
        <f>IF(_xlfn.XLOOKUP(C147,customers!$A$1:$A$1001,customers!$C$1:$C$1001,,0)=0,"",_xlfn.XLOOKUP(C147,customers!$A$1:$A$1001,customers!$C$1:$C$1001,,0))</f>
        <v/>
      </c>
      <c r="H147" s="2">
        <f>_xlfn.XLOOKUP(C147,customers!$A$1:$A$1001,customers!$G$1:$G$1001,,0)</f>
        <v/>
      </c>
      <c r="I147">
        <f>INDEX(products!$A$1:$G$49,MATCH(orders!$D147,products!$A$1:$A$49,0),MATCH(orders!I$1,products!$A$1:$G$1,0))</f>
        <v/>
      </c>
      <c r="J147">
        <f>INDEX(products!$A$1:$G$49,MATCH(orders!$D147,products!$A$1:$A$49,0),MATCH(orders!J$1,products!$A$1:$G$1,0))</f>
        <v/>
      </c>
      <c r="K147" s="4">
        <f>INDEX(products!$A$1:$G$49,MATCH(orders!$D147,products!$A$1:$A$49,0),MATCH(orders!K$1,products!$A$1:$G$1,0))</f>
        <v/>
      </c>
      <c r="L147" s="5">
        <f>INDEX(products!$A$1:$G$49,MATCH(orders!$D147,products!$A$1:$A$49,0),MATCH(orders!L$1,products!$A$1:$G$1,0))</f>
        <v/>
      </c>
      <c r="M147" s="5">
        <f>L147*E147</f>
        <v/>
      </c>
      <c r="N147">
        <f>IF(I147="Rob","Robusta",IF(I147="Exc","Excelsa",IF(I147="Ara","Arabica",IF(I147="Lib","Liberica",""))))</f>
        <v/>
      </c>
      <c r="O147">
        <f>IF(J147="M","Medium",IF(J147="L","Light",IF(J147="D","Dark","")))</f>
        <v/>
      </c>
      <c r="P147">
        <f>_xlfn.XLOOKUP(Orders[[#This Row],[Customer ID]],customers!$A$1:$A$1001,customers!$I$1:$I$1001,,0)</f>
        <v/>
      </c>
    </row>
    <row r="148">
      <c r="A148" s="2" t="inlineStr">
        <is>
          <t>O6706</t>
        </is>
      </c>
      <c r="B148" s="3" t="inlineStr">
        <is>
          <t>2020-06-24</t>
        </is>
      </c>
      <c r="C148" s="2" t="inlineStr">
        <is>
          <t>O9007</t>
        </is>
      </c>
      <c r="D148" t="inlineStr">
        <is>
          <t>O7754</t>
        </is>
      </c>
      <c r="E148" s="2" t="n">
        <v>206</v>
      </c>
      <c r="F148" s="2">
        <f>_xlfn.XLOOKUP(C148,customers!$A$1:$A$1001,customers!$B$1:$B$1001,,0)</f>
        <v/>
      </c>
      <c r="G148" s="2">
        <f>IF(_xlfn.XLOOKUP(C148,customers!$A$1:$A$1001,customers!$C$1:$C$1001,,0)=0,"",_xlfn.XLOOKUP(C148,customers!$A$1:$A$1001,customers!$C$1:$C$1001,,0))</f>
        <v/>
      </c>
      <c r="H148" s="2">
        <f>_xlfn.XLOOKUP(C148,customers!$A$1:$A$1001,customers!$G$1:$G$1001,,0)</f>
        <v/>
      </c>
      <c r="I148">
        <f>INDEX(products!$A$1:$G$49,MATCH(orders!$D148,products!$A$1:$A$49,0),MATCH(orders!I$1,products!$A$1:$G$1,0))</f>
        <v/>
      </c>
      <c r="J148">
        <f>INDEX(products!$A$1:$G$49,MATCH(orders!$D148,products!$A$1:$A$49,0),MATCH(orders!J$1,products!$A$1:$G$1,0))</f>
        <v/>
      </c>
      <c r="K148" s="4">
        <f>INDEX(products!$A$1:$G$49,MATCH(orders!$D148,products!$A$1:$A$49,0),MATCH(orders!K$1,products!$A$1:$G$1,0))</f>
        <v/>
      </c>
      <c r="L148" s="5">
        <f>INDEX(products!$A$1:$G$49,MATCH(orders!$D148,products!$A$1:$A$49,0),MATCH(orders!L$1,products!$A$1:$G$1,0))</f>
        <v/>
      </c>
      <c r="M148" s="5">
        <f>L148*E148</f>
        <v/>
      </c>
      <c r="N148">
        <f>IF(I148="Rob","Robusta",IF(I148="Exc","Excelsa",IF(I148="Ara","Arabica",IF(I148="Lib","Liberica",""))))</f>
        <v/>
      </c>
      <c r="O148">
        <f>IF(J148="M","Medium",IF(J148="L","Light",IF(J148="D","Dark","")))</f>
        <v/>
      </c>
      <c r="P148">
        <f>_xlfn.XLOOKUP(Orders[[#This Row],[Customer ID]],customers!$A$1:$A$1001,customers!$I$1:$I$1001,,0)</f>
        <v/>
      </c>
    </row>
    <row r="149">
      <c r="A149" s="2" t="inlineStr">
        <is>
          <t>O1385</t>
        </is>
      </c>
      <c r="B149" s="3" t="inlineStr">
        <is>
          <t>2024-05-28</t>
        </is>
      </c>
      <c r="C149" s="2" t="inlineStr">
        <is>
          <t>O6327</t>
        </is>
      </c>
      <c r="D149" t="inlineStr">
        <is>
          <t>O8512</t>
        </is>
      </c>
      <c r="E149" s="2" t="n">
        <v>122</v>
      </c>
      <c r="F149" s="2">
        <f>_xlfn.XLOOKUP(C149,customers!$A$1:$A$1001,customers!$B$1:$B$1001,,0)</f>
        <v/>
      </c>
      <c r="G149" s="2">
        <f>IF(_xlfn.XLOOKUP(C149,customers!$A$1:$A$1001,customers!$C$1:$C$1001,,0)=0,"",_xlfn.XLOOKUP(C149,customers!$A$1:$A$1001,customers!$C$1:$C$1001,,0))</f>
        <v/>
      </c>
      <c r="H149" s="2">
        <f>_xlfn.XLOOKUP(C149,customers!$A$1:$A$1001,customers!$G$1:$G$1001,,0)</f>
        <v/>
      </c>
      <c r="I149">
        <f>INDEX(products!$A$1:$G$49,MATCH(orders!$D149,products!$A$1:$A$49,0),MATCH(orders!I$1,products!$A$1:$G$1,0))</f>
        <v/>
      </c>
      <c r="J149">
        <f>INDEX(products!$A$1:$G$49,MATCH(orders!$D149,products!$A$1:$A$49,0),MATCH(orders!J$1,products!$A$1:$G$1,0))</f>
        <v/>
      </c>
      <c r="K149" s="4">
        <f>INDEX(products!$A$1:$G$49,MATCH(orders!$D149,products!$A$1:$A$49,0),MATCH(orders!K$1,products!$A$1:$G$1,0))</f>
        <v/>
      </c>
      <c r="L149" s="5">
        <f>INDEX(products!$A$1:$G$49,MATCH(orders!$D149,products!$A$1:$A$49,0),MATCH(orders!L$1,products!$A$1:$G$1,0))</f>
        <v/>
      </c>
      <c r="M149" s="5">
        <f>L149*E149</f>
        <v/>
      </c>
      <c r="N149">
        <f>IF(I149="Rob","Robusta",IF(I149="Exc","Excelsa",IF(I149="Ara","Arabica",IF(I149="Lib","Liberica",""))))</f>
        <v/>
      </c>
      <c r="O149">
        <f>IF(J149="M","Medium",IF(J149="L","Light",IF(J149="D","Dark","")))</f>
        <v/>
      </c>
      <c r="P149">
        <f>_xlfn.XLOOKUP(Orders[[#This Row],[Customer ID]],customers!$A$1:$A$1001,customers!$I$1:$I$1001,,0)</f>
        <v/>
      </c>
    </row>
    <row r="150">
      <c r="A150" s="2" t="inlineStr">
        <is>
          <t>O5016</t>
        </is>
      </c>
      <c r="B150" s="3" t="inlineStr">
        <is>
          <t>2020-10-07</t>
        </is>
      </c>
      <c r="C150" s="2" t="inlineStr">
        <is>
          <t>O7655</t>
        </is>
      </c>
      <c r="D150" t="inlineStr">
        <is>
          <t>O4154</t>
        </is>
      </c>
      <c r="E150" s="2" t="n">
        <v>2</v>
      </c>
      <c r="F150" s="2">
        <f>_xlfn.XLOOKUP(C150,customers!$A$1:$A$1001,customers!$B$1:$B$1001,,0)</f>
        <v/>
      </c>
      <c r="G150" s="2">
        <f>IF(_xlfn.XLOOKUP(C150,customers!$A$1:$A$1001,customers!$C$1:$C$1001,,0)=0,"",_xlfn.XLOOKUP(C150,customers!$A$1:$A$1001,customers!$C$1:$C$1001,,0))</f>
        <v/>
      </c>
      <c r="H150" s="2">
        <f>_xlfn.XLOOKUP(C150,customers!$A$1:$A$1001,customers!$G$1:$G$1001,,0)</f>
        <v/>
      </c>
      <c r="I150">
        <f>INDEX(products!$A$1:$G$49,MATCH(orders!$D150,products!$A$1:$A$49,0),MATCH(orders!I$1,products!$A$1:$G$1,0))</f>
        <v/>
      </c>
      <c r="J150">
        <f>INDEX(products!$A$1:$G$49,MATCH(orders!$D150,products!$A$1:$A$49,0),MATCH(orders!J$1,products!$A$1:$G$1,0))</f>
        <v/>
      </c>
      <c r="K150" s="4">
        <f>INDEX(products!$A$1:$G$49,MATCH(orders!$D150,products!$A$1:$A$49,0),MATCH(orders!K$1,products!$A$1:$G$1,0))</f>
        <v/>
      </c>
      <c r="L150" s="5">
        <f>INDEX(products!$A$1:$G$49,MATCH(orders!$D150,products!$A$1:$A$49,0),MATCH(orders!L$1,products!$A$1:$G$1,0))</f>
        <v/>
      </c>
      <c r="M150" s="5">
        <f>L150*E150</f>
        <v/>
      </c>
      <c r="N150">
        <f>IF(I150="Rob","Robusta",IF(I150="Exc","Excelsa",IF(I150="Ara","Arabica",IF(I150="Lib","Liberica",""))))</f>
        <v/>
      </c>
      <c r="O150">
        <f>IF(J150="M","Medium",IF(J150="L","Light",IF(J150="D","Dark","")))</f>
        <v/>
      </c>
      <c r="P150">
        <f>_xlfn.XLOOKUP(Orders[[#This Row],[Customer ID]],customers!$A$1:$A$1001,customers!$I$1:$I$1001,,0)</f>
        <v/>
      </c>
    </row>
    <row r="151">
      <c r="A151" s="2" t="inlineStr">
        <is>
          <t>O6330</t>
        </is>
      </c>
      <c r="B151" s="3" t="inlineStr">
        <is>
          <t>2020-08-07</t>
        </is>
      </c>
      <c r="C151" s="2" t="inlineStr">
        <is>
          <t>O2536</t>
        </is>
      </c>
      <c r="D151" t="inlineStr">
        <is>
          <t>O6660</t>
        </is>
      </c>
      <c r="E151" s="2" t="n">
        <v>496</v>
      </c>
      <c r="F151" s="2">
        <f>_xlfn.XLOOKUP(C151,customers!$A$1:$A$1001,customers!$B$1:$B$1001,,0)</f>
        <v/>
      </c>
      <c r="G151" s="2">
        <f>IF(_xlfn.XLOOKUP(C151,customers!$A$1:$A$1001,customers!$C$1:$C$1001,,0)=0,"",_xlfn.XLOOKUP(C151,customers!$A$1:$A$1001,customers!$C$1:$C$1001,,0))</f>
        <v/>
      </c>
      <c r="H151" s="2">
        <f>_xlfn.XLOOKUP(C151,customers!$A$1:$A$1001,customers!$G$1:$G$1001,,0)</f>
        <v/>
      </c>
      <c r="I151">
        <f>INDEX(products!$A$1:$G$49,MATCH(orders!$D151,products!$A$1:$A$49,0),MATCH(orders!I$1,products!$A$1:$G$1,0))</f>
        <v/>
      </c>
      <c r="J151">
        <f>INDEX(products!$A$1:$G$49,MATCH(orders!$D151,products!$A$1:$A$49,0),MATCH(orders!J$1,products!$A$1:$G$1,0))</f>
        <v/>
      </c>
      <c r="K151" s="4">
        <f>INDEX(products!$A$1:$G$49,MATCH(orders!$D151,products!$A$1:$A$49,0),MATCH(orders!K$1,products!$A$1:$G$1,0))</f>
        <v/>
      </c>
      <c r="L151" s="5">
        <f>INDEX(products!$A$1:$G$49,MATCH(orders!$D151,products!$A$1:$A$49,0),MATCH(orders!L$1,products!$A$1:$G$1,0))</f>
        <v/>
      </c>
      <c r="M151" s="5">
        <f>L151*E151</f>
        <v/>
      </c>
      <c r="N151">
        <f>IF(I151="Rob","Robusta",IF(I151="Exc","Excelsa",IF(I151="Ara","Arabica",IF(I151="Lib","Liberica",""))))</f>
        <v/>
      </c>
      <c r="O151">
        <f>IF(J151="M","Medium",IF(J151="L","Light",IF(J151="D","Dark","")))</f>
        <v/>
      </c>
      <c r="P151">
        <f>_xlfn.XLOOKUP(Orders[[#This Row],[Customer ID]],customers!$A$1:$A$1001,customers!$I$1:$I$1001,,0)</f>
        <v/>
      </c>
    </row>
    <row r="152">
      <c r="A152" s="2" t="inlineStr">
        <is>
          <t>O9611</t>
        </is>
      </c>
      <c r="B152" s="3" t="inlineStr">
        <is>
          <t>2022-04-20</t>
        </is>
      </c>
      <c r="C152" s="2" t="inlineStr">
        <is>
          <t>O2138</t>
        </is>
      </c>
      <c r="D152" t="inlineStr">
        <is>
          <t>O5909</t>
        </is>
      </c>
      <c r="E152" s="2" t="n">
        <v>228</v>
      </c>
      <c r="F152" s="2">
        <f>_xlfn.XLOOKUP(C152,customers!$A$1:$A$1001,customers!$B$1:$B$1001,,0)</f>
        <v/>
      </c>
      <c r="G152" s="2">
        <f>IF(_xlfn.XLOOKUP(C152,customers!$A$1:$A$1001,customers!$C$1:$C$1001,,0)=0,"",_xlfn.XLOOKUP(C152,customers!$A$1:$A$1001,customers!$C$1:$C$1001,,0))</f>
        <v/>
      </c>
      <c r="H152" s="2">
        <f>_xlfn.XLOOKUP(C152,customers!$A$1:$A$1001,customers!$G$1:$G$1001,,0)</f>
        <v/>
      </c>
      <c r="I152">
        <f>INDEX(products!$A$1:$G$49,MATCH(orders!$D152,products!$A$1:$A$49,0),MATCH(orders!I$1,products!$A$1:$G$1,0))</f>
        <v/>
      </c>
      <c r="J152">
        <f>INDEX(products!$A$1:$G$49,MATCH(orders!$D152,products!$A$1:$A$49,0),MATCH(orders!J$1,products!$A$1:$G$1,0))</f>
        <v/>
      </c>
      <c r="K152" s="4">
        <f>INDEX(products!$A$1:$G$49,MATCH(orders!$D152,products!$A$1:$A$49,0),MATCH(orders!K$1,products!$A$1:$G$1,0))</f>
        <v/>
      </c>
      <c r="L152" s="5">
        <f>INDEX(products!$A$1:$G$49,MATCH(orders!$D152,products!$A$1:$A$49,0),MATCH(orders!L$1,products!$A$1:$G$1,0))</f>
        <v/>
      </c>
      <c r="M152" s="5">
        <f>L152*E152</f>
        <v/>
      </c>
      <c r="N152">
        <f>IF(I152="Rob","Robusta",IF(I152="Exc","Excelsa",IF(I152="Ara","Arabica",IF(I152="Lib","Liberica",""))))</f>
        <v/>
      </c>
      <c r="O152">
        <f>IF(J152="M","Medium",IF(J152="L","Light",IF(J152="D","Dark","")))</f>
        <v/>
      </c>
      <c r="P152">
        <f>_xlfn.XLOOKUP(Orders[[#This Row],[Customer ID]],customers!$A$1:$A$1001,customers!$I$1:$I$1001,,0)</f>
        <v/>
      </c>
    </row>
    <row r="153">
      <c r="A153" s="2" t="inlineStr">
        <is>
          <t>O1529</t>
        </is>
      </c>
      <c r="B153" s="3" t="inlineStr">
        <is>
          <t>2021-03-26</t>
        </is>
      </c>
      <c r="C153" s="2" t="inlineStr">
        <is>
          <t>O9239</t>
        </is>
      </c>
      <c r="D153" t="inlineStr">
        <is>
          <t>O8106</t>
        </is>
      </c>
      <c r="E153" s="2" t="n">
        <v>233</v>
      </c>
      <c r="F153" s="2">
        <f>_xlfn.XLOOKUP(C153,customers!$A$1:$A$1001,customers!$B$1:$B$1001,,0)</f>
        <v/>
      </c>
      <c r="G153" s="2">
        <f>IF(_xlfn.XLOOKUP(C153,customers!$A$1:$A$1001,customers!$C$1:$C$1001,,0)=0,"",_xlfn.XLOOKUP(C153,customers!$A$1:$A$1001,customers!$C$1:$C$1001,,0))</f>
        <v/>
      </c>
      <c r="H153" s="2">
        <f>_xlfn.XLOOKUP(C153,customers!$A$1:$A$1001,customers!$G$1:$G$1001,,0)</f>
        <v/>
      </c>
      <c r="I153">
        <f>INDEX(products!$A$1:$G$49,MATCH(orders!$D153,products!$A$1:$A$49,0),MATCH(orders!I$1,products!$A$1:$G$1,0))</f>
        <v/>
      </c>
      <c r="J153">
        <f>INDEX(products!$A$1:$G$49,MATCH(orders!$D153,products!$A$1:$A$49,0),MATCH(orders!J$1,products!$A$1:$G$1,0))</f>
        <v/>
      </c>
      <c r="K153" s="4">
        <f>INDEX(products!$A$1:$G$49,MATCH(orders!$D153,products!$A$1:$A$49,0),MATCH(orders!K$1,products!$A$1:$G$1,0))</f>
        <v/>
      </c>
      <c r="L153" s="5">
        <f>INDEX(products!$A$1:$G$49,MATCH(orders!$D153,products!$A$1:$A$49,0),MATCH(orders!L$1,products!$A$1:$G$1,0))</f>
        <v/>
      </c>
      <c r="M153" s="5">
        <f>L153*E153</f>
        <v/>
      </c>
      <c r="N153">
        <f>IF(I153="Rob","Robusta",IF(I153="Exc","Excelsa",IF(I153="Ara","Arabica",IF(I153="Lib","Liberica",""))))</f>
        <v/>
      </c>
      <c r="O153">
        <f>IF(J153="M","Medium",IF(J153="L","Light",IF(J153="D","Dark","")))</f>
        <v/>
      </c>
      <c r="P153">
        <f>_xlfn.XLOOKUP(Orders[[#This Row],[Customer ID]],customers!$A$1:$A$1001,customers!$I$1:$I$1001,,0)</f>
        <v/>
      </c>
    </row>
    <row r="154">
      <c r="A154" s="2" t="inlineStr">
        <is>
          <t>O1834</t>
        </is>
      </c>
      <c r="B154" s="3" t="inlineStr">
        <is>
          <t>2020-04-09</t>
        </is>
      </c>
      <c r="C154" s="2" t="inlineStr">
        <is>
          <t>O2037</t>
        </is>
      </c>
      <c r="D154" t="inlineStr">
        <is>
          <t>O9298</t>
        </is>
      </c>
      <c r="E154" s="2" t="n">
        <v>344</v>
      </c>
      <c r="F154" s="2">
        <f>_xlfn.XLOOKUP(C154,customers!$A$1:$A$1001,customers!$B$1:$B$1001,,0)</f>
        <v/>
      </c>
      <c r="G154" s="2">
        <f>IF(_xlfn.XLOOKUP(C154,customers!$A$1:$A$1001,customers!$C$1:$C$1001,,0)=0,"",_xlfn.XLOOKUP(C154,customers!$A$1:$A$1001,customers!$C$1:$C$1001,,0))</f>
        <v/>
      </c>
      <c r="H154" s="2">
        <f>_xlfn.XLOOKUP(C154,customers!$A$1:$A$1001,customers!$G$1:$G$1001,,0)</f>
        <v/>
      </c>
      <c r="I154">
        <f>INDEX(products!$A$1:$G$49,MATCH(orders!$D154,products!$A$1:$A$49,0),MATCH(orders!I$1,products!$A$1:$G$1,0))</f>
        <v/>
      </c>
      <c r="J154">
        <f>INDEX(products!$A$1:$G$49,MATCH(orders!$D154,products!$A$1:$A$49,0),MATCH(orders!J$1,products!$A$1:$G$1,0))</f>
        <v/>
      </c>
      <c r="K154" s="4">
        <f>INDEX(products!$A$1:$G$49,MATCH(orders!$D154,products!$A$1:$A$49,0),MATCH(orders!K$1,products!$A$1:$G$1,0))</f>
        <v/>
      </c>
      <c r="L154" s="5">
        <f>INDEX(products!$A$1:$G$49,MATCH(orders!$D154,products!$A$1:$A$49,0),MATCH(orders!L$1,products!$A$1:$G$1,0))</f>
        <v/>
      </c>
      <c r="M154" s="5">
        <f>L154*E154</f>
        <v/>
      </c>
      <c r="N154">
        <f>IF(I154="Rob","Robusta",IF(I154="Exc","Excelsa",IF(I154="Ara","Arabica",IF(I154="Lib","Liberica",""))))</f>
        <v/>
      </c>
      <c r="O154">
        <f>IF(J154="M","Medium",IF(J154="L","Light",IF(J154="D","Dark","")))</f>
        <v/>
      </c>
      <c r="P154">
        <f>_xlfn.XLOOKUP(Orders[[#This Row],[Customer ID]],customers!$A$1:$A$1001,customers!$I$1:$I$1001,,0)</f>
        <v/>
      </c>
    </row>
    <row r="155">
      <c r="A155" s="2" t="inlineStr">
        <is>
          <t>O5248</t>
        </is>
      </c>
      <c r="B155" s="3" t="inlineStr">
        <is>
          <t>2024-02-28</t>
        </is>
      </c>
      <c r="C155" s="2" t="inlineStr">
        <is>
          <t>O5344</t>
        </is>
      </c>
      <c r="D155" t="inlineStr">
        <is>
          <t>O9517</t>
        </is>
      </c>
      <c r="E155" s="2" t="n">
        <v>272</v>
      </c>
      <c r="F155" s="2">
        <f>_xlfn.XLOOKUP(C155,customers!$A$1:$A$1001,customers!$B$1:$B$1001,,0)</f>
        <v/>
      </c>
      <c r="G155" s="2">
        <f>IF(_xlfn.XLOOKUP(C155,customers!$A$1:$A$1001,customers!$C$1:$C$1001,,0)=0,"",_xlfn.XLOOKUP(C155,customers!$A$1:$A$1001,customers!$C$1:$C$1001,,0))</f>
        <v/>
      </c>
      <c r="H155" s="2">
        <f>_xlfn.XLOOKUP(C155,customers!$A$1:$A$1001,customers!$G$1:$G$1001,,0)</f>
        <v/>
      </c>
      <c r="I155">
        <f>INDEX(products!$A$1:$G$49,MATCH(orders!$D155,products!$A$1:$A$49,0),MATCH(orders!I$1,products!$A$1:$G$1,0))</f>
        <v/>
      </c>
      <c r="J155">
        <f>INDEX(products!$A$1:$G$49,MATCH(orders!$D155,products!$A$1:$A$49,0),MATCH(orders!J$1,products!$A$1:$G$1,0))</f>
        <v/>
      </c>
      <c r="K155" s="4">
        <f>INDEX(products!$A$1:$G$49,MATCH(orders!$D155,products!$A$1:$A$49,0),MATCH(orders!K$1,products!$A$1:$G$1,0))</f>
        <v/>
      </c>
      <c r="L155" s="5">
        <f>INDEX(products!$A$1:$G$49,MATCH(orders!$D155,products!$A$1:$A$49,0),MATCH(orders!L$1,products!$A$1:$G$1,0))</f>
        <v/>
      </c>
      <c r="M155" s="5">
        <f>L155*E155</f>
        <v/>
      </c>
      <c r="N155">
        <f>IF(I155="Rob","Robusta",IF(I155="Exc","Excelsa",IF(I155="Ara","Arabica",IF(I155="Lib","Liberica",""))))</f>
        <v/>
      </c>
      <c r="O155">
        <f>IF(J155="M","Medium",IF(J155="L","Light",IF(J155="D","Dark","")))</f>
        <v/>
      </c>
      <c r="P155">
        <f>_xlfn.XLOOKUP(Orders[[#This Row],[Customer ID]],customers!$A$1:$A$1001,customers!$I$1:$I$1001,,0)</f>
        <v/>
      </c>
    </row>
    <row r="156">
      <c r="A156" s="2" t="inlineStr">
        <is>
          <t>O6515</t>
        </is>
      </c>
      <c r="B156" s="3" t="inlineStr">
        <is>
          <t>2024-09-01</t>
        </is>
      </c>
      <c r="C156" s="2" t="inlineStr">
        <is>
          <t>O9480</t>
        </is>
      </c>
      <c r="D156" t="inlineStr">
        <is>
          <t>O2092</t>
        </is>
      </c>
      <c r="E156" s="2" t="n">
        <v>157</v>
      </c>
      <c r="F156" s="2">
        <f>_xlfn.XLOOKUP(C156,customers!$A$1:$A$1001,customers!$B$1:$B$1001,,0)</f>
        <v/>
      </c>
      <c r="G156" s="2">
        <f>IF(_xlfn.XLOOKUP(C156,customers!$A$1:$A$1001,customers!$C$1:$C$1001,,0)=0,"",_xlfn.XLOOKUP(C156,customers!$A$1:$A$1001,customers!$C$1:$C$1001,,0))</f>
        <v/>
      </c>
      <c r="H156" s="2">
        <f>_xlfn.XLOOKUP(C156,customers!$A$1:$A$1001,customers!$G$1:$G$1001,,0)</f>
        <v/>
      </c>
      <c r="I156">
        <f>INDEX(products!$A$1:$G$49,MATCH(orders!$D156,products!$A$1:$A$49,0),MATCH(orders!I$1,products!$A$1:$G$1,0))</f>
        <v/>
      </c>
      <c r="J156">
        <f>INDEX(products!$A$1:$G$49,MATCH(orders!$D156,products!$A$1:$A$49,0),MATCH(orders!J$1,products!$A$1:$G$1,0))</f>
        <v/>
      </c>
      <c r="K156" s="4">
        <f>INDEX(products!$A$1:$G$49,MATCH(orders!$D156,products!$A$1:$A$49,0),MATCH(orders!K$1,products!$A$1:$G$1,0))</f>
        <v/>
      </c>
      <c r="L156" s="5">
        <f>INDEX(products!$A$1:$G$49,MATCH(orders!$D156,products!$A$1:$A$49,0),MATCH(orders!L$1,products!$A$1:$G$1,0))</f>
        <v/>
      </c>
      <c r="M156" s="5">
        <f>L156*E156</f>
        <v/>
      </c>
      <c r="N156">
        <f>IF(I156="Rob","Robusta",IF(I156="Exc","Excelsa",IF(I156="Ara","Arabica",IF(I156="Lib","Liberica",""))))</f>
        <v/>
      </c>
      <c r="O156">
        <f>IF(J156="M","Medium",IF(J156="L","Light",IF(J156="D","Dark","")))</f>
        <v/>
      </c>
      <c r="P156">
        <f>_xlfn.XLOOKUP(Orders[[#This Row],[Customer ID]],customers!$A$1:$A$1001,customers!$I$1:$I$1001,,0)</f>
        <v/>
      </c>
    </row>
    <row r="157">
      <c r="A157" s="2" t="inlineStr">
        <is>
          <t>O9066</t>
        </is>
      </c>
      <c r="B157" s="3" t="inlineStr">
        <is>
          <t>2022-08-27</t>
        </is>
      </c>
      <c r="C157" s="2" t="inlineStr">
        <is>
          <t>O2085</t>
        </is>
      </c>
      <c r="D157" t="inlineStr">
        <is>
          <t>O5946</t>
        </is>
      </c>
      <c r="E157" s="2" t="n">
        <v>364</v>
      </c>
      <c r="F157" s="2">
        <f>_xlfn.XLOOKUP(C157,customers!$A$1:$A$1001,customers!$B$1:$B$1001,,0)</f>
        <v/>
      </c>
      <c r="G157" s="2">
        <f>IF(_xlfn.XLOOKUP(C157,customers!$A$1:$A$1001,customers!$C$1:$C$1001,,0)=0,"",_xlfn.XLOOKUP(C157,customers!$A$1:$A$1001,customers!$C$1:$C$1001,,0))</f>
        <v/>
      </c>
      <c r="H157" s="2">
        <f>_xlfn.XLOOKUP(C157,customers!$A$1:$A$1001,customers!$G$1:$G$1001,,0)</f>
        <v/>
      </c>
      <c r="I157">
        <f>INDEX(products!$A$1:$G$49,MATCH(orders!$D157,products!$A$1:$A$49,0),MATCH(orders!I$1,products!$A$1:$G$1,0))</f>
        <v/>
      </c>
      <c r="J157">
        <f>INDEX(products!$A$1:$G$49,MATCH(orders!$D157,products!$A$1:$A$49,0),MATCH(orders!J$1,products!$A$1:$G$1,0))</f>
        <v/>
      </c>
      <c r="K157" s="4">
        <f>INDEX(products!$A$1:$G$49,MATCH(orders!$D157,products!$A$1:$A$49,0),MATCH(orders!K$1,products!$A$1:$G$1,0))</f>
        <v/>
      </c>
      <c r="L157" s="5">
        <f>INDEX(products!$A$1:$G$49,MATCH(orders!$D157,products!$A$1:$A$49,0),MATCH(orders!L$1,products!$A$1:$G$1,0))</f>
        <v/>
      </c>
      <c r="M157" s="5">
        <f>L157*E157</f>
        <v/>
      </c>
      <c r="N157">
        <f>IF(I157="Rob","Robusta",IF(I157="Exc","Excelsa",IF(I157="Ara","Arabica",IF(I157="Lib","Liberica",""))))</f>
        <v/>
      </c>
      <c r="O157">
        <f>IF(J157="M","Medium",IF(J157="L","Light",IF(J157="D","Dark","")))</f>
        <v/>
      </c>
      <c r="P157">
        <f>_xlfn.XLOOKUP(Orders[[#This Row],[Customer ID]],customers!$A$1:$A$1001,customers!$I$1:$I$1001,,0)</f>
        <v/>
      </c>
    </row>
    <row r="158">
      <c r="A158" s="2" t="inlineStr">
        <is>
          <t>O4280</t>
        </is>
      </c>
      <c r="B158" s="3" t="inlineStr">
        <is>
          <t>2020-08-13</t>
        </is>
      </c>
      <c r="C158" s="2" t="inlineStr">
        <is>
          <t>O7030</t>
        </is>
      </c>
      <c r="D158" t="inlineStr">
        <is>
          <t>O2556</t>
        </is>
      </c>
      <c r="E158" s="2" t="n">
        <v>69</v>
      </c>
      <c r="F158" s="2">
        <f>_xlfn.XLOOKUP(C158,customers!$A$1:$A$1001,customers!$B$1:$B$1001,,0)</f>
        <v/>
      </c>
      <c r="G158" s="2">
        <f>IF(_xlfn.XLOOKUP(C158,customers!$A$1:$A$1001,customers!$C$1:$C$1001,,0)=0,"",_xlfn.XLOOKUP(C158,customers!$A$1:$A$1001,customers!$C$1:$C$1001,,0))</f>
        <v/>
      </c>
      <c r="H158" s="2">
        <f>_xlfn.XLOOKUP(C158,customers!$A$1:$A$1001,customers!$G$1:$G$1001,,0)</f>
        <v/>
      </c>
      <c r="I158">
        <f>INDEX(products!$A$1:$G$49,MATCH(orders!$D158,products!$A$1:$A$49,0),MATCH(orders!I$1,products!$A$1:$G$1,0))</f>
        <v/>
      </c>
      <c r="J158">
        <f>INDEX(products!$A$1:$G$49,MATCH(orders!$D158,products!$A$1:$A$49,0),MATCH(orders!J$1,products!$A$1:$G$1,0))</f>
        <v/>
      </c>
      <c r="K158" s="4">
        <f>INDEX(products!$A$1:$G$49,MATCH(orders!$D158,products!$A$1:$A$49,0),MATCH(orders!K$1,products!$A$1:$G$1,0))</f>
        <v/>
      </c>
      <c r="L158" s="5">
        <f>INDEX(products!$A$1:$G$49,MATCH(orders!$D158,products!$A$1:$A$49,0),MATCH(orders!L$1,products!$A$1:$G$1,0))</f>
        <v/>
      </c>
      <c r="M158" s="5">
        <f>L158*E158</f>
        <v/>
      </c>
      <c r="N158">
        <f>IF(I158="Rob","Robusta",IF(I158="Exc","Excelsa",IF(I158="Ara","Arabica",IF(I158="Lib","Liberica",""))))</f>
        <v/>
      </c>
      <c r="O158">
        <f>IF(J158="M","Medium",IF(J158="L","Light",IF(J158="D","Dark","")))</f>
        <v/>
      </c>
      <c r="P158">
        <f>_xlfn.XLOOKUP(Orders[[#This Row],[Customer ID]],customers!$A$1:$A$1001,customers!$I$1:$I$1001,,0)</f>
        <v/>
      </c>
    </row>
    <row r="159">
      <c r="A159" s="2" t="inlineStr">
        <is>
          <t>O4368</t>
        </is>
      </c>
      <c r="B159" s="3" t="inlineStr">
        <is>
          <t>2021-01-25</t>
        </is>
      </c>
      <c r="C159" s="2" t="inlineStr">
        <is>
          <t>O5116</t>
        </is>
      </c>
      <c r="D159" t="inlineStr">
        <is>
          <t>O2447</t>
        </is>
      </c>
      <c r="E159" s="2" t="n">
        <v>239</v>
      </c>
      <c r="F159" s="2">
        <f>_xlfn.XLOOKUP(C159,customers!$A$1:$A$1001,customers!$B$1:$B$1001,,0)</f>
        <v/>
      </c>
      <c r="G159" s="2">
        <f>IF(_xlfn.XLOOKUP(C159,customers!$A$1:$A$1001,customers!$C$1:$C$1001,,0)=0,"",_xlfn.XLOOKUP(C159,customers!$A$1:$A$1001,customers!$C$1:$C$1001,,0))</f>
        <v/>
      </c>
      <c r="H159" s="2">
        <f>_xlfn.XLOOKUP(C159,customers!$A$1:$A$1001,customers!$G$1:$G$1001,,0)</f>
        <v/>
      </c>
      <c r="I159">
        <f>INDEX(products!$A$1:$G$49,MATCH(orders!$D159,products!$A$1:$A$49,0),MATCH(orders!I$1,products!$A$1:$G$1,0))</f>
        <v/>
      </c>
      <c r="J159">
        <f>INDEX(products!$A$1:$G$49,MATCH(orders!$D159,products!$A$1:$A$49,0),MATCH(orders!J$1,products!$A$1:$G$1,0))</f>
        <v/>
      </c>
      <c r="K159" s="4">
        <f>INDEX(products!$A$1:$G$49,MATCH(orders!$D159,products!$A$1:$A$49,0),MATCH(orders!K$1,products!$A$1:$G$1,0))</f>
        <v/>
      </c>
      <c r="L159" s="5">
        <f>INDEX(products!$A$1:$G$49,MATCH(orders!$D159,products!$A$1:$A$49,0),MATCH(orders!L$1,products!$A$1:$G$1,0))</f>
        <v/>
      </c>
      <c r="M159" s="5">
        <f>L159*E159</f>
        <v/>
      </c>
      <c r="N159">
        <f>IF(I159="Rob","Robusta",IF(I159="Exc","Excelsa",IF(I159="Ara","Arabica",IF(I159="Lib","Liberica",""))))</f>
        <v/>
      </c>
      <c r="O159">
        <f>IF(J159="M","Medium",IF(J159="L","Light",IF(J159="D","Dark","")))</f>
        <v/>
      </c>
      <c r="P159">
        <f>_xlfn.XLOOKUP(Orders[[#This Row],[Customer ID]],customers!$A$1:$A$1001,customers!$I$1:$I$1001,,0)</f>
        <v/>
      </c>
    </row>
    <row r="160">
      <c r="A160" s="2" t="inlineStr">
        <is>
          <t>O6115</t>
        </is>
      </c>
      <c r="B160" s="3" t="inlineStr">
        <is>
          <t>2023-03-08</t>
        </is>
      </c>
      <c r="C160" s="2" t="inlineStr">
        <is>
          <t>O7904</t>
        </is>
      </c>
      <c r="D160" t="inlineStr">
        <is>
          <t>O5553</t>
        </is>
      </c>
      <c r="E160" s="2" t="n">
        <v>93</v>
      </c>
      <c r="F160" s="2">
        <f>_xlfn.XLOOKUP(C160,customers!$A$1:$A$1001,customers!$B$1:$B$1001,,0)</f>
        <v/>
      </c>
      <c r="G160" s="2">
        <f>IF(_xlfn.XLOOKUP(C160,customers!$A$1:$A$1001,customers!$C$1:$C$1001,,0)=0,"",_xlfn.XLOOKUP(C160,customers!$A$1:$A$1001,customers!$C$1:$C$1001,,0))</f>
        <v/>
      </c>
      <c r="H160" s="2">
        <f>_xlfn.XLOOKUP(C160,customers!$A$1:$A$1001,customers!$G$1:$G$1001,,0)</f>
        <v/>
      </c>
      <c r="I160">
        <f>INDEX(products!$A$1:$G$49,MATCH(orders!$D160,products!$A$1:$A$49,0),MATCH(orders!I$1,products!$A$1:$G$1,0))</f>
        <v/>
      </c>
      <c r="J160">
        <f>INDEX(products!$A$1:$G$49,MATCH(orders!$D160,products!$A$1:$A$49,0),MATCH(orders!J$1,products!$A$1:$G$1,0))</f>
        <v/>
      </c>
      <c r="K160" s="4">
        <f>INDEX(products!$A$1:$G$49,MATCH(orders!$D160,products!$A$1:$A$49,0),MATCH(orders!K$1,products!$A$1:$G$1,0))</f>
        <v/>
      </c>
      <c r="L160" s="5">
        <f>INDEX(products!$A$1:$G$49,MATCH(orders!$D160,products!$A$1:$A$49,0),MATCH(orders!L$1,products!$A$1:$G$1,0))</f>
        <v/>
      </c>
      <c r="M160" s="5">
        <f>L160*E160</f>
        <v/>
      </c>
      <c r="N160">
        <f>IF(I160="Rob","Robusta",IF(I160="Exc","Excelsa",IF(I160="Ara","Arabica",IF(I160="Lib","Liberica",""))))</f>
        <v/>
      </c>
      <c r="O160">
        <f>IF(J160="M","Medium",IF(J160="L","Light",IF(J160="D","Dark","")))</f>
        <v/>
      </c>
      <c r="P160">
        <f>_xlfn.XLOOKUP(Orders[[#This Row],[Customer ID]],customers!$A$1:$A$1001,customers!$I$1:$I$1001,,0)</f>
        <v/>
      </c>
    </row>
    <row r="161">
      <c r="A161" s="2" t="inlineStr">
        <is>
          <t>O6211</t>
        </is>
      </c>
      <c r="B161" s="3" t="inlineStr">
        <is>
          <t>2023-06-08</t>
        </is>
      </c>
      <c r="C161" s="2" t="inlineStr">
        <is>
          <t>O8943</t>
        </is>
      </c>
      <c r="D161" t="inlineStr">
        <is>
          <t>O1382</t>
        </is>
      </c>
      <c r="E161" s="2" t="n">
        <v>80</v>
      </c>
      <c r="F161" s="2">
        <f>_xlfn.XLOOKUP(C161,customers!$A$1:$A$1001,customers!$B$1:$B$1001,,0)</f>
        <v/>
      </c>
      <c r="G161" s="2">
        <f>IF(_xlfn.XLOOKUP(C161,customers!$A$1:$A$1001,customers!$C$1:$C$1001,,0)=0,"",_xlfn.XLOOKUP(C161,customers!$A$1:$A$1001,customers!$C$1:$C$1001,,0))</f>
        <v/>
      </c>
      <c r="H161" s="2">
        <f>_xlfn.XLOOKUP(C161,customers!$A$1:$A$1001,customers!$G$1:$G$1001,,0)</f>
        <v/>
      </c>
      <c r="I161">
        <f>INDEX(products!$A$1:$G$49,MATCH(orders!$D161,products!$A$1:$A$49,0),MATCH(orders!I$1,products!$A$1:$G$1,0))</f>
        <v/>
      </c>
      <c r="J161">
        <f>INDEX(products!$A$1:$G$49,MATCH(orders!$D161,products!$A$1:$A$49,0),MATCH(orders!J$1,products!$A$1:$G$1,0))</f>
        <v/>
      </c>
      <c r="K161" s="4">
        <f>INDEX(products!$A$1:$G$49,MATCH(orders!$D161,products!$A$1:$A$49,0),MATCH(orders!K$1,products!$A$1:$G$1,0))</f>
        <v/>
      </c>
      <c r="L161" s="5">
        <f>INDEX(products!$A$1:$G$49,MATCH(orders!$D161,products!$A$1:$A$49,0),MATCH(orders!L$1,products!$A$1:$G$1,0))</f>
        <v/>
      </c>
      <c r="M161" s="5">
        <f>L161*E161</f>
        <v/>
      </c>
      <c r="N161">
        <f>IF(I161="Rob","Robusta",IF(I161="Exc","Excelsa",IF(I161="Ara","Arabica",IF(I161="Lib","Liberica",""))))</f>
        <v/>
      </c>
      <c r="O161">
        <f>IF(J161="M","Medium",IF(J161="L","Light",IF(J161="D","Dark","")))</f>
        <v/>
      </c>
      <c r="P161">
        <f>_xlfn.XLOOKUP(Orders[[#This Row],[Customer ID]],customers!$A$1:$A$1001,customers!$I$1:$I$1001,,0)</f>
        <v/>
      </c>
    </row>
    <row r="162">
      <c r="A162" s="2" t="inlineStr">
        <is>
          <t>O8642</t>
        </is>
      </c>
      <c r="B162" s="3" t="inlineStr">
        <is>
          <t>2024-10-01</t>
        </is>
      </c>
      <c r="C162" s="2" t="inlineStr">
        <is>
          <t>O3488</t>
        </is>
      </c>
      <c r="D162" t="inlineStr">
        <is>
          <t>O8543</t>
        </is>
      </c>
      <c r="E162" s="2" t="n">
        <v>62</v>
      </c>
      <c r="F162" s="2">
        <f>_xlfn.XLOOKUP(C162,customers!$A$1:$A$1001,customers!$B$1:$B$1001,,0)</f>
        <v/>
      </c>
      <c r="G162" s="2">
        <f>IF(_xlfn.XLOOKUP(C162,customers!$A$1:$A$1001,customers!$C$1:$C$1001,,0)=0,"",_xlfn.XLOOKUP(C162,customers!$A$1:$A$1001,customers!$C$1:$C$1001,,0))</f>
        <v/>
      </c>
      <c r="H162" s="2">
        <f>_xlfn.XLOOKUP(C162,customers!$A$1:$A$1001,customers!$G$1:$G$1001,,0)</f>
        <v/>
      </c>
      <c r="I162">
        <f>INDEX(products!$A$1:$G$49,MATCH(orders!$D162,products!$A$1:$A$49,0),MATCH(orders!I$1,products!$A$1:$G$1,0))</f>
        <v/>
      </c>
      <c r="J162">
        <f>INDEX(products!$A$1:$G$49,MATCH(orders!$D162,products!$A$1:$A$49,0),MATCH(orders!J$1,products!$A$1:$G$1,0))</f>
        <v/>
      </c>
      <c r="K162" s="4">
        <f>INDEX(products!$A$1:$G$49,MATCH(orders!$D162,products!$A$1:$A$49,0),MATCH(orders!K$1,products!$A$1:$G$1,0))</f>
        <v/>
      </c>
      <c r="L162" s="5">
        <f>INDEX(products!$A$1:$G$49,MATCH(orders!$D162,products!$A$1:$A$49,0),MATCH(orders!L$1,products!$A$1:$G$1,0))</f>
        <v/>
      </c>
      <c r="M162" s="5">
        <f>L162*E162</f>
        <v/>
      </c>
      <c r="N162">
        <f>IF(I162="Rob","Robusta",IF(I162="Exc","Excelsa",IF(I162="Ara","Arabica",IF(I162="Lib","Liberica",""))))</f>
        <v/>
      </c>
      <c r="O162">
        <f>IF(J162="M","Medium",IF(J162="L","Light",IF(J162="D","Dark","")))</f>
        <v/>
      </c>
      <c r="P162">
        <f>_xlfn.XLOOKUP(Orders[[#This Row],[Customer ID]],customers!$A$1:$A$1001,customers!$I$1:$I$1001,,0)</f>
        <v/>
      </c>
    </row>
    <row r="163">
      <c r="A163" s="2" t="inlineStr">
        <is>
          <t>O4612</t>
        </is>
      </c>
      <c r="B163" s="3" t="inlineStr">
        <is>
          <t>2020-05-06</t>
        </is>
      </c>
      <c r="C163" s="2" t="inlineStr">
        <is>
          <t>O3964</t>
        </is>
      </c>
      <c r="D163" t="inlineStr">
        <is>
          <t>O4828</t>
        </is>
      </c>
      <c r="E163" s="2" t="n">
        <v>322</v>
      </c>
      <c r="F163" s="2">
        <f>_xlfn.XLOOKUP(C163,customers!$A$1:$A$1001,customers!$B$1:$B$1001,,0)</f>
        <v/>
      </c>
      <c r="G163" s="2">
        <f>IF(_xlfn.XLOOKUP(C163,customers!$A$1:$A$1001,customers!$C$1:$C$1001,,0)=0,"",_xlfn.XLOOKUP(C163,customers!$A$1:$A$1001,customers!$C$1:$C$1001,,0))</f>
        <v/>
      </c>
      <c r="H163" s="2">
        <f>_xlfn.XLOOKUP(C163,customers!$A$1:$A$1001,customers!$G$1:$G$1001,,0)</f>
        <v/>
      </c>
      <c r="I163">
        <f>INDEX(products!$A$1:$G$49,MATCH(orders!$D163,products!$A$1:$A$49,0),MATCH(orders!I$1,products!$A$1:$G$1,0))</f>
        <v/>
      </c>
      <c r="J163">
        <f>INDEX(products!$A$1:$G$49,MATCH(orders!$D163,products!$A$1:$A$49,0),MATCH(orders!J$1,products!$A$1:$G$1,0))</f>
        <v/>
      </c>
      <c r="K163" s="4">
        <f>INDEX(products!$A$1:$G$49,MATCH(orders!$D163,products!$A$1:$A$49,0),MATCH(orders!K$1,products!$A$1:$G$1,0))</f>
        <v/>
      </c>
      <c r="L163" s="5">
        <f>INDEX(products!$A$1:$G$49,MATCH(orders!$D163,products!$A$1:$A$49,0),MATCH(orders!L$1,products!$A$1:$G$1,0))</f>
        <v/>
      </c>
      <c r="M163" s="5">
        <f>L163*E163</f>
        <v/>
      </c>
      <c r="N163">
        <f>IF(I163="Rob","Robusta",IF(I163="Exc","Excelsa",IF(I163="Ara","Arabica",IF(I163="Lib","Liberica",""))))</f>
        <v/>
      </c>
      <c r="O163">
        <f>IF(J163="M","Medium",IF(J163="L","Light",IF(J163="D","Dark","")))</f>
        <v/>
      </c>
      <c r="P163">
        <f>_xlfn.XLOOKUP(Orders[[#This Row],[Customer ID]],customers!$A$1:$A$1001,customers!$I$1:$I$1001,,0)</f>
        <v/>
      </c>
    </row>
    <row r="164">
      <c r="A164" s="2" t="inlineStr">
        <is>
          <t>O7418</t>
        </is>
      </c>
      <c r="B164" s="3" t="inlineStr">
        <is>
          <t>2020-02-14</t>
        </is>
      </c>
      <c r="C164" s="2" t="inlineStr">
        <is>
          <t>O8727</t>
        </is>
      </c>
      <c r="D164" t="inlineStr">
        <is>
          <t>O8774</t>
        </is>
      </c>
      <c r="E164" s="2" t="n">
        <v>89</v>
      </c>
      <c r="F164" s="2">
        <f>_xlfn.XLOOKUP(C164,customers!$A$1:$A$1001,customers!$B$1:$B$1001,,0)</f>
        <v/>
      </c>
      <c r="G164" s="2">
        <f>IF(_xlfn.XLOOKUP(C164,customers!$A$1:$A$1001,customers!$C$1:$C$1001,,0)=0,"",_xlfn.XLOOKUP(C164,customers!$A$1:$A$1001,customers!$C$1:$C$1001,,0))</f>
        <v/>
      </c>
      <c r="H164" s="2">
        <f>_xlfn.XLOOKUP(C164,customers!$A$1:$A$1001,customers!$G$1:$G$1001,,0)</f>
        <v/>
      </c>
      <c r="I164">
        <f>INDEX(products!$A$1:$G$49,MATCH(orders!$D164,products!$A$1:$A$49,0),MATCH(orders!I$1,products!$A$1:$G$1,0))</f>
        <v/>
      </c>
      <c r="J164">
        <f>INDEX(products!$A$1:$G$49,MATCH(orders!$D164,products!$A$1:$A$49,0),MATCH(orders!J$1,products!$A$1:$G$1,0))</f>
        <v/>
      </c>
      <c r="K164" s="4">
        <f>INDEX(products!$A$1:$G$49,MATCH(orders!$D164,products!$A$1:$A$49,0),MATCH(orders!K$1,products!$A$1:$G$1,0))</f>
        <v/>
      </c>
      <c r="L164" s="5">
        <f>INDEX(products!$A$1:$G$49,MATCH(orders!$D164,products!$A$1:$A$49,0),MATCH(orders!L$1,products!$A$1:$G$1,0))</f>
        <v/>
      </c>
      <c r="M164" s="5">
        <f>L164*E164</f>
        <v/>
      </c>
      <c r="N164">
        <f>IF(I164="Rob","Robusta",IF(I164="Exc","Excelsa",IF(I164="Ara","Arabica",IF(I164="Lib","Liberica",""))))</f>
        <v/>
      </c>
      <c r="O164">
        <f>IF(J164="M","Medium",IF(J164="L","Light",IF(J164="D","Dark","")))</f>
        <v/>
      </c>
      <c r="P164">
        <f>_xlfn.XLOOKUP(Orders[[#This Row],[Customer ID]],customers!$A$1:$A$1001,customers!$I$1:$I$1001,,0)</f>
        <v/>
      </c>
    </row>
    <row r="165">
      <c r="A165" s="2" t="inlineStr">
        <is>
          <t>O3753</t>
        </is>
      </c>
      <c r="B165" s="3" t="inlineStr">
        <is>
          <t>2022-12-05</t>
        </is>
      </c>
      <c r="C165" s="2" t="inlineStr">
        <is>
          <t>O7657</t>
        </is>
      </c>
      <c r="D165" t="inlineStr">
        <is>
          <t>O9519</t>
        </is>
      </c>
      <c r="E165" s="2" t="n">
        <v>251</v>
      </c>
      <c r="F165" s="2">
        <f>_xlfn.XLOOKUP(C165,customers!$A$1:$A$1001,customers!$B$1:$B$1001,,0)</f>
        <v/>
      </c>
      <c r="G165" s="2">
        <f>IF(_xlfn.XLOOKUP(C165,customers!$A$1:$A$1001,customers!$C$1:$C$1001,,0)=0,"",_xlfn.XLOOKUP(C165,customers!$A$1:$A$1001,customers!$C$1:$C$1001,,0))</f>
        <v/>
      </c>
      <c r="H165" s="2">
        <f>_xlfn.XLOOKUP(C165,customers!$A$1:$A$1001,customers!$G$1:$G$1001,,0)</f>
        <v/>
      </c>
      <c r="I165">
        <f>INDEX(products!$A$1:$G$49,MATCH(orders!$D165,products!$A$1:$A$49,0),MATCH(orders!I$1,products!$A$1:$G$1,0))</f>
        <v/>
      </c>
      <c r="J165">
        <f>INDEX(products!$A$1:$G$49,MATCH(orders!$D165,products!$A$1:$A$49,0),MATCH(orders!J$1,products!$A$1:$G$1,0))</f>
        <v/>
      </c>
      <c r="K165" s="4">
        <f>INDEX(products!$A$1:$G$49,MATCH(orders!$D165,products!$A$1:$A$49,0),MATCH(orders!K$1,products!$A$1:$G$1,0))</f>
        <v/>
      </c>
      <c r="L165" s="5">
        <f>INDEX(products!$A$1:$G$49,MATCH(orders!$D165,products!$A$1:$A$49,0),MATCH(orders!L$1,products!$A$1:$G$1,0))</f>
        <v/>
      </c>
      <c r="M165" s="5">
        <f>L165*E165</f>
        <v/>
      </c>
      <c r="N165">
        <f>IF(I165="Rob","Robusta",IF(I165="Exc","Excelsa",IF(I165="Ara","Arabica",IF(I165="Lib","Liberica",""))))</f>
        <v/>
      </c>
      <c r="O165">
        <f>IF(J165="M","Medium",IF(J165="L","Light",IF(J165="D","Dark","")))</f>
        <v/>
      </c>
      <c r="P165">
        <f>_xlfn.XLOOKUP(Orders[[#This Row],[Customer ID]],customers!$A$1:$A$1001,customers!$I$1:$I$1001,,0)</f>
        <v/>
      </c>
    </row>
    <row r="166">
      <c r="A166" s="2" t="inlineStr">
        <is>
          <t>O9995</t>
        </is>
      </c>
      <c r="B166" s="3" t="inlineStr">
        <is>
          <t>2024-05-30</t>
        </is>
      </c>
      <c r="C166" s="2" t="inlineStr">
        <is>
          <t>O3798</t>
        </is>
      </c>
      <c r="D166" t="inlineStr">
        <is>
          <t>O8524</t>
        </is>
      </c>
      <c r="E166" s="2" t="n">
        <v>249</v>
      </c>
      <c r="F166" s="2">
        <f>_xlfn.XLOOKUP(C166,customers!$A$1:$A$1001,customers!$B$1:$B$1001,,0)</f>
        <v/>
      </c>
      <c r="G166" s="2">
        <f>IF(_xlfn.XLOOKUP(C166,customers!$A$1:$A$1001,customers!$C$1:$C$1001,,0)=0,"",_xlfn.XLOOKUP(C166,customers!$A$1:$A$1001,customers!$C$1:$C$1001,,0))</f>
        <v/>
      </c>
      <c r="H166" s="2">
        <f>_xlfn.XLOOKUP(C166,customers!$A$1:$A$1001,customers!$G$1:$G$1001,,0)</f>
        <v/>
      </c>
      <c r="I166">
        <f>INDEX(products!$A$1:$G$49,MATCH(orders!$D166,products!$A$1:$A$49,0),MATCH(orders!I$1,products!$A$1:$G$1,0))</f>
        <v/>
      </c>
      <c r="J166">
        <f>INDEX(products!$A$1:$G$49,MATCH(orders!$D166,products!$A$1:$A$49,0),MATCH(orders!J$1,products!$A$1:$G$1,0))</f>
        <v/>
      </c>
      <c r="K166" s="4">
        <f>INDEX(products!$A$1:$G$49,MATCH(orders!$D166,products!$A$1:$A$49,0),MATCH(orders!K$1,products!$A$1:$G$1,0))</f>
        <v/>
      </c>
      <c r="L166" s="5">
        <f>INDEX(products!$A$1:$G$49,MATCH(orders!$D166,products!$A$1:$A$49,0),MATCH(orders!L$1,products!$A$1:$G$1,0))</f>
        <v/>
      </c>
      <c r="M166" s="5">
        <f>L166*E166</f>
        <v/>
      </c>
      <c r="N166">
        <f>IF(I166="Rob","Robusta",IF(I166="Exc","Excelsa",IF(I166="Ara","Arabica",IF(I166="Lib","Liberica",""))))</f>
        <v/>
      </c>
      <c r="O166">
        <f>IF(J166="M","Medium",IF(J166="L","Light",IF(J166="D","Dark","")))</f>
        <v/>
      </c>
      <c r="P166">
        <f>_xlfn.XLOOKUP(Orders[[#This Row],[Customer ID]],customers!$A$1:$A$1001,customers!$I$1:$I$1001,,0)</f>
        <v/>
      </c>
    </row>
    <row r="167">
      <c r="A167" s="2" t="inlineStr">
        <is>
          <t>O7501</t>
        </is>
      </c>
      <c r="B167" s="3" t="inlineStr">
        <is>
          <t>2023-09-20</t>
        </is>
      </c>
      <c r="C167" s="2" t="inlineStr">
        <is>
          <t>O7819</t>
        </is>
      </c>
      <c r="D167" t="inlineStr">
        <is>
          <t>O8254</t>
        </is>
      </c>
      <c r="E167" s="2" t="n">
        <v>56</v>
      </c>
      <c r="F167" s="2">
        <f>_xlfn.XLOOKUP(C167,customers!$A$1:$A$1001,customers!$B$1:$B$1001,,0)</f>
        <v/>
      </c>
      <c r="G167" s="2">
        <f>IF(_xlfn.XLOOKUP(C167,customers!$A$1:$A$1001,customers!$C$1:$C$1001,,0)=0,"",_xlfn.XLOOKUP(C167,customers!$A$1:$A$1001,customers!$C$1:$C$1001,,0))</f>
        <v/>
      </c>
      <c r="H167" s="2">
        <f>_xlfn.XLOOKUP(C167,customers!$A$1:$A$1001,customers!$G$1:$G$1001,,0)</f>
        <v/>
      </c>
      <c r="I167">
        <f>INDEX(products!$A$1:$G$49,MATCH(orders!$D167,products!$A$1:$A$49,0),MATCH(orders!I$1,products!$A$1:$G$1,0))</f>
        <v/>
      </c>
      <c r="J167">
        <f>INDEX(products!$A$1:$G$49,MATCH(orders!$D167,products!$A$1:$A$49,0),MATCH(orders!J$1,products!$A$1:$G$1,0))</f>
        <v/>
      </c>
      <c r="K167" s="4">
        <f>INDEX(products!$A$1:$G$49,MATCH(orders!$D167,products!$A$1:$A$49,0),MATCH(orders!K$1,products!$A$1:$G$1,0))</f>
        <v/>
      </c>
      <c r="L167" s="5">
        <f>INDEX(products!$A$1:$G$49,MATCH(orders!$D167,products!$A$1:$A$49,0),MATCH(orders!L$1,products!$A$1:$G$1,0))</f>
        <v/>
      </c>
      <c r="M167" s="5">
        <f>L167*E167</f>
        <v/>
      </c>
      <c r="N167">
        <f>IF(I167="Rob","Robusta",IF(I167="Exc","Excelsa",IF(I167="Ara","Arabica",IF(I167="Lib","Liberica",""))))</f>
        <v/>
      </c>
      <c r="O167">
        <f>IF(J167="M","Medium",IF(J167="L","Light",IF(J167="D","Dark","")))</f>
        <v/>
      </c>
      <c r="P167">
        <f>_xlfn.XLOOKUP(Orders[[#This Row],[Customer ID]],customers!$A$1:$A$1001,customers!$I$1:$I$1001,,0)</f>
        <v/>
      </c>
    </row>
    <row r="168">
      <c r="A168" s="2" t="inlineStr">
        <is>
          <t>O4592</t>
        </is>
      </c>
      <c r="B168" s="3" t="inlineStr">
        <is>
          <t>2025-07-20</t>
        </is>
      </c>
      <c r="C168" s="2" t="inlineStr">
        <is>
          <t>O1895</t>
        </is>
      </c>
      <c r="D168" t="inlineStr">
        <is>
          <t>O1567</t>
        </is>
      </c>
      <c r="E168" s="2" t="n">
        <v>50</v>
      </c>
      <c r="F168" s="2">
        <f>_xlfn.XLOOKUP(C168,customers!$A$1:$A$1001,customers!$B$1:$B$1001,,0)</f>
        <v/>
      </c>
      <c r="G168" s="2">
        <f>IF(_xlfn.XLOOKUP(C168,customers!$A$1:$A$1001,customers!$C$1:$C$1001,,0)=0,"",_xlfn.XLOOKUP(C168,customers!$A$1:$A$1001,customers!$C$1:$C$1001,,0))</f>
        <v/>
      </c>
      <c r="H168" s="2">
        <f>_xlfn.XLOOKUP(C168,customers!$A$1:$A$1001,customers!$G$1:$G$1001,,0)</f>
        <v/>
      </c>
      <c r="I168">
        <f>INDEX(products!$A$1:$G$49,MATCH(orders!$D168,products!$A$1:$A$49,0),MATCH(orders!I$1,products!$A$1:$G$1,0))</f>
        <v/>
      </c>
      <c r="J168">
        <f>INDEX(products!$A$1:$G$49,MATCH(orders!$D168,products!$A$1:$A$49,0),MATCH(orders!J$1,products!$A$1:$G$1,0))</f>
        <v/>
      </c>
      <c r="K168" s="4">
        <f>INDEX(products!$A$1:$G$49,MATCH(orders!$D168,products!$A$1:$A$49,0),MATCH(orders!K$1,products!$A$1:$G$1,0))</f>
        <v/>
      </c>
      <c r="L168" s="5">
        <f>INDEX(products!$A$1:$G$49,MATCH(orders!$D168,products!$A$1:$A$49,0),MATCH(orders!L$1,products!$A$1:$G$1,0))</f>
        <v/>
      </c>
      <c r="M168" s="5">
        <f>L168*E168</f>
        <v/>
      </c>
      <c r="N168">
        <f>IF(I168="Rob","Robusta",IF(I168="Exc","Excelsa",IF(I168="Ara","Arabica",IF(I168="Lib","Liberica",""))))</f>
        <v/>
      </c>
      <c r="O168">
        <f>IF(J168="M","Medium",IF(J168="L","Light",IF(J168="D","Dark","")))</f>
        <v/>
      </c>
      <c r="P168">
        <f>_xlfn.XLOOKUP(Orders[[#This Row],[Customer ID]],customers!$A$1:$A$1001,customers!$I$1:$I$1001,,0)</f>
        <v/>
      </c>
    </row>
    <row r="169">
      <c r="A169" s="2" t="inlineStr">
        <is>
          <t>O2373</t>
        </is>
      </c>
      <c r="B169" s="3" t="inlineStr">
        <is>
          <t>2023-08-24</t>
        </is>
      </c>
      <c r="C169" s="2" t="inlineStr">
        <is>
          <t>O1016</t>
        </is>
      </c>
      <c r="D169" t="inlineStr">
        <is>
          <t>O4143</t>
        </is>
      </c>
      <c r="E169" s="2" t="n">
        <v>95</v>
      </c>
      <c r="F169" s="2">
        <f>_xlfn.XLOOKUP(C169,customers!$A$1:$A$1001,customers!$B$1:$B$1001,,0)</f>
        <v/>
      </c>
      <c r="G169" s="2">
        <f>IF(_xlfn.XLOOKUP(C169,customers!$A$1:$A$1001,customers!$C$1:$C$1001,,0)=0,"",_xlfn.XLOOKUP(C169,customers!$A$1:$A$1001,customers!$C$1:$C$1001,,0))</f>
        <v/>
      </c>
      <c r="H169" s="2">
        <f>_xlfn.XLOOKUP(C169,customers!$A$1:$A$1001,customers!$G$1:$G$1001,,0)</f>
        <v/>
      </c>
      <c r="I169">
        <f>INDEX(products!$A$1:$G$49,MATCH(orders!$D169,products!$A$1:$A$49,0),MATCH(orders!I$1,products!$A$1:$G$1,0))</f>
        <v/>
      </c>
      <c r="J169">
        <f>INDEX(products!$A$1:$G$49,MATCH(orders!$D169,products!$A$1:$A$49,0),MATCH(orders!J$1,products!$A$1:$G$1,0))</f>
        <v/>
      </c>
      <c r="K169" s="4">
        <f>INDEX(products!$A$1:$G$49,MATCH(orders!$D169,products!$A$1:$A$49,0),MATCH(orders!K$1,products!$A$1:$G$1,0))</f>
        <v/>
      </c>
      <c r="L169" s="5">
        <f>INDEX(products!$A$1:$G$49,MATCH(orders!$D169,products!$A$1:$A$49,0),MATCH(orders!L$1,products!$A$1:$G$1,0))</f>
        <v/>
      </c>
      <c r="M169" s="5">
        <f>L169*E169</f>
        <v/>
      </c>
      <c r="N169">
        <f>IF(I169="Rob","Robusta",IF(I169="Exc","Excelsa",IF(I169="Ara","Arabica",IF(I169="Lib","Liberica",""))))</f>
        <v/>
      </c>
      <c r="O169">
        <f>IF(J169="M","Medium",IF(J169="L","Light",IF(J169="D","Dark","")))</f>
        <v/>
      </c>
      <c r="P169">
        <f>_xlfn.XLOOKUP(Orders[[#This Row],[Customer ID]],customers!$A$1:$A$1001,customers!$I$1:$I$1001,,0)</f>
        <v/>
      </c>
    </row>
    <row r="170">
      <c r="A170" s="2" t="inlineStr">
        <is>
          <t>O3193</t>
        </is>
      </c>
      <c r="B170" s="3" t="inlineStr">
        <is>
          <t>2025-08-21</t>
        </is>
      </c>
      <c r="C170" s="2" t="inlineStr">
        <is>
          <t>O6028</t>
        </is>
      </c>
      <c r="D170" t="inlineStr">
        <is>
          <t>O4435</t>
        </is>
      </c>
      <c r="E170" s="2" t="n">
        <v>88</v>
      </c>
      <c r="F170" s="2">
        <f>_xlfn.XLOOKUP(C170,customers!$A$1:$A$1001,customers!$B$1:$B$1001,,0)</f>
        <v/>
      </c>
      <c r="G170" s="2">
        <f>IF(_xlfn.XLOOKUP(C170,customers!$A$1:$A$1001,customers!$C$1:$C$1001,,0)=0,"",_xlfn.XLOOKUP(C170,customers!$A$1:$A$1001,customers!$C$1:$C$1001,,0))</f>
        <v/>
      </c>
      <c r="H170" s="2">
        <f>_xlfn.XLOOKUP(C170,customers!$A$1:$A$1001,customers!$G$1:$G$1001,,0)</f>
        <v/>
      </c>
      <c r="I170">
        <f>INDEX(products!$A$1:$G$49,MATCH(orders!$D170,products!$A$1:$A$49,0),MATCH(orders!I$1,products!$A$1:$G$1,0))</f>
        <v/>
      </c>
      <c r="J170">
        <f>INDEX(products!$A$1:$G$49,MATCH(orders!$D170,products!$A$1:$A$49,0),MATCH(orders!J$1,products!$A$1:$G$1,0))</f>
        <v/>
      </c>
      <c r="K170" s="4">
        <f>INDEX(products!$A$1:$G$49,MATCH(orders!$D170,products!$A$1:$A$49,0),MATCH(orders!K$1,products!$A$1:$G$1,0))</f>
        <v/>
      </c>
      <c r="L170" s="5">
        <f>INDEX(products!$A$1:$G$49,MATCH(orders!$D170,products!$A$1:$A$49,0),MATCH(orders!L$1,products!$A$1:$G$1,0))</f>
        <v/>
      </c>
      <c r="M170" s="5">
        <f>L170*E170</f>
        <v/>
      </c>
      <c r="N170">
        <f>IF(I170="Rob","Robusta",IF(I170="Exc","Excelsa",IF(I170="Ara","Arabica",IF(I170="Lib","Liberica",""))))</f>
        <v/>
      </c>
      <c r="O170">
        <f>IF(J170="M","Medium",IF(J170="L","Light",IF(J170="D","Dark","")))</f>
        <v/>
      </c>
      <c r="P170">
        <f>_xlfn.XLOOKUP(Orders[[#This Row],[Customer ID]],customers!$A$1:$A$1001,customers!$I$1:$I$1001,,0)</f>
        <v/>
      </c>
    </row>
    <row r="171">
      <c r="A171" s="2" t="inlineStr">
        <is>
          <t>O8582</t>
        </is>
      </c>
      <c r="B171" s="3" t="inlineStr">
        <is>
          <t>2022-03-07</t>
        </is>
      </c>
      <c r="C171" s="2" t="inlineStr">
        <is>
          <t>O9289</t>
        </is>
      </c>
      <c r="D171" t="inlineStr">
        <is>
          <t>O8696</t>
        </is>
      </c>
      <c r="E171" s="2" t="n">
        <v>334</v>
      </c>
      <c r="F171" s="2">
        <f>_xlfn.XLOOKUP(C171,customers!$A$1:$A$1001,customers!$B$1:$B$1001,,0)</f>
        <v/>
      </c>
      <c r="G171" s="2">
        <f>IF(_xlfn.XLOOKUP(C171,customers!$A$1:$A$1001,customers!$C$1:$C$1001,,0)=0,"",_xlfn.XLOOKUP(C171,customers!$A$1:$A$1001,customers!$C$1:$C$1001,,0))</f>
        <v/>
      </c>
      <c r="H171" s="2">
        <f>_xlfn.XLOOKUP(C171,customers!$A$1:$A$1001,customers!$G$1:$G$1001,,0)</f>
        <v/>
      </c>
      <c r="I171">
        <f>INDEX(products!$A$1:$G$49,MATCH(orders!$D171,products!$A$1:$A$49,0),MATCH(orders!I$1,products!$A$1:$G$1,0))</f>
        <v/>
      </c>
      <c r="J171">
        <f>INDEX(products!$A$1:$G$49,MATCH(orders!$D171,products!$A$1:$A$49,0),MATCH(orders!J$1,products!$A$1:$G$1,0))</f>
        <v/>
      </c>
      <c r="K171" s="4">
        <f>INDEX(products!$A$1:$G$49,MATCH(orders!$D171,products!$A$1:$A$49,0),MATCH(orders!K$1,products!$A$1:$G$1,0))</f>
        <v/>
      </c>
      <c r="L171" s="5">
        <f>INDEX(products!$A$1:$G$49,MATCH(orders!$D171,products!$A$1:$A$49,0),MATCH(orders!L$1,products!$A$1:$G$1,0))</f>
        <v/>
      </c>
      <c r="M171" s="5">
        <f>L171*E171</f>
        <v/>
      </c>
      <c r="N171">
        <f>IF(I171="Rob","Robusta",IF(I171="Exc","Excelsa",IF(I171="Ara","Arabica",IF(I171="Lib","Liberica",""))))</f>
        <v/>
      </c>
      <c r="O171">
        <f>IF(J171="M","Medium",IF(J171="L","Light",IF(J171="D","Dark","")))</f>
        <v/>
      </c>
      <c r="P171">
        <f>_xlfn.XLOOKUP(Orders[[#This Row],[Customer ID]],customers!$A$1:$A$1001,customers!$I$1:$I$1001,,0)</f>
        <v/>
      </c>
    </row>
    <row r="172">
      <c r="A172" s="2" t="inlineStr">
        <is>
          <t>O9852</t>
        </is>
      </c>
      <c r="B172" s="3" t="inlineStr">
        <is>
          <t>2024-08-18</t>
        </is>
      </c>
      <c r="C172" s="2" t="inlineStr">
        <is>
          <t>O7917</t>
        </is>
      </c>
      <c r="D172" t="inlineStr">
        <is>
          <t>O4276</t>
        </is>
      </c>
      <c r="E172" s="2" t="n">
        <v>3</v>
      </c>
      <c r="F172" s="2">
        <f>_xlfn.XLOOKUP(C172,customers!$A$1:$A$1001,customers!$B$1:$B$1001,,0)</f>
        <v/>
      </c>
      <c r="G172" s="2">
        <f>IF(_xlfn.XLOOKUP(C172,customers!$A$1:$A$1001,customers!$C$1:$C$1001,,0)=0,"",_xlfn.XLOOKUP(C172,customers!$A$1:$A$1001,customers!$C$1:$C$1001,,0))</f>
        <v/>
      </c>
      <c r="H172" s="2">
        <f>_xlfn.XLOOKUP(C172,customers!$A$1:$A$1001,customers!$G$1:$G$1001,,0)</f>
        <v/>
      </c>
      <c r="I172">
        <f>INDEX(products!$A$1:$G$49,MATCH(orders!$D172,products!$A$1:$A$49,0),MATCH(orders!I$1,products!$A$1:$G$1,0))</f>
        <v/>
      </c>
      <c r="J172">
        <f>INDEX(products!$A$1:$G$49,MATCH(orders!$D172,products!$A$1:$A$49,0),MATCH(orders!J$1,products!$A$1:$G$1,0))</f>
        <v/>
      </c>
      <c r="K172" s="4">
        <f>INDEX(products!$A$1:$G$49,MATCH(orders!$D172,products!$A$1:$A$49,0),MATCH(orders!K$1,products!$A$1:$G$1,0))</f>
        <v/>
      </c>
      <c r="L172" s="5">
        <f>INDEX(products!$A$1:$G$49,MATCH(orders!$D172,products!$A$1:$A$49,0),MATCH(orders!L$1,products!$A$1:$G$1,0))</f>
        <v/>
      </c>
      <c r="M172" s="5">
        <f>L172*E172</f>
        <v/>
      </c>
      <c r="N172">
        <f>IF(I172="Rob","Robusta",IF(I172="Exc","Excelsa",IF(I172="Ara","Arabica",IF(I172="Lib","Liberica",""))))</f>
        <v/>
      </c>
      <c r="O172">
        <f>IF(J172="M","Medium",IF(J172="L","Light",IF(J172="D","Dark","")))</f>
        <v/>
      </c>
      <c r="P172">
        <f>_xlfn.XLOOKUP(Orders[[#This Row],[Customer ID]],customers!$A$1:$A$1001,customers!$I$1:$I$1001,,0)</f>
        <v/>
      </c>
    </row>
    <row r="173">
      <c r="A173" s="2" t="inlineStr">
        <is>
          <t>O8381</t>
        </is>
      </c>
      <c r="B173" s="3" t="inlineStr">
        <is>
          <t>2022-02-28</t>
        </is>
      </c>
      <c r="C173" s="2" t="inlineStr">
        <is>
          <t>O7900</t>
        </is>
      </c>
      <c r="D173" t="inlineStr">
        <is>
          <t>O6439</t>
        </is>
      </c>
      <c r="E173" s="2" t="n">
        <v>167</v>
      </c>
      <c r="F173" s="2">
        <f>_xlfn.XLOOKUP(C173,customers!$A$1:$A$1001,customers!$B$1:$B$1001,,0)</f>
        <v/>
      </c>
      <c r="G173" s="2">
        <f>IF(_xlfn.XLOOKUP(C173,customers!$A$1:$A$1001,customers!$C$1:$C$1001,,0)=0,"",_xlfn.XLOOKUP(C173,customers!$A$1:$A$1001,customers!$C$1:$C$1001,,0))</f>
        <v/>
      </c>
      <c r="H173" s="2">
        <f>_xlfn.XLOOKUP(C173,customers!$A$1:$A$1001,customers!$G$1:$G$1001,,0)</f>
        <v/>
      </c>
      <c r="I173">
        <f>INDEX(products!$A$1:$G$49,MATCH(orders!$D173,products!$A$1:$A$49,0),MATCH(orders!I$1,products!$A$1:$G$1,0))</f>
        <v/>
      </c>
      <c r="J173">
        <f>INDEX(products!$A$1:$G$49,MATCH(orders!$D173,products!$A$1:$A$49,0),MATCH(orders!J$1,products!$A$1:$G$1,0))</f>
        <v/>
      </c>
      <c r="K173" s="4">
        <f>INDEX(products!$A$1:$G$49,MATCH(orders!$D173,products!$A$1:$A$49,0),MATCH(orders!K$1,products!$A$1:$G$1,0))</f>
        <v/>
      </c>
      <c r="L173" s="5">
        <f>INDEX(products!$A$1:$G$49,MATCH(orders!$D173,products!$A$1:$A$49,0),MATCH(orders!L$1,products!$A$1:$G$1,0))</f>
        <v/>
      </c>
      <c r="M173" s="5">
        <f>L173*E173</f>
        <v/>
      </c>
      <c r="N173">
        <f>IF(I173="Rob","Robusta",IF(I173="Exc","Excelsa",IF(I173="Ara","Arabica",IF(I173="Lib","Liberica",""))))</f>
        <v/>
      </c>
      <c r="O173">
        <f>IF(J173="M","Medium",IF(J173="L","Light",IF(J173="D","Dark","")))</f>
        <v/>
      </c>
      <c r="P173">
        <f>_xlfn.XLOOKUP(Orders[[#This Row],[Customer ID]],customers!$A$1:$A$1001,customers!$I$1:$I$1001,,0)</f>
        <v/>
      </c>
    </row>
    <row r="174">
      <c r="A174" s="2" t="inlineStr">
        <is>
          <t>O9328</t>
        </is>
      </c>
      <c r="B174" s="3" t="inlineStr">
        <is>
          <t>2020-08-15</t>
        </is>
      </c>
      <c r="C174" s="2" t="inlineStr">
        <is>
          <t>O3134</t>
        </is>
      </c>
      <c r="D174" t="inlineStr">
        <is>
          <t>O1947</t>
        </is>
      </c>
      <c r="E174" s="2" t="n">
        <v>402</v>
      </c>
      <c r="F174" s="2">
        <f>_xlfn.XLOOKUP(C174,customers!$A$1:$A$1001,customers!$B$1:$B$1001,,0)</f>
        <v/>
      </c>
      <c r="G174" s="2">
        <f>IF(_xlfn.XLOOKUP(C174,customers!$A$1:$A$1001,customers!$C$1:$C$1001,,0)=0,"",_xlfn.XLOOKUP(C174,customers!$A$1:$A$1001,customers!$C$1:$C$1001,,0))</f>
        <v/>
      </c>
      <c r="H174" s="2">
        <f>_xlfn.XLOOKUP(C174,customers!$A$1:$A$1001,customers!$G$1:$G$1001,,0)</f>
        <v/>
      </c>
      <c r="I174">
        <f>INDEX(products!$A$1:$G$49,MATCH(orders!$D174,products!$A$1:$A$49,0),MATCH(orders!I$1,products!$A$1:$G$1,0))</f>
        <v/>
      </c>
      <c r="J174">
        <f>INDEX(products!$A$1:$G$49,MATCH(orders!$D174,products!$A$1:$A$49,0),MATCH(orders!J$1,products!$A$1:$G$1,0))</f>
        <v/>
      </c>
      <c r="K174" s="4">
        <f>INDEX(products!$A$1:$G$49,MATCH(orders!$D174,products!$A$1:$A$49,0),MATCH(orders!K$1,products!$A$1:$G$1,0))</f>
        <v/>
      </c>
      <c r="L174" s="5">
        <f>INDEX(products!$A$1:$G$49,MATCH(orders!$D174,products!$A$1:$A$49,0),MATCH(orders!L$1,products!$A$1:$G$1,0))</f>
        <v/>
      </c>
      <c r="M174" s="5">
        <f>L174*E174</f>
        <v/>
      </c>
      <c r="N174">
        <f>IF(I174="Rob","Robusta",IF(I174="Exc","Excelsa",IF(I174="Ara","Arabica",IF(I174="Lib","Liberica",""))))</f>
        <v/>
      </c>
      <c r="O174">
        <f>IF(J174="M","Medium",IF(J174="L","Light",IF(J174="D","Dark","")))</f>
        <v/>
      </c>
      <c r="P174">
        <f>_xlfn.XLOOKUP(Orders[[#This Row],[Customer ID]],customers!$A$1:$A$1001,customers!$I$1:$I$1001,,0)</f>
        <v/>
      </c>
    </row>
    <row r="175">
      <c r="A175" s="2" t="inlineStr">
        <is>
          <t>O5935</t>
        </is>
      </c>
      <c r="B175" s="3" t="inlineStr">
        <is>
          <t>2023-05-12</t>
        </is>
      </c>
      <c r="C175" s="2" t="inlineStr">
        <is>
          <t>O1223</t>
        </is>
      </c>
      <c r="D175" t="inlineStr">
        <is>
          <t>O8720</t>
        </is>
      </c>
      <c r="E175" s="2" t="n">
        <v>125</v>
      </c>
      <c r="F175" s="2">
        <f>_xlfn.XLOOKUP(C175,customers!$A$1:$A$1001,customers!$B$1:$B$1001,,0)</f>
        <v/>
      </c>
      <c r="G175" s="2">
        <f>IF(_xlfn.XLOOKUP(C175,customers!$A$1:$A$1001,customers!$C$1:$C$1001,,0)=0,"",_xlfn.XLOOKUP(C175,customers!$A$1:$A$1001,customers!$C$1:$C$1001,,0))</f>
        <v/>
      </c>
      <c r="H175" s="2">
        <f>_xlfn.XLOOKUP(C175,customers!$A$1:$A$1001,customers!$G$1:$G$1001,,0)</f>
        <v/>
      </c>
      <c r="I175">
        <f>INDEX(products!$A$1:$G$49,MATCH(orders!$D175,products!$A$1:$A$49,0),MATCH(orders!I$1,products!$A$1:$G$1,0))</f>
        <v/>
      </c>
      <c r="J175">
        <f>INDEX(products!$A$1:$G$49,MATCH(orders!$D175,products!$A$1:$A$49,0),MATCH(orders!J$1,products!$A$1:$G$1,0))</f>
        <v/>
      </c>
      <c r="K175" s="4">
        <f>INDEX(products!$A$1:$G$49,MATCH(orders!$D175,products!$A$1:$A$49,0),MATCH(orders!K$1,products!$A$1:$G$1,0))</f>
        <v/>
      </c>
      <c r="L175" s="5">
        <f>INDEX(products!$A$1:$G$49,MATCH(orders!$D175,products!$A$1:$A$49,0),MATCH(orders!L$1,products!$A$1:$G$1,0))</f>
        <v/>
      </c>
      <c r="M175" s="5">
        <f>L175*E175</f>
        <v/>
      </c>
      <c r="N175">
        <f>IF(I175="Rob","Robusta",IF(I175="Exc","Excelsa",IF(I175="Ara","Arabica",IF(I175="Lib","Liberica",""))))</f>
        <v/>
      </c>
      <c r="O175">
        <f>IF(J175="M","Medium",IF(J175="L","Light",IF(J175="D","Dark","")))</f>
        <v/>
      </c>
      <c r="P175">
        <f>_xlfn.XLOOKUP(Orders[[#This Row],[Customer ID]],customers!$A$1:$A$1001,customers!$I$1:$I$1001,,0)</f>
        <v/>
      </c>
    </row>
    <row r="176">
      <c r="A176" s="2" t="inlineStr">
        <is>
          <t>O9405</t>
        </is>
      </c>
      <c r="B176" s="3" t="inlineStr">
        <is>
          <t>2021-02-07</t>
        </is>
      </c>
      <c r="C176" s="2" t="inlineStr">
        <is>
          <t>O4112</t>
        </is>
      </c>
      <c r="D176" t="inlineStr">
        <is>
          <t>O7383</t>
        </is>
      </c>
      <c r="E176" s="2" t="n">
        <v>263</v>
      </c>
      <c r="F176" s="2">
        <f>_xlfn.XLOOKUP(C176,customers!$A$1:$A$1001,customers!$B$1:$B$1001,,0)</f>
        <v/>
      </c>
      <c r="G176" s="2">
        <f>IF(_xlfn.XLOOKUP(C176,customers!$A$1:$A$1001,customers!$C$1:$C$1001,,0)=0,"",_xlfn.XLOOKUP(C176,customers!$A$1:$A$1001,customers!$C$1:$C$1001,,0))</f>
        <v/>
      </c>
      <c r="H176" s="2">
        <f>_xlfn.XLOOKUP(C176,customers!$A$1:$A$1001,customers!$G$1:$G$1001,,0)</f>
        <v/>
      </c>
      <c r="I176">
        <f>INDEX(products!$A$1:$G$49,MATCH(orders!$D176,products!$A$1:$A$49,0),MATCH(orders!I$1,products!$A$1:$G$1,0))</f>
        <v/>
      </c>
      <c r="J176">
        <f>INDEX(products!$A$1:$G$49,MATCH(orders!$D176,products!$A$1:$A$49,0),MATCH(orders!J$1,products!$A$1:$G$1,0))</f>
        <v/>
      </c>
      <c r="K176" s="4">
        <f>INDEX(products!$A$1:$G$49,MATCH(orders!$D176,products!$A$1:$A$49,0),MATCH(orders!K$1,products!$A$1:$G$1,0))</f>
        <v/>
      </c>
      <c r="L176" s="5">
        <f>INDEX(products!$A$1:$G$49,MATCH(orders!$D176,products!$A$1:$A$49,0),MATCH(orders!L$1,products!$A$1:$G$1,0))</f>
        <v/>
      </c>
      <c r="M176" s="5">
        <f>L176*E176</f>
        <v/>
      </c>
      <c r="N176">
        <f>IF(I176="Rob","Robusta",IF(I176="Exc","Excelsa",IF(I176="Ara","Arabica",IF(I176="Lib","Liberica",""))))</f>
        <v/>
      </c>
      <c r="O176">
        <f>IF(J176="M","Medium",IF(J176="L","Light",IF(J176="D","Dark","")))</f>
        <v/>
      </c>
      <c r="P176">
        <f>_xlfn.XLOOKUP(Orders[[#This Row],[Customer ID]],customers!$A$1:$A$1001,customers!$I$1:$I$1001,,0)</f>
        <v/>
      </c>
    </row>
    <row r="177">
      <c r="A177" s="2" t="inlineStr">
        <is>
          <t>O6557</t>
        </is>
      </c>
      <c r="B177" s="3" t="inlineStr">
        <is>
          <t>2020-08-17</t>
        </is>
      </c>
      <c r="C177" s="2" t="inlineStr">
        <is>
          <t>O5653</t>
        </is>
      </c>
      <c r="D177" t="inlineStr">
        <is>
          <t>O7058</t>
        </is>
      </c>
      <c r="E177" s="2" t="n">
        <v>342</v>
      </c>
      <c r="F177" s="2">
        <f>_xlfn.XLOOKUP(C177,customers!$A$1:$A$1001,customers!$B$1:$B$1001,,0)</f>
        <v/>
      </c>
      <c r="G177" s="2">
        <f>IF(_xlfn.XLOOKUP(C177,customers!$A$1:$A$1001,customers!$C$1:$C$1001,,0)=0,"",_xlfn.XLOOKUP(C177,customers!$A$1:$A$1001,customers!$C$1:$C$1001,,0))</f>
        <v/>
      </c>
      <c r="H177" s="2">
        <f>_xlfn.XLOOKUP(C177,customers!$A$1:$A$1001,customers!$G$1:$G$1001,,0)</f>
        <v/>
      </c>
      <c r="I177">
        <f>INDEX(products!$A$1:$G$49,MATCH(orders!$D177,products!$A$1:$A$49,0),MATCH(orders!I$1,products!$A$1:$G$1,0))</f>
        <v/>
      </c>
      <c r="J177">
        <f>INDEX(products!$A$1:$G$49,MATCH(orders!$D177,products!$A$1:$A$49,0),MATCH(orders!J$1,products!$A$1:$G$1,0))</f>
        <v/>
      </c>
      <c r="K177" s="4">
        <f>INDEX(products!$A$1:$G$49,MATCH(orders!$D177,products!$A$1:$A$49,0),MATCH(orders!K$1,products!$A$1:$G$1,0))</f>
        <v/>
      </c>
      <c r="L177" s="5">
        <f>INDEX(products!$A$1:$G$49,MATCH(orders!$D177,products!$A$1:$A$49,0),MATCH(orders!L$1,products!$A$1:$G$1,0))</f>
        <v/>
      </c>
      <c r="M177" s="5">
        <f>L177*E177</f>
        <v/>
      </c>
      <c r="N177">
        <f>IF(I177="Rob","Robusta",IF(I177="Exc","Excelsa",IF(I177="Ara","Arabica",IF(I177="Lib","Liberica",""))))</f>
        <v/>
      </c>
      <c r="O177">
        <f>IF(J177="M","Medium",IF(J177="L","Light",IF(J177="D","Dark","")))</f>
        <v/>
      </c>
      <c r="P177">
        <f>_xlfn.XLOOKUP(Orders[[#This Row],[Customer ID]],customers!$A$1:$A$1001,customers!$I$1:$I$1001,,0)</f>
        <v/>
      </c>
    </row>
    <row r="178">
      <c r="A178" s="2" t="inlineStr">
        <is>
          <t>O7782</t>
        </is>
      </c>
      <c r="B178" s="3" t="inlineStr">
        <is>
          <t>2022-09-08</t>
        </is>
      </c>
      <c r="C178" s="2" t="inlineStr">
        <is>
          <t>O2961</t>
        </is>
      </c>
      <c r="D178" t="inlineStr">
        <is>
          <t>O2990</t>
        </is>
      </c>
      <c r="E178" s="2" t="n">
        <v>23</v>
      </c>
      <c r="F178" s="2">
        <f>_xlfn.XLOOKUP(C178,customers!$A$1:$A$1001,customers!$B$1:$B$1001,,0)</f>
        <v/>
      </c>
      <c r="G178" s="2">
        <f>IF(_xlfn.XLOOKUP(C178,customers!$A$1:$A$1001,customers!$C$1:$C$1001,,0)=0,"",_xlfn.XLOOKUP(C178,customers!$A$1:$A$1001,customers!$C$1:$C$1001,,0))</f>
        <v/>
      </c>
      <c r="H178" s="2">
        <f>_xlfn.XLOOKUP(C178,customers!$A$1:$A$1001,customers!$G$1:$G$1001,,0)</f>
        <v/>
      </c>
      <c r="I178">
        <f>INDEX(products!$A$1:$G$49,MATCH(orders!$D178,products!$A$1:$A$49,0),MATCH(orders!I$1,products!$A$1:$G$1,0))</f>
        <v/>
      </c>
      <c r="J178">
        <f>INDEX(products!$A$1:$G$49,MATCH(orders!$D178,products!$A$1:$A$49,0),MATCH(orders!J$1,products!$A$1:$G$1,0))</f>
        <v/>
      </c>
      <c r="K178" s="4">
        <f>INDEX(products!$A$1:$G$49,MATCH(orders!$D178,products!$A$1:$A$49,0),MATCH(orders!K$1,products!$A$1:$G$1,0))</f>
        <v/>
      </c>
      <c r="L178" s="5">
        <f>INDEX(products!$A$1:$G$49,MATCH(orders!$D178,products!$A$1:$A$49,0),MATCH(orders!L$1,products!$A$1:$G$1,0))</f>
        <v/>
      </c>
      <c r="M178" s="5">
        <f>L178*E178</f>
        <v/>
      </c>
      <c r="N178">
        <f>IF(I178="Rob","Robusta",IF(I178="Exc","Excelsa",IF(I178="Ara","Arabica",IF(I178="Lib","Liberica",""))))</f>
        <v/>
      </c>
      <c r="O178">
        <f>IF(J178="M","Medium",IF(J178="L","Light",IF(J178="D","Dark","")))</f>
        <v/>
      </c>
      <c r="P178">
        <f>_xlfn.XLOOKUP(Orders[[#This Row],[Customer ID]],customers!$A$1:$A$1001,customers!$I$1:$I$1001,,0)</f>
        <v/>
      </c>
    </row>
    <row r="179">
      <c r="A179" s="2" t="inlineStr">
        <is>
          <t>O8931</t>
        </is>
      </c>
      <c r="B179" s="3" t="inlineStr">
        <is>
          <t>2020-01-10</t>
        </is>
      </c>
      <c r="C179" s="2" t="inlineStr">
        <is>
          <t>O4807</t>
        </is>
      </c>
      <c r="D179" t="inlineStr">
        <is>
          <t>O6685</t>
        </is>
      </c>
      <c r="E179" s="2" t="n">
        <v>388</v>
      </c>
      <c r="F179" s="2">
        <f>_xlfn.XLOOKUP(C179,customers!$A$1:$A$1001,customers!$B$1:$B$1001,,0)</f>
        <v/>
      </c>
      <c r="G179" s="2">
        <f>IF(_xlfn.XLOOKUP(C179,customers!$A$1:$A$1001,customers!$C$1:$C$1001,,0)=0,"",_xlfn.XLOOKUP(C179,customers!$A$1:$A$1001,customers!$C$1:$C$1001,,0))</f>
        <v/>
      </c>
      <c r="H179" s="2">
        <f>_xlfn.XLOOKUP(C179,customers!$A$1:$A$1001,customers!$G$1:$G$1001,,0)</f>
        <v/>
      </c>
      <c r="I179">
        <f>INDEX(products!$A$1:$G$49,MATCH(orders!$D179,products!$A$1:$A$49,0),MATCH(orders!I$1,products!$A$1:$G$1,0))</f>
        <v/>
      </c>
      <c r="J179">
        <f>INDEX(products!$A$1:$G$49,MATCH(orders!$D179,products!$A$1:$A$49,0),MATCH(orders!J$1,products!$A$1:$G$1,0))</f>
        <v/>
      </c>
      <c r="K179" s="4">
        <f>INDEX(products!$A$1:$G$49,MATCH(orders!$D179,products!$A$1:$A$49,0),MATCH(orders!K$1,products!$A$1:$G$1,0))</f>
        <v/>
      </c>
      <c r="L179" s="5">
        <f>INDEX(products!$A$1:$G$49,MATCH(orders!$D179,products!$A$1:$A$49,0),MATCH(orders!L$1,products!$A$1:$G$1,0))</f>
        <v/>
      </c>
      <c r="M179" s="5">
        <f>L179*E179</f>
        <v/>
      </c>
      <c r="N179">
        <f>IF(I179="Rob","Robusta",IF(I179="Exc","Excelsa",IF(I179="Ara","Arabica",IF(I179="Lib","Liberica",""))))</f>
        <v/>
      </c>
      <c r="O179">
        <f>IF(J179="M","Medium",IF(J179="L","Light",IF(J179="D","Dark","")))</f>
        <v/>
      </c>
      <c r="P179">
        <f>_xlfn.XLOOKUP(Orders[[#This Row],[Customer ID]],customers!$A$1:$A$1001,customers!$I$1:$I$1001,,0)</f>
        <v/>
      </c>
    </row>
    <row r="180">
      <c r="A180" s="2" t="inlineStr">
        <is>
          <t>O4021</t>
        </is>
      </c>
      <c r="B180" s="3" t="inlineStr">
        <is>
          <t>2023-11-05</t>
        </is>
      </c>
      <c r="C180" s="2" t="inlineStr">
        <is>
          <t>O4152</t>
        </is>
      </c>
      <c r="D180" t="inlineStr">
        <is>
          <t>O3658</t>
        </is>
      </c>
      <c r="E180" s="2" t="n">
        <v>201</v>
      </c>
      <c r="F180" s="2">
        <f>_xlfn.XLOOKUP(C180,customers!$A$1:$A$1001,customers!$B$1:$B$1001,,0)</f>
        <v/>
      </c>
      <c r="G180" s="2">
        <f>IF(_xlfn.XLOOKUP(C180,customers!$A$1:$A$1001,customers!$C$1:$C$1001,,0)=0,"",_xlfn.XLOOKUP(C180,customers!$A$1:$A$1001,customers!$C$1:$C$1001,,0))</f>
        <v/>
      </c>
      <c r="H180" s="2">
        <f>_xlfn.XLOOKUP(C180,customers!$A$1:$A$1001,customers!$G$1:$G$1001,,0)</f>
        <v/>
      </c>
      <c r="I180">
        <f>INDEX(products!$A$1:$G$49,MATCH(orders!$D180,products!$A$1:$A$49,0),MATCH(orders!I$1,products!$A$1:$G$1,0))</f>
        <v/>
      </c>
      <c r="J180">
        <f>INDEX(products!$A$1:$G$49,MATCH(orders!$D180,products!$A$1:$A$49,0),MATCH(orders!J$1,products!$A$1:$G$1,0))</f>
        <v/>
      </c>
      <c r="K180" s="4">
        <f>INDEX(products!$A$1:$G$49,MATCH(orders!$D180,products!$A$1:$A$49,0),MATCH(orders!K$1,products!$A$1:$G$1,0))</f>
        <v/>
      </c>
      <c r="L180" s="5">
        <f>INDEX(products!$A$1:$G$49,MATCH(orders!$D180,products!$A$1:$A$49,0),MATCH(orders!L$1,products!$A$1:$G$1,0))</f>
        <v/>
      </c>
      <c r="M180" s="5">
        <f>L180*E180</f>
        <v/>
      </c>
      <c r="N180">
        <f>IF(I180="Rob","Robusta",IF(I180="Exc","Excelsa",IF(I180="Ara","Arabica",IF(I180="Lib","Liberica",""))))</f>
        <v/>
      </c>
      <c r="O180">
        <f>IF(J180="M","Medium",IF(J180="L","Light",IF(J180="D","Dark","")))</f>
        <v/>
      </c>
      <c r="P180">
        <f>_xlfn.XLOOKUP(Orders[[#This Row],[Customer ID]],customers!$A$1:$A$1001,customers!$I$1:$I$1001,,0)</f>
        <v/>
      </c>
    </row>
    <row r="181">
      <c r="A181" s="2" t="inlineStr">
        <is>
          <t>O3038</t>
        </is>
      </c>
      <c r="B181" s="3" t="inlineStr">
        <is>
          <t>2024-03-21</t>
        </is>
      </c>
      <c r="C181" s="2" t="inlineStr">
        <is>
          <t>O3800</t>
        </is>
      </c>
      <c r="D181" t="inlineStr">
        <is>
          <t>O1405</t>
        </is>
      </c>
      <c r="E181" s="2" t="n">
        <v>253</v>
      </c>
      <c r="F181" s="2">
        <f>_xlfn.XLOOKUP(C181,customers!$A$1:$A$1001,customers!$B$1:$B$1001,,0)</f>
        <v/>
      </c>
      <c r="G181" s="2">
        <f>IF(_xlfn.XLOOKUP(C181,customers!$A$1:$A$1001,customers!$C$1:$C$1001,,0)=0,"",_xlfn.XLOOKUP(C181,customers!$A$1:$A$1001,customers!$C$1:$C$1001,,0))</f>
        <v/>
      </c>
      <c r="H181" s="2">
        <f>_xlfn.XLOOKUP(C181,customers!$A$1:$A$1001,customers!$G$1:$G$1001,,0)</f>
        <v/>
      </c>
      <c r="I181">
        <f>INDEX(products!$A$1:$G$49,MATCH(orders!$D181,products!$A$1:$A$49,0),MATCH(orders!I$1,products!$A$1:$G$1,0))</f>
        <v/>
      </c>
      <c r="J181">
        <f>INDEX(products!$A$1:$G$49,MATCH(orders!$D181,products!$A$1:$A$49,0),MATCH(orders!J$1,products!$A$1:$G$1,0))</f>
        <v/>
      </c>
      <c r="K181" s="4">
        <f>INDEX(products!$A$1:$G$49,MATCH(orders!$D181,products!$A$1:$A$49,0),MATCH(orders!K$1,products!$A$1:$G$1,0))</f>
        <v/>
      </c>
      <c r="L181" s="5">
        <f>INDEX(products!$A$1:$G$49,MATCH(orders!$D181,products!$A$1:$A$49,0),MATCH(orders!L$1,products!$A$1:$G$1,0))</f>
        <v/>
      </c>
      <c r="M181" s="5">
        <f>L181*E181</f>
        <v/>
      </c>
      <c r="N181">
        <f>IF(I181="Rob","Robusta",IF(I181="Exc","Excelsa",IF(I181="Ara","Arabica",IF(I181="Lib","Liberica",""))))</f>
        <v/>
      </c>
      <c r="O181">
        <f>IF(J181="M","Medium",IF(J181="L","Light",IF(J181="D","Dark","")))</f>
        <v/>
      </c>
      <c r="P181">
        <f>_xlfn.XLOOKUP(Orders[[#This Row],[Customer ID]],customers!$A$1:$A$1001,customers!$I$1:$I$1001,,0)</f>
        <v/>
      </c>
    </row>
    <row r="182">
      <c r="A182" s="2" t="inlineStr">
        <is>
          <t>O6763</t>
        </is>
      </c>
      <c r="B182" s="3" t="inlineStr">
        <is>
          <t>2025-09-21</t>
        </is>
      </c>
      <c r="C182" s="2" t="inlineStr">
        <is>
          <t>O5635</t>
        </is>
      </c>
      <c r="D182" t="inlineStr">
        <is>
          <t>O3927</t>
        </is>
      </c>
      <c r="E182" s="2" t="n">
        <v>381</v>
      </c>
      <c r="F182" s="2">
        <f>_xlfn.XLOOKUP(C182,customers!$A$1:$A$1001,customers!$B$1:$B$1001,,0)</f>
        <v/>
      </c>
      <c r="G182" s="2">
        <f>IF(_xlfn.XLOOKUP(C182,customers!$A$1:$A$1001,customers!$C$1:$C$1001,,0)=0,"",_xlfn.XLOOKUP(C182,customers!$A$1:$A$1001,customers!$C$1:$C$1001,,0))</f>
        <v/>
      </c>
      <c r="H182" s="2">
        <f>_xlfn.XLOOKUP(C182,customers!$A$1:$A$1001,customers!$G$1:$G$1001,,0)</f>
        <v/>
      </c>
      <c r="I182">
        <f>INDEX(products!$A$1:$G$49,MATCH(orders!$D182,products!$A$1:$A$49,0),MATCH(orders!I$1,products!$A$1:$G$1,0))</f>
        <v/>
      </c>
      <c r="J182">
        <f>INDEX(products!$A$1:$G$49,MATCH(orders!$D182,products!$A$1:$A$49,0),MATCH(orders!J$1,products!$A$1:$G$1,0))</f>
        <v/>
      </c>
      <c r="K182" s="4">
        <f>INDEX(products!$A$1:$G$49,MATCH(orders!$D182,products!$A$1:$A$49,0),MATCH(orders!K$1,products!$A$1:$G$1,0))</f>
        <v/>
      </c>
      <c r="L182" s="5">
        <f>INDEX(products!$A$1:$G$49,MATCH(orders!$D182,products!$A$1:$A$49,0),MATCH(orders!L$1,products!$A$1:$G$1,0))</f>
        <v/>
      </c>
      <c r="M182" s="5">
        <f>L182*E182</f>
        <v/>
      </c>
      <c r="N182">
        <f>IF(I182="Rob","Robusta",IF(I182="Exc","Excelsa",IF(I182="Ara","Arabica",IF(I182="Lib","Liberica",""))))</f>
        <v/>
      </c>
      <c r="O182">
        <f>IF(J182="M","Medium",IF(J182="L","Light",IF(J182="D","Dark","")))</f>
        <v/>
      </c>
      <c r="P182">
        <f>_xlfn.XLOOKUP(Orders[[#This Row],[Customer ID]],customers!$A$1:$A$1001,customers!$I$1:$I$1001,,0)</f>
        <v/>
      </c>
    </row>
    <row r="183">
      <c r="A183" s="2" t="inlineStr">
        <is>
          <t>O1549</t>
        </is>
      </c>
      <c r="B183" s="3" t="inlineStr">
        <is>
          <t>2021-10-13</t>
        </is>
      </c>
      <c r="C183" s="2" t="inlineStr">
        <is>
          <t>O5481</t>
        </is>
      </c>
      <c r="D183" t="inlineStr">
        <is>
          <t>O3705</t>
        </is>
      </c>
      <c r="E183" s="2" t="n">
        <v>321</v>
      </c>
      <c r="F183" s="2">
        <f>_xlfn.XLOOKUP(C183,customers!$A$1:$A$1001,customers!$B$1:$B$1001,,0)</f>
        <v/>
      </c>
      <c r="G183" s="2">
        <f>IF(_xlfn.XLOOKUP(C183,customers!$A$1:$A$1001,customers!$C$1:$C$1001,,0)=0,"",_xlfn.XLOOKUP(C183,customers!$A$1:$A$1001,customers!$C$1:$C$1001,,0))</f>
        <v/>
      </c>
      <c r="H183" s="2">
        <f>_xlfn.XLOOKUP(C183,customers!$A$1:$A$1001,customers!$G$1:$G$1001,,0)</f>
        <v/>
      </c>
      <c r="I183">
        <f>INDEX(products!$A$1:$G$49,MATCH(orders!$D183,products!$A$1:$A$49,0),MATCH(orders!I$1,products!$A$1:$G$1,0))</f>
        <v/>
      </c>
      <c r="J183">
        <f>INDEX(products!$A$1:$G$49,MATCH(orders!$D183,products!$A$1:$A$49,0),MATCH(orders!J$1,products!$A$1:$G$1,0))</f>
        <v/>
      </c>
      <c r="K183" s="4">
        <f>INDEX(products!$A$1:$G$49,MATCH(orders!$D183,products!$A$1:$A$49,0),MATCH(orders!K$1,products!$A$1:$G$1,0))</f>
        <v/>
      </c>
      <c r="L183" s="5">
        <f>INDEX(products!$A$1:$G$49,MATCH(orders!$D183,products!$A$1:$A$49,0),MATCH(orders!L$1,products!$A$1:$G$1,0))</f>
        <v/>
      </c>
      <c r="M183" s="5">
        <f>L183*E183</f>
        <v/>
      </c>
      <c r="N183">
        <f>IF(I183="Rob","Robusta",IF(I183="Exc","Excelsa",IF(I183="Ara","Arabica",IF(I183="Lib","Liberica",""))))</f>
        <v/>
      </c>
      <c r="O183">
        <f>IF(J183="M","Medium",IF(J183="L","Light",IF(J183="D","Dark","")))</f>
        <v/>
      </c>
      <c r="P183">
        <f>_xlfn.XLOOKUP(Orders[[#This Row],[Customer ID]],customers!$A$1:$A$1001,customers!$I$1:$I$1001,,0)</f>
        <v/>
      </c>
    </row>
    <row r="184">
      <c r="A184" s="2" t="inlineStr">
        <is>
          <t>O8189</t>
        </is>
      </c>
      <c r="B184" s="3" t="inlineStr">
        <is>
          <t>2022-12-01</t>
        </is>
      </c>
      <c r="C184" s="2" t="inlineStr">
        <is>
          <t>O5453</t>
        </is>
      </c>
      <c r="D184" t="inlineStr">
        <is>
          <t>O2826</t>
        </is>
      </c>
      <c r="E184" s="2" t="n">
        <v>201</v>
      </c>
      <c r="F184" s="2">
        <f>_xlfn.XLOOKUP(C184,customers!$A$1:$A$1001,customers!$B$1:$B$1001,,0)</f>
        <v/>
      </c>
      <c r="G184" s="2">
        <f>IF(_xlfn.XLOOKUP(C184,customers!$A$1:$A$1001,customers!$C$1:$C$1001,,0)=0,"",_xlfn.XLOOKUP(C184,customers!$A$1:$A$1001,customers!$C$1:$C$1001,,0))</f>
        <v/>
      </c>
      <c r="H184" s="2">
        <f>_xlfn.XLOOKUP(C184,customers!$A$1:$A$1001,customers!$G$1:$G$1001,,0)</f>
        <v/>
      </c>
      <c r="I184">
        <f>INDEX(products!$A$1:$G$49,MATCH(orders!$D184,products!$A$1:$A$49,0),MATCH(orders!I$1,products!$A$1:$G$1,0))</f>
        <v/>
      </c>
      <c r="J184">
        <f>INDEX(products!$A$1:$G$49,MATCH(orders!$D184,products!$A$1:$A$49,0),MATCH(orders!J$1,products!$A$1:$G$1,0))</f>
        <v/>
      </c>
      <c r="K184" s="4">
        <f>INDEX(products!$A$1:$G$49,MATCH(orders!$D184,products!$A$1:$A$49,0),MATCH(orders!K$1,products!$A$1:$G$1,0))</f>
        <v/>
      </c>
      <c r="L184" s="5">
        <f>INDEX(products!$A$1:$G$49,MATCH(orders!$D184,products!$A$1:$A$49,0),MATCH(orders!L$1,products!$A$1:$G$1,0))</f>
        <v/>
      </c>
      <c r="M184" s="5">
        <f>L184*E184</f>
        <v/>
      </c>
      <c r="N184">
        <f>IF(I184="Rob","Robusta",IF(I184="Exc","Excelsa",IF(I184="Ara","Arabica",IF(I184="Lib","Liberica",""))))</f>
        <v/>
      </c>
      <c r="O184">
        <f>IF(J184="M","Medium",IF(J184="L","Light",IF(J184="D","Dark","")))</f>
        <v/>
      </c>
      <c r="P184">
        <f>_xlfn.XLOOKUP(Orders[[#This Row],[Customer ID]],customers!$A$1:$A$1001,customers!$I$1:$I$1001,,0)</f>
        <v/>
      </c>
    </row>
    <row r="185">
      <c r="A185" s="2" t="inlineStr">
        <is>
          <t>O4101</t>
        </is>
      </c>
      <c r="B185" s="3" t="inlineStr">
        <is>
          <t>2022-11-23</t>
        </is>
      </c>
      <c r="C185" s="2" t="inlineStr">
        <is>
          <t>O2599</t>
        </is>
      </c>
      <c r="D185" t="inlineStr">
        <is>
          <t>O2782</t>
        </is>
      </c>
      <c r="E185" s="2" t="n">
        <v>455</v>
      </c>
      <c r="F185" s="2">
        <f>_xlfn.XLOOKUP(C185,customers!$A$1:$A$1001,customers!$B$1:$B$1001,,0)</f>
        <v/>
      </c>
      <c r="G185" s="2">
        <f>IF(_xlfn.XLOOKUP(C185,customers!$A$1:$A$1001,customers!$C$1:$C$1001,,0)=0,"",_xlfn.XLOOKUP(C185,customers!$A$1:$A$1001,customers!$C$1:$C$1001,,0))</f>
        <v/>
      </c>
      <c r="H185" s="2">
        <f>_xlfn.XLOOKUP(C185,customers!$A$1:$A$1001,customers!$G$1:$G$1001,,0)</f>
        <v/>
      </c>
      <c r="I185">
        <f>INDEX(products!$A$1:$G$49,MATCH(orders!$D185,products!$A$1:$A$49,0),MATCH(orders!I$1,products!$A$1:$G$1,0))</f>
        <v/>
      </c>
      <c r="J185">
        <f>INDEX(products!$A$1:$G$49,MATCH(orders!$D185,products!$A$1:$A$49,0),MATCH(orders!J$1,products!$A$1:$G$1,0))</f>
        <v/>
      </c>
      <c r="K185" s="4">
        <f>INDEX(products!$A$1:$G$49,MATCH(orders!$D185,products!$A$1:$A$49,0),MATCH(orders!K$1,products!$A$1:$G$1,0))</f>
        <v/>
      </c>
      <c r="L185" s="5">
        <f>INDEX(products!$A$1:$G$49,MATCH(orders!$D185,products!$A$1:$A$49,0),MATCH(orders!L$1,products!$A$1:$G$1,0))</f>
        <v/>
      </c>
      <c r="M185" s="5">
        <f>L185*E185</f>
        <v/>
      </c>
      <c r="N185">
        <f>IF(I185="Rob","Robusta",IF(I185="Exc","Excelsa",IF(I185="Ara","Arabica",IF(I185="Lib","Liberica",""))))</f>
        <v/>
      </c>
      <c r="O185">
        <f>IF(J185="M","Medium",IF(J185="L","Light",IF(J185="D","Dark","")))</f>
        <v/>
      </c>
      <c r="P185">
        <f>_xlfn.XLOOKUP(Orders[[#This Row],[Customer ID]],customers!$A$1:$A$1001,customers!$I$1:$I$1001,,0)</f>
        <v/>
      </c>
    </row>
    <row r="186">
      <c r="A186" s="2" t="inlineStr">
        <is>
          <t>O6674</t>
        </is>
      </c>
      <c r="B186" s="3" t="inlineStr">
        <is>
          <t>2021-02-15</t>
        </is>
      </c>
      <c r="C186" s="2" t="inlineStr">
        <is>
          <t>O2795</t>
        </is>
      </c>
      <c r="D186" t="inlineStr">
        <is>
          <t>O9527</t>
        </is>
      </c>
      <c r="E186" s="2" t="n">
        <v>465</v>
      </c>
      <c r="F186" s="2">
        <f>_xlfn.XLOOKUP(C186,customers!$A$1:$A$1001,customers!$B$1:$B$1001,,0)</f>
        <v/>
      </c>
      <c r="G186" s="2">
        <f>IF(_xlfn.XLOOKUP(C186,customers!$A$1:$A$1001,customers!$C$1:$C$1001,,0)=0,"",_xlfn.XLOOKUP(C186,customers!$A$1:$A$1001,customers!$C$1:$C$1001,,0))</f>
        <v/>
      </c>
      <c r="H186" s="2">
        <f>_xlfn.XLOOKUP(C186,customers!$A$1:$A$1001,customers!$G$1:$G$1001,,0)</f>
        <v/>
      </c>
      <c r="I186">
        <f>INDEX(products!$A$1:$G$49,MATCH(orders!$D186,products!$A$1:$A$49,0),MATCH(orders!I$1,products!$A$1:$G$1,0))</f>
        <v/>
      </c>
      <c r="J186">
        <f>INDEX(products!$A$1:$G$49,MATCH(orders!$D186,products!$A$1:$A$49,0),MATCH(orders!J$1,products!$A$1:$G$1,0))</f>
        <v/>
      </c>
      <c r="K186" s="4">
        <f>INDEX(products!$A$1:$G$49,MATCH(orders!$D186,products!$A$1:$A$49,0),MATCH(orders!K$1,products!$A$1:$G$1,0))</f>
        <v/>
      </c>
      <c r="L186" s="5">
        <f>INDEX(products!$A$1:$G$49,MATCH(orders!$D186,products!$A$1:$A$49,0),MATCH(orders!L$1,products!$A$1:$G$1,0))</f>
        <v/>
      </c>
      <c r="M186" s="5">
        <f>L186*E186</f>
        <v/>
      </c>
      <c r="N186">
        <f>IF(I186="Rob","Robusta",IF(I186="Exc","Excelsa",IF(I186="Ara","Arabica",IF(I186="Lib","Liberica",""))))</f>
        <v/>
      </c>
      <c r="O186">
        <f>IF(J186="M","Medium",IF(J186="L","Light",IF(J186="D","Dark","")))</f>
        <v/>
      </c>
      <c r="P186">
        <f>_xlfn.XLOOKUP(Orders[[#This Row],[Customer ID]],customers!$A$1:$A$1001,customers!$I$1:$I$1001,,0)</f>
        <v/>
      </c>
    </row>
    <row r="187">
      <c r="A187" s="2" t="inlineStr">
        <is>
          <t>O6765</t>
        </is>
      </c>
      <c r="B187" s="3" t="inlineStr">
        <is>
          <t>2024-12-18</t>
        </is>
      </c>
      <c r="C187" s="2" t="inlineStr">
        <is>
          <t>O3108</t>
        </is>
      </c>
      <c r="D187" t="inlineStr">
        <is>
          <t>O9707</t>
        </is>
      </c>
      <c r="E187" s="2" t="n">
        <v>384</v>
      </c>
      <c r="F187" s="2">
        <f>_xlfn.XLOOKUP(C187,customers!$A$1:$A$1001,customers!$B$1:$B$1001,,0)</f>
        <v/>
      </c>
      <c r="G187" s="2">
        <f>IF(_xlfn.XLOOKUP(C187,customers!$A$1:$A$1001,customers!$C$1:$C$1001,,0)=0,"",_xlfn.XLOOKUP(C187,customers!$A$1:$A$1001,customers!$C$1:$C$1001,,0))</f>
        <v/>
      </c>
      <c r="H187" s="2">
        <f>_xlfn.XLOOKUP(C187,customers!$A$1:$A$1001,customers!$G$1:$G$1001,,0)</f>
        <v/>
      </c>
      <c r="I187">
        <f>INDEX(products!$A$1:$G$49,MATCH(orders!$D187,products!$A$1:$A$49,0),MATCH(orders!I$1,products!$A$1:$G$1,0))</f>
        <v/>
      </c>
      <c r="J187">
        <f>INDEX(products!$A$1:$G$49,MATCH(orders!$D187,products!$A$1:$A$49,0),MATCH(orders!J$1,products!$A$1:$G$1,0))</f>
        <v/>
      </c>
      <c r="K187" s="4">
        <f>INDEX(products!$A$1:$G$49,MATCH(orders!$D187,products!$A$1:$A$49,0),MATCH(orders!K$1,products!$A$1:$G$1,0))</f>
        <v/>
      </c>
      <c r="L187" s="5">
        <f>INDEX(products!$A$1:$G$49,MATCH(orders!$D187,products!$A$1:$A$49,0),MATCH(orders!L$1,products!$A$1:$G$1,0))</f>
        <v/>
      </c>
      <c r="M187" s="5">
        <f>L187*E187</f>
        <v/>
      </c>
      <c r="N187">
        <f>IF(I187="Rob","Robusta",IF(I187="Exc","Excelsa",IF(I187="Ara","Arabica",IF(I187="Lib","Liberica",""))))</f>
        <v/>
      </c>
      <c r="O187">
        <f>IF(J187="M","Medium",IF(J187="L","Light",IF(J187="D","Dark","")))</f>
        <v/>
      </c>
      <c r="P187">
        <f>_xlfn.XLOOKUP(Orders[[#This Row],[Customer ID]],customers!$A$1:$A$1001,customers!$I$1:$I$1001,,0)</f>
        <v/>
      </c>
    </row>
    <row r="188">
      <c r="A188" s="2" t="inlineStr">
        <is>
          <t>O4108</t>
        </is>
      </c>
      <c r="B188" s="3" t="inlineStr">
        <is>
          <t>2023-11-03</t>
        </is>
      </c>
      <c r="C188" s="2" t="inlineStr">
        <is>
          <t>O1807</t>
        </is>
      </c>
      <c r="D188" t="inlineStr">
        <is>
          <t>O5856</t>
        </is>
      </c>
      <c r="E188" s="2" t="n">
        <v>235</v>
      </c>
      <c r="F188" s="2">
        <f>_xlfn.XLOOKUP(C188,customers!$A$1:$A$1001,customers!$B$1:$B$1001,,0)</f>
        <v/>
      </c>
      <c r="G188" s="2">
        <f>IF(_xlfn.XLOOKUP(C188,customers!$A$1:$A$1001,customers!$C$1:$C$1001,,0)=0,"",_xlfn.XLOOKUP(C188,customers!$A$1:$A$1001,customers!$C$1:$C$1001,,0))</f>
        <v/>
      </c>
      <c r="H188" s="2">
        <f>_xlfn.XLOOKUP(C188,customers!$A$1:$A$1001,customers!$G$1:$G$1001,,0)</f>
        <v/>
      </c>
      <c r="I188">
        <f>INDEX(products!$A$1:$G$49,MATCH(orders!$D188,products!$A$1:$A$49,0),MATCH(orders!I$1,products!$A$1:$G$1,0))</f>
        <v/>
      </c>
      <c r="J188">
        <f>INDEX(products!$A$1:$G$49,MATCH(orders!$D188,products!$A$1:$A$49,0),MATCH(orders!J$1,products!$A$1:$G$1,0))</f>
        <v/>
      </c>
      <c r="K188" s="4">
        <f>INDEX(products!$A$1:$G$49,MATCH(orders!$D188,products!$A$1:$A$49,0),MATCH(orders!K$1,products!$A$1:$G$1,0))</f>
        <v/>
      </c>
      <c r="L188" s="5">
        <f>INDEX(products!$A$1:$G$49,MATCH(orders!$D188,products!$A$1:$A$49,0),MATCH(orders!L$1,products!$A$1:$G$1,0))</f>
        <v/>
      </c>
      <c r="M188" s="5">
        <f>L188*E188</f>
        <v/>
      </c>
      <c r="N188">
        <f>IF(I188="Rob","Robusta",IF(I188="Exc","Excelsa",IF(I188="Ara","Arabica",IF(I188="Lib","Liberica",""))))</f>
        <v/>
      </c>
      <c r="O188">
        <f>IF(J188="M","Medium",IF(J188="L","Light",IF(J188="D","Dark","")))</f>
        <v/>
      </c>
      <c r="P188">
        <f>_xlfn.XLOOKUP(Orders[[#This Row],[Customer ID]],customers!$A$1:$A$1001,customers!$I$1:$I$1001,,0)</f>
        <v/>
      </c>
    </row>
    <row r="189">
      <c r="A189" s="2" t="inlineStr">
        <is>
          <t>O9429</t>
        </is>
      </c>
      <c r="B189" s="3" t="inlineStr">
        <is>
          <t>2020-07-07</t>
        </is>
      </c>
      <c r="C189" s="2" t="inlineStr">
        <is>
          <t>O5065</t>
        </is>
      </c>
      <c r="D189" t="inlineStr">
        <is>
          <t>O1716</t>
        </is>
      </c>
      <c r="E189" s="2" t="n">
        <v>486</v>
      </c>
      <c r="F189" s="2">
        <f>_xlfn.XLOOKUP(C189,customers!$A$1:$A$1001,customers!$B$1:$B$1001,,0)</f>
        <v/>
      </c>
      <c r="G189" s="2">
        <f>IF(_xlfn.XLOOKUP(C189,customers!$A$1:$A$1001,customers!$C$1:$C$1001,,0)=0,"",_xlfn.XLOOKUP(C189,customers!$A$1:$A$1001,customers!$C$1:$C$1001,,0))</f>
        <v/>
      </c>
      <c r="H189" s="2">
        <f>_xlfn.XLOOKUP(C189,customers!$A$1:$A$1001,customers!$G$1:$G$1001,,0)</f>
        <v/>
      </c>
      <c r="I189">
        <f>INDEX(products!$A$1:$G$49,MATCH(orders!$D189,products!$A$1:$A$49,0),MATCH(orders!I$1,products!$A$1:$G$1,0))</f>
        <v/>
      </c>
      <c r="J189">
        <f>INDEX(products!$A$1:$G$49,MATCH(orders!$D189,products!$A$1:$A$49,0),MATCH(orders!J$1,products!$A$1:$G$1,0))</f>
        <v/>
      </c>
      <c r="K189" s="4">
        <f>INDEX(products!$A$1:$G$49,MATCH(orders!$D189,products!$A$1:$A$49,0),MATCH(orders!K$1,products!$A$1:$G$1,0))</f>
        <v/>
      </c>
      <c r="L189" s="5">
        <f>INDEX(products!$A$1:$G$49,MATCH(orders!$D189,products!$A$1:$A$49,0),MATCH(orders!L$1,products!$A$1:$G$1,0))</f>
        <v/>
      </c>
      <c r="M189" s="5">
        <f>L189*E189</f>
        <v/>
      </c>
      <c r="N189">
        <f>IF(I189="Rob","Robusta",IF(I189="Exc","Excelsa",IF(I189="Ara","Arabica",IF(I189="Lib","Liberica",""))))</f>
        <v/>
      </c>
      <c r="O189">
        <f>IF(J189="M","Medium",IF(J189="L","Light",IF(J189="D","Dark","")))</f>
        <v/>
      </c>
      <c r="P189">
        <f>_xlfn.XLOOKUP(Orders[[#This Row],[Customer ID]],customers!$A$1:$A$1001,customers!$I$1:$I$1001,,0)</f>
        <v/>
      </c>
    </row>
    <row r="190">
      <c r="A190" s="2" t="inlineStr">
        <is>
          <t>O6233</t>
        </is>
      </c>
      <c r="B190" s="3" t="inlineStr">
        <is>
          <t>2022-03-04</t>
        </is>
      </c>
      <c r="C190" s="2" t="inlineStr">
        <is>
          <t>O8663</t>
        </is>
      </c>
      <c r="D190" t="inlineStr">
        <is>
          <t>O5864</t>
        </is>
      </c>
      <c r="E190" s="2" t="n">
        <v>322</v>
      </c>
      <c r="F190" s="2">
        <f>_xlfn.XLOOKUP(C190,customers!$A$1:$A$1001,customers!$B$1:$B$1001,,0)</f>
        <v/>
      </c>
      <c r="G190" s="2">
        <f>IF(_xlfn.XLOOKUP(C190,customers!$A$1:$A$1001,customers!$C$1:$C$1001,,0)=0,"",_xlfn.XLOOKUP(C190,customers!$A$1:$A$1001,customers!$C$1:$C$1001,,0))</f>
        <v/>
      </c>
      <c r="H190" s="2">
        <f>_xlfn.XLOOKUP(C190,customers!$A$1:$A$1001,customers!$G$1:$G$1001,,0)</f>
        <v/>
      </c>
      <c r="I190">
        <f>INDEX(products!$A$1:$G$49,MATCH(orders!$D190,products!$A$1:$A$49,0),MATCH(orders!I$1,products!$A$1:$G$1,0))</f>
        <v/>
      </c>
      <c r="J190">
        <f>INDEX(products!$A$1:$G$49,MATCH(orders!$D190,products!$A$1:$A$49,0),MATCH(orders!J$1,products!$A$1:$G$1,0))</f>
        <v/>
      </c>
      <c r="K190" s="4">
        <f>INDEX(products!$A$1:$G$49,MATCH(orders!$D190,products!$A$1:$A$49,0),MATCH(orders!K$1,products!$A$1:$G$1,0))</f>
        <v/>
      </c>
      <c r="L190" s="5">
        <f>INDEX(products!$A$1:$G$49,MATCH(orders!$D190,products!$A$1:$A$49,0),MATCH(orders!L$1,products!$A$1:$G$1,0))</f>
        <v/>
      </c>
      <c r="M190" s="5">
        <f>L190*E190</f>
        <v/>
      </c>
      <c r="N190">
        <f>IF(I190="Rob","Robusta",IF(I190="Exc","Excelsa",IF(I190="Ara","Arabica",IF(I190="Lib","Liberica",""))))</f>
        <v/>
      </c>
      <c r="O190">
        <f>IF(J190="M","Medium",IF(J190="L","Light",IF(J190="D","Dark","")))</f>
        <v/>
      </c>
      <c r="P190">
        <f>_xlfn.XLOOKUP(Orders[[#This Row],[Customer ID]],customers!$A$1:$A$1001,customers!$I$1:$I$1001,,0)</f>
        <v/>
      </c>
    </row>
    <row r="191">
      <c r="A191" s="2" t="inlineStr">
        <is>
          <t>O8349</t>
        </is>
      </c>
      <c r="B191" s="3" t="inlineStr">
        <is>
          <t>2020-07-12</t>
        </is>
      </c>
      <c r="C191" s="2" t="inlineStr">
        <is>
          <t>O4702</t>
        </is>
      </c>
      <c r="D191" t="inlineStr">
        <is>
          <t>O1895</t>
        </is>
      </c>
      <c r="E191" s="2" t="n">
        <v>170</v>
      </c>
      <c r="F191" s="2">
        <f>_xlfn.XLOOKUP(C191,customers!$A$1:$A$1001,customers!$B$1:$B$1001,,0)</f>
        <v/>
      </c>
      <c r="G191" s="2">
        <f>IF(_xlfn.XLOOKUP(C191,customers!$A$1:$A$1001,customers!$C$1:$C$1001,,0)=0,"",_xlfn.XLOOKUP(C191,customers!$A$1:$A$1001,customers!$C$1:$C$1001,,0))</f>
        <v/>
      </c>
      <c r="H191" s="2">
        <f>_xlfn.XLOOKUP(C191,customers!$A$1:$A$1001,customers!$G$1:$G$1001,,0)</f>
        <v/>
      </c>
      <c r="I191">
        <f>INDEX(products!$A$1:$G$49,MATCH(orders!$D191,products!$A$1:$A$49,0),MATCH(orders!I$1,products!$A$1:$G$1,0))</f>
        <v/>
      </c>
      <c r="J191">
        <f>INDEX(products!$A$1:$G$49,MATCH(orders!$D191,products!$A$1:$A$49,0),MATCH(orders!J$1,products!$A$1:$G$1,0))</f>
        <v/>
      </c>
      <c r="K191" s="4">
        <f>INDEX(products!$A$1:$G$49,MATCH(orders!$D191,products!$A$1:$A$49,0),MATCH(orders!K$1,products!$A$1:$G$1,0))</f>
        <v/>
      </c>
      <c r="L191" s="5">
        <f>INDEX(products!$A$1:$G$49,MATCH(orders!$D191,products!$A$1:$A$49,0),MATCH(orders!L$1,products!$A$1:$G$1,0))</f>
        <v/>
      </c>
      <c r="M191" s="5">
        <f>L191*E191</f>
        <v/>
      </c>
      <c r="N191">
        <f>IF(I191="Rob","Robusta",IF(I191="Exc","Excelsa",IF(I191="Ara","Arabica",IF(I191="Lib","Liberica",""))))</f>
        <v/>
      </c>
      <c r="O191">
        <f>IF(J191="M","Medium",IF(J191="L","Light",IF(J191="D","Dark","")))</f>
        <v/>
      </c>
      <c r="P191">
        <f>_xlfn.XLOOKUP(Orders[[#This Row],[Customer ID]],customers!$A$1:$A$1001,customers!$I$1:$I$1001,,0)</f>
        <v/>
      </c>
    </row>
    <row r="192">
      <c r="A192" s="2" t="inlineStr">
        <is>
          <t>O7000</t>
        </is>
      </c>
      <c r="B192" s="3" t="inlineStr">
        <is>
          <t>2023-04-06</t>
        </is>
      </c>
      <c r="C192" s="2" t="inlineStr">
        <is>
          <t>O4909</t>
        </is>
      </c>
      <c r="D192" t="inlineStr">
        <is>
          <t>O4374</t>
        </is>
      </c>
      <c r="E192" s="2" t="n">
        <v>263</v>
      </c>
      <c r="F192" s="2">
        <f>_xlfn.XLOOKUP(C192,customers!$A$1:$A$1001,customers!$B$1:$B$1001,,0)</f>
        <v/>
      </c>
      <c r="G192" s="2">
        <f>IF(_xlfn.XLOOKUP(C192,customers!$A$1:$A$1001,customers!$C$1:$C$1001,,0)=0,"",_xlfn.XLOOKUP(C192,customers!$A$1:$A$1001,customers!$C$1:$C$1001,,0))</f>
        <v/>
      </c>
      <c r="H192" s="2">
        <f>_xlfn.XLOOKUP(C192,customers!$A$1:$A$1001,customers!$G$1:$G$1001,,0)</f>
        <v/>
      </c>
      <c r="I192">
        <f>INDEX(products!$A$1:$G$49,MATCH(orders!$D192,products!$A$1:$A$49,0),MATCH(orders!I$1,products!$A$1:$G$1,0))</f>
        <v/>
      </c>
      <c r="J192">
        <f>INDEX(products!$A$1:$G$49,MATCH(orders!$D192,products!$A$1:$A$49,0),MATCH(orders!J$1,products!$A$1:$G$1,0))</f>
        <v/>
      </c>
      <c r="K192" s="4">
        <f>INDEX(products!$A$1:$G$49,MATCH(orders!$D192,products!$A$1:$A$49,0),MATCH(orders!K$1,products!$A$1:$G$1,0))</f>
        <v/>
      </c>
      <c r="L192" s="5">
        <f>INDEX(products!$A$1:$G$49,MATCH(orders!$D192,products!$A$1:$A$49,0),MATCH(orders!L$1,products!$A$1:$G$1,0))</f>
        <v/>
      </c>
      <c r="M192" s="5">
        <f>L192*E192</f>
        <v/>
      </c>
      <c r="N192">
        <f>IF(I192="Rob","Robusta",IF(I192="Exc","Excelsa",IF(I192="Ara","Arabica",IF(I192="Lib","Liberica",""))))</f>
        <v/>
      </c>
      <c r="O192">
        <f>IF(J192="M","Medium",IF(J192="L","Light",IF(J192="D","Dark","")))</f>
        <v/>
      </c>
      <c r="P192">
        <f>_xlfn.XLOOKUP(Orders[[#This Row],[Customer ID]],customers!$A$1:$A$1001,customers!$I$1:$I$1001,,0)</f>
        <v/>
      </c>
    </row>
    <row r="193">
      <c r="A193" s="2" t="inlineStr">
        <is>
          <t>O6678</t>
        </is>
      </c>
      <c r="B193" s="3" t="inlineStr">
        <is>
          <t>2025-05-19</t>
        </is>
      </c>
      <c r="C193" s="2" t="inlineStr">
        <is>
          <t>O4280</t>
        </is>
      </c>
      <c r="D193" t="inlineStr">
        <is>
          <t>O2547</t>
        </is>
      </c>
      <c r="E193" s="2" t="n">
        <v>247</v>
      </c>
      <c r="F193" s="2">
        <f>_xlfn.XLOOKUP(C193,customers!$A$1:$A$1001,customers!$B$1:$B$1001,,0)</f>
        <v/>
      </c>
      <c r="G193" s="2">
        <f>IF(_xlfn.XLOOKUP(C193,customers!$A$1:$A$1001,customers!$C$1:$C$1001,,0)=0,"",_xlfn.XLOOKUP(C193,customers!$A$1:$A$1001,customers!$C$1:$C$1001,,0))</f>
        <v/>
      </c>
      <c r="H193" s="2">
        <f>_xlfn.XLOOKUP(C193,customers!$A$1:$A$1001,customers!$G$1:$G$1001,,0)</f>
        <v/>
      </c>
      <c r="I193">
        <f>INDEX(products!$A$1:$G$49,MATCH(orders!$D193,products!$A$1:$A$49,0),MATCH(orders!I$1,products!$A$1:$G$1,0))</f>
        <v/>
      </c>
      <c r="J193">
        <f>INDEX(products!$A$1:$G$49,MATCH(orders!$D193,products!$A$1:$A$49,0),MATCH(orders!J$1,products!$A$1:$G$1,0))</f>
        <v/>
      </c>
      <c r="K193" s="4">
        <f>INDEX(products!$A$1:$G$49,MATCH(orders!$D193,products!$A$1:$A$49,0),MATCH(orders!K$1,products!$A$1:$G$1,0))</f>
        <v/>
      </c>
      <c r="L193" s="5">
        <f>INDEX(products!$A$1:$G$49,MATCH(orders!$D193,products!$A$1:$A$49,0),MATCH(orders!L$1,products!$A$1:$G$1,0))</f>
        <v/>
      </c>
      <c r="M193" s="5">
        <f>L193*E193</f>
        <v/>
      </c>
      <c r="N193">
        <f>IF(I193="Rob","Robusta",IF(I193="Exc","Excelsa",IF(I193="Ara","Arabica",IF(I193="Lib","Liberica",""))))</f>
        <v/>
      </c>
      <c r="O193">
        <f>IF(J193="M","Medium",IF(J193="L","Light",IF(J193="D","Dark","")))</f>
        <v/>
      </c>
      <c r="P193">
        <f>_xlfn.XLOOKUP(Orders[[#This Row],[Customer ID]],customers!$A$1:$A$1001,customers!$I$1:$I$1001,,0)</f>
        <v/>
      </c>
    </row>
    <row r="194">
      <c r="A194" s="2" t="inlineStr">
        <is>
          <t>O6015</t>
        </is>
      </c>
      <c r="B194" s="3" t="inlineStr">
        <is>
          <t>2020-02-12</t>
        </is>
      </c>
      <c r="C194" s="2" t="inlineStr">
        <is>
          <t>O5444</t>
        </is>
      </c>
      <c r="D194" t="inlineStr">
        <is>
          <t>O5597</t>
        </is>
      </c>
      <c r="E194" s="2" t="n">
        <v>356</v>
      </c>
      <c r="F194" s="2">
        <f>_xlfn.XLOOKUP(C194,customers!$A$1:$A$1001,customers!$B$1:$B$1001,,0)</f>
        <v/>
      </c>
      <c r="G194" s="2">
        <f>IF(_xlfn.XLOOKUP(C194,customers!$A$1:$A$1001,customers!$C$1:$C$1001,,0)=0,"",_xlfn.XLOOKUP(C194,customers!$A$1:$A$1001,customers!$C$1:$C$1001,,0))</f>
        <v/>
      </c>
      <c r="H194" s="2">
        <f>_xlfn.XLOOKUP(C194,customers!$A$1:$A$1001,customers!$G$1:$G$1001,,0)</f>
        <v/>
      </c>
      <c r="I194">
        <f>INDEX(products!$A$1:$G$49,MATCH(orders!$D194,products!$A$1:$A$49,0),MATCH(orders!I$1,products!$A$1:$G$1,0))</f>
        <v/>
      </c>
      <c r="J194">
        <f>INDEX(products!$A$1:$G$49,MATCH(orders!$D194,products!$A$1:$A$49,0),MATCH(orders!J$1,products!$A$1:$G$1,0))</f>
        <v/>
      </c>
      <c r="K194" s="4">
        <f>INDEX(products!$A$1:$G$49,MATCH(orders!$D194,products!$A$1:$A$49,0),MATCH(orders!K$1,products!$A$1:$G$1,0))</f>
        <v/>
      </c>
      <c r="L194" s="5">
        <f>INDEX(products!$A$1:$G$49,MATCH(orders!$D194,products!$A$1:$A$49,0),MATCH(orders!L$1,products!$A$1:$G$1,0))</f>
        <v/>
      </c>
      <c r="M194" s="5">
        <f>L194*E194</f>
        <v/>
      </c>
      <c r="N194">
        <f>IF(I194="Rob","Robusta",IF(I194="Exc","Excelsa",IF(I194="Ara","Arabica",IF(I194="Lib","Liberica",""))))</f>
        <v/>
      </c>
      <c r="O194">
        <f>IF(J194="M","Medium",IF(J194="L","Light",IF(J194="D","Dark","")))</f>
        <v/>
      </c>
      <c r="P194">
        <f>_xlfn.XLOOKUP(Orders[[#This Row],[Customer ID]],customers!$A$1:$A$1001,customers!$I$1:$I$1001,,0)</f>
        <v/>
      </c>
    </row>
    <row r="195">
      <c r="A195" s="2" t="inlineStr">
        <is>
          <t>O6602</t>
        </is>
      </c>
      <c r="B195" s="3" t="inlineStr">
        <is>
          <t>2023-02-13</t>
        </is>
      </c>
      <c r="C195" s="2" t="inlineStr">
        <is>
          <t>O4764</t>
        </is>
      </c>
      <c r="D195" t="inlineStr">
        <is>
          <t>O9748</t>
        </is>
      </c>
      <c r="E195" s="2" t="n">
        <v>84</v>
      </c>
      <c r="F195" s="2">
        <f>_xlfn.XLOOKUP(C195,customers!$A$1:$A$1001,customers!$B$1:$B$1001,,0)</f>
        <v/>
      </c>
      <c r="G195" s="2">
        <f>IF(_xlfn.XLOOKUP(C195,customers!$A$1:$A$1001,customers!$C$1:$C$1001,,0)=0,"",_xlfn.XLOOKUP(C195,customers!$A$1:$A$1001,customers!$C$1:$C$1001,,0))</f>
        <v/>
      </c>
      <c r="H195" s="2">
        <f>_xlfn.XLOOKUP(C195,customers!$A$1:$A$1001,customers!$G$1:$G$1001,,0)</f>
        <v/>
      </c>
      <c r="I195">
        <f>INDEX(products!$A$1:$G$49,MATCH(orders!$D195,products!$A$1:$A$49,0),MATCH(orders!I$1,products!$A$1:$G$1,0))</f>
        <v/>
      </c>
      <c r="J195">
        <f>INDEX(products!$A$1:$G$49,MATCH(orders!$D195,products!$A$1:$A$49,0),MATCH(orders!J$1,products!$A$1:$G$1,0))</f>
        <v/>
      </c>
      <c r="K195" s="4">
        <f>INDEX(products!$A$1:$G$49,MATCH(orders!$D195,products!$A$1:$A$49,0),MATCH(orders!K$1,products!$A$1:$G$1,0))</f>
        <v/>
      </c>
      <c r="L195" s="5">
        <f>INDEX(products!$A$1:$G$49,MATCH(orders!$D195,products!$A$1:$A$49,0),MATCH(orders!L$1,products!$A$1:$G$1,0))</f>
        <v/>
      </c>
      <c r="M195" s="5">
        <f>L195*E195</f>
        <v/>
      </c>
      <c r="N195">
        <f>IF(I195="Rob","Robusta",IF(I195="Exc","Excelsa",IF(I195="Ara","Arabica",IF(I195="Lib","Liberica",""))))</f>
        <v/>
      </c>
      <c r="O195">
        <f>IF(J195="M","Medium",IF(J195="L","Light",IF(J195="D","Dark","")))</f>
        <v/>
      </c>
      <c r="P195">
        <f>_xlfn.XLOOKUP(Orders[[#This Row],[Customer ID]],customers!$A$1:$A$1001,customers!$I$1:$I$1001,,0)</f>
        <v/>
      </c>
    </row>
    <row r="196">
      <c r="A196" s="2" t="inlineStr">
        <is>
          <t>O4321</t>
        </is>
      </c>
      <c r="B196" s="3" t="inlineStr">
        <is>
          <t>2023-08-09</t>
        </is>
      </c>
      <c r="C196" s="2" t="inlineStr">
        <is>
          <t>O2830</t>
        </is>
      </c>
      <c r="D196" t="inlineStr">
        <is>
          <t>O1508</t>
        </is>
      </c>
      <c r="E196" s="2" t="n">
        <v>128</v>
      </c>
      <c r="F196" s="2">
        <f>_xlfn.XLOOKUP(C196,customers!$A$1:$A$1001,customers!$B$1:$B$1001,,0)</f>
        <v/>
      </c>
      <c r="G196" s="2">
        <f>IF(_xlfn.XLOOKUP(C196,customers!$A$1:$A$1001,customers!$C$1:$C$1001,,0)=0,"",_xlfn.XLOOKUP(C196,customers!$A$1:$A$1001,customers!$C$1:$C$1001,,0))</f>
        <v/>
      </c>
      <c r="H196" s="2">
        <f>_xlfn.XLOOKUP(C196,customers!$A$1:$A$1001,customers!$G$1:$G$1001,,0)</f>
        <v/>
      </c>
      <c r="I196">
        <f>INDEX(products!$A$1:$G$49,MATCH(orders!$D196,products!$A$1:$A$49,0),MATCH(orders!I$1,products!$A$1:$G$1,0))</f>
        <v/>
      </c>
      <c r="J196">
        <f>INDEX(products!$A$1:$G$49,MATCH(orders!$D196,products!$A$1:$A$49,0),MATCH(orders!J$1,products!$A$1:$G$1,0))</f>
        <v/>
      </c>
      <c r="K196" s="4">
        <f>INDEX(products!$A$1:$G$49,MATCH(orders!$D196,products!$A$1:$A$49,0),MATCH(orders!K$1,products!$A$1:$G$1,0))</f>
        <v/>
      </c>
      <c r="L196" s="5">
        <f>INDEX(products!$A$1:$G$49,MATCH(orders!$D196,products!$A$1:$A$49,0),MATCH(orders!L$1,products!$A$1:$G$1,0))</f>
        <v/>
      </c>
      <c r="M196" s="5">
        <f>L196*E196</f>
        <v/>
      </c>
      <c r="N196">
        <f>IF(I196="Rob","Robusta",IF(I196="Exc","Excelsa",IF(I196="Ara","Arabica",IF(I196="Lib","Liberica",""))))</f>
        <v/>
      </c>
      <c r="O196">
        <f>IF(J196="M","Medium",IF(J196="L","Light",IF(J196="D","Dark","")))</f>
        <v/>
      </c>
      <c r="P196">
        <f>_xlfn.XLOOKUP(Orders[[#This Row],[Customer ID]],customers!$A$1:$A$1001,customers!$I$1:$I$1001,,0)</f>
        <v/>
      </c>
    </row>
    <row r="197">
      <c r="A197" s="2" t="inlineStr">
        <is>
          <t>O8550</t>
        </is>
      </c>
      <c r="B197" s="3" t="inlineStr">
        <is>
          <t>2023-12-22</t>
        </is>
      </c>
      <c r="C197" s="2" t="inlineStr">
        <is>
          <t>O3965</t>
        </is>
      </c>
      <c r="D197" t="inlineStr">
        <is>
          <t>O4937</t>
        </is>
      </c>
      <c r="E197" s="2" t="n">
        <v>301</v>
      </c>
      <c r="F197" s="2">
        <f>_xlfn.XLOOKUP(C197,customers!$A$1:$A$1001,customers!$B$1:$B$1001,,0)</f>
        <v/>
      </c>
      <c r="G197" s="2">
        <f>IF(_xlfn.XLOOKUP(C197,customers!$A$1:$A$1001,customers!$C$1:$C$1001,,0)=0,"",_xlfn.XLOOKUP(C197,customers!$A$1:$A$1001,customers!$C$1:$C$1001,,0))</f>
        <v/>
      </c>
      <c r="H197" s="2">
        <f>_xlfn.XLOOKUP(C197,customers!$A$1:$A$1001,customers!$G$1:$G$1001,,0)</f>
        <v/>
      </c>
      <c r="I197">
        <f>INDEX(products!$A$1:$G$49,MATCH(orders!$D197,products!$A$1:$A$49,0),MATCH(orders!I$1,products!$A$1:$G$1,0))</f>
        <v/>
      </c>
      <c r="J197">
        <f>INDEX(products!$A$1:$G$49,MATCH(orders!$D197,products!$A$1:$A$49,0),MATCH(orders!J$1,products!$A$1:$G$1,0))</f>
        <v/>
      </c>
      <c r="K197" s="4">
        <f>INDEX(products!$A$1:$G$49,MATCH(orders!$D197,products!$A$1:$A$49,0),MATCH(orders!K$1,products!$A$1:$G$1,0))</f>
        <v/>
      </c>
      <c r="L197" s="5">
        <f>INDEX(products!$A$1:$G$49,MATCH(orders!$D197,products!$A$1:$A$49,0),MATCH(orders!L$1,products!$A$1:$G$1,0))</f>
        <v/>
      </c>
      <c r="M197" s="5">
        <f>L197*E197</f>
        <v/>
      </c>
      <c r="N197">
        <f>IF(I197="Rob","Robusta",IF(I197="Exc","Excelsa",IF(I197="Ara","Arabica",IF(I197="Lib","Liberica",""))))</f>
        <v/>
      </c>
      <c r="O197">
        <f>IF(J197="M","Medium",IF(J197="L","Light",IF(J197="D","Dark","")))</f>
        <v/>
      </c>
      <c r="P197">
        <f>_xlfn.XLOOKUP(Orders[[#This Row],[Customer ID]],customers!$A$1:$A$1001,customers!$I$1:$I$1001,,0)</f>
        <v/>
      </c>
    </row>
    <row r="198">
      <c r="A198" s="2" t="inlineStr">
        <is>
          <t>O3924</t>
        </is>
      </c>
      <c r="B198" s="3" t="inlineStr">
        <is>
          <t>2021-04-22</t>
        </is>
      </c>
      <c r="C198" s="2" t="inlineStr">
        <is>
          <t>O2921</t>
        </is>
      </c>
      <c r="D198" t="inlineStr">
        <is>
          <t>O9903</t>
        </is>
      </c>
      <c r="E198" s="2" t="n">
        <v>139</v>
      </c>
      <c r="F198" s="2">
        <f>_xlfn.XLOOKUP(C198,customers!$A$1:$A$1001,customers!$B$1:$B$1001,,0)</f>
        <v/>
      </c>
      <c r="G198" s="2">
        <f>IF(_xlfn.XLOOKUP(C198,customers!$A$1:$A$1001,customers!$C$1:$C$1001,,0)=0,"",_xlfn.XLOOKUP(C198,customers!$A$1:$A$1001,customers!$C$1:$C$1001,,0))</f>
        <v/>
      </c>
      <c r="H198" s="2">
        <f>_xlfn.XLOOKUP(C198,customers!$A$1:$A$1001,customers!$G$1:$G$1001,,0)</f>
        <v/>
      </c>
      <c r="I198">
        <f>INDEX(products!$A$1:$G$49,MATCH(orders!$D198,products!$A$1:$A$49,0),MATCH(orders!I$1,products!$A$1:$G$1,0))</f>
        <v/>
      </c>
      <c r="J198">
        <f>INDEX(products!$A$1:$G$49,MATCH(orders!$D198,products!$A$1:$A$49,0),MATCH(orders!J$1,products!$A$1:$G$1,0))</f>
        <v/>
      </c>
      <c r="K198" s="4">
        <f>INDEX(products!$A$1:$G$49,MATCH(orders!$D198,products!$A$1:$A$49,0),MATCH(orders!K$1,products!$A$1:$G$1,0))</f>
        <v/>
      </c>
      <c r="L198" s="5">
        <f>INDEX(products!$A$1:$G$49,MATCH(orders!$D198,products!$A$1:$A$49,0),MATCH(orders!L$1,products!$A$1:$G$1,0))</f>
        <v/>
      </c>
      <c r="M198" s="5">
        <f>L198*E198</f>
        <v/>
      </c>
      <c r="N198">
        <f>IF(I198="Rob","Robusta",IF(I198="Exc","Excelsa",IF(I198="Ara","Arabica",IF(I198="Lib","Liberica",""))))</f>
        <v/>
      </c>
      <c r="O198">
        <f>IF(J198="M","Medium",IF(J198="L","Light",IF(J198="D","Dark","")))</f>
        <v/>
      </c>
      <c r="P198">
        <f>_xlfn.XLOOKUP(Orders[[#This Row],[Customer ID]],customers!$A$1:$A$1001,customers!$I$1:$I$1001,,0)</f>
        <v/>
      </c>
    </row>
    <row r="199">
      <c r="A199" s="2" t="inlineStr">
        <is>
          <t>O3654</t>
        </is>
      </c>
      <c r="B199" s="3" t="inlineStr">
        <is>
          <t>2020-03-24</t>
        </is>
      </c>
      <c r="C199" s="2" t="inlineStr">
        <is>
          <t>O8110</t>
        </is>
      </c>
      <c r="D199" t="inlineStr">
        <is>
          <t>O9085</t>
        </is>
      </c>
      <c r="E199" s="2" t="n">
        <v>461</v>
      </c>
      <c r="F199" s="2">
        <f>_xlfn.XLOOKUP(C199,customers!$A$1:$A$1001,customers!$B$1:$B$1001,,0)</f>
        <v/>
      </c>
      <c r="G199" s="2">
        <f>IF(_xlfn.XLOOKUP(C199,customers!$A$1:$A$1001,customers!$C$1:$C$1001,,0)=0,"",_xlfn.XLOOKUP(C199,customers!$A$1:$A$1001,customers!$C$1:$C$1001,,0))</f>
        <v/>
      </c>
      <c r="H199" s="2">
        <f>_xlfn.XLOOKUP(C199,customers!$A$1:$A$1001,customers!$G$1:$G$1001,,0)</f>
        <v/>
      </c>
      <c r="I199">
        <f>INDEX(products!$A$1:$G$49,MATCH(orders!$D199,products!$A$1:$A$49,0),MATCH(orders!I$1,products!$A$1:$G$1,0))</f>
        <v/>
      </c>
      <c r="J199">
        <f>INDEX(products!$A$1:$G$49,MATCH(orders!$D199,products!$A$1:$A$49,0),MATCH(orders!J$1,products!$A$1:$G$1,0))</f>
        <v/>
      </c>
      <c r="K199" s="4">
        <f>INDEX(products!$A$1:$G$49,MATCH(orders!$D199,products!$A$1:$A$49,0),MATCH(orders!K$1,products!$A$1:$G$1,0))</f>
        <v/>
      </c>
      <c r="L199" s="5">
        <f>INDEX(products!$A$1:$G$49,MATCH(orders!$D199,products!$A$1:$A$49,0),MATCH(orders!L$1,products!$A$1:$G$1,0))</f>
        <v/>
      </c>
      <c r="M199" s="5">
        <f>L199*E199</f>
        <v/>
      </c>
      <c r="N199">
        <f>IF(I199="Rob","Robusta",IF(I199="Exc","Excelsa",IF(I199="Ara","Arabica",IF(I199="Lib","Liberica",""))))</f>
        <v/>
      </c>
      <c r="O199">
        <f>IF(J199="M","Medium",IF(J199="L","Light",IF(J199="D","Dark","")))</f>
        <v/>
      </c>
      <c r="P199">
        <f>_xlfn.XLOOKUP(Orders[[#This Row],[Customer ID]],customers!$A$1:$A$1001,customers!$I$1:$I$1001,,0)</f>
        <v/>
      </c>
    </row>
    <row r="200">
      <c r="A200" s="2" t="inlineStr">
        <is>
          <t>O1806</t>
        </is>
      </c>
      <c r="B200" s="3" t="inlineStr">
        <is>
          <t>2024-05-02</t>
        </is>
      </c>
      <c r="C200" s="2" t="inlineStr">
        <is>
          <t>O3649</t>
        </is>
      </c>
      <c r="D200" t="inlineStr">
        <is>
          <t>O5451</t>
        </is>
      </c>
      <c r="E200" s="2" t="n">
        <v>326</v>
      </c>
      <c r="F200" s="2">
        <f>_xlfn.XLOOKUP(C200,customers!$A$1:$A$1001,customers!$B$1:$B$1001,,0)</f>
        <v/>
      </c>
      <c r="G200" s="2">
        <f>IF(_xlfn.XLOOKUP(C200,customers!$A$1:$A$1001,customers!$C$1:$C$1001,,0)=0,"",_xlfn.XLOOKUP(C200,customers!$A$1:$A$1001,customers!$C$1:$C$1001,,0))</f>
        <v/>
      </c>
      <c r="H200" s="2">
        <f>_xlfn.XLOOKUP(C200,customers!$A$1:$A$1001,customers!$G$1:$G$1001,,0)</f>
        <v/>
      </c>
      <c r="I200">
        <f>INDEX(products!$A$1:$G$49,MATCH(orders!$D200,products!$A$1:$A$49,0),MATCH(orders!I$1,products!$A$1:$G$1,0))</f>
        <v/>
      </c>
      <c r="J200">
        <f>INDEX(products!$A$1:$G$49,MATCH(orders!$D200,products!$A$1:$A$49,0),MATCH(orders!J$1,products!$A$1:$G$1,0))</f>
        <v/>
      </c>
      <c r="K200" s="4">
        <f>INDEX(products!$A$1:$G$49,MATCH(orders!$D200,products!$A$1:$A$49,0),MATCH(orders!K$1,products!$A$1:$G$1,0))</f>
        <v/>
      </c>
      <c r="L200" s="5">
        <f>INDEX(products!$A$1:$G$49,MATCH(orders!$D200,products!$A$1:$A$49,0),MATCH(orders!L$1,products!$A$1:$G$1,0))</f>
        <v/>
      </c>
      <c r="M200" s="5">
        <f>L200*E200</f>
        <v/>
      </c>
      <c r="N200">
        <f>IF(I200="Rob","Robusta",IF(I200="Exc","Excelsa",IF(I200="Ara","Arabica",IF(I200="Lib","Liberica",""))))</f>
        <v/>
      </c>
      <c r="O200">
        <f>IF(J200="M","Medium",IF(J200="L","Light",IF(J200="D","Dark","")))</f>
        <v/>
      </c>
      <c r="P200">
        <f>_xlfn.XLOOKUP(Orders[[#This Row],[Customer ID]],customers!$A$1:$A$1001,customers!$I$1:$I$1001,,0)</f>
        <v/>
      </c>
    </row>
    <row r="201">
      <c r="A201" s="2" t="inlineStr">
        <is>
          <t>O6552</t>
        </is>
      </c>
      <c r="B201" s="3" t="inlineStr">
        <is>
          <t>2024-07-27</t>
        </is>
      </c>
      <c r="C201" s="2" t="inlineStr">
        <is>
          <t>O4276</t>
        </is>
      </c>
      <c r="D201" t="inlineStr">
        <is>
          <t>O3338</t>
        </is>
      </c>
      <c r="E201" s="2" t="n">
        <v>6</v>
      </c>
      <c r="F201" s="2">
        <f>_xlfn.XLOOKUP(C201,customers!$A$1:$A$1001,customers!$B$1:$B$1001,,0)</f>
        <v/>
      </c>
      <c r="G201" s="2">
        <f>IF(_xlfn.XLOOKUP(C201,customers!$A$1:$A$1001,customers!$C$1:$C$1001,,0)=0,"",_xlfn.XLOOKUP(C201,customers!$A$1:$A$1001,customers!$C$1:$C$1001,,0))</f>
        <v/>
      </c>
      <c r="H201" s="2">
        <f>_xlfn.XLOOKUP(C201,customers!$A$1:$A$1001,customers!$G$1:$G$1001,,0)</f>
        <v/>
      </c>
      <c r="I201">
        <f>INDEX(products!$A$1:$G$49,MATCH(orders!$D201,products!$A$1:$A$49,0),MATCH(orders!I$1,products!$A$1:$G$1,0))</f>
        <v/>
      </c>
      <c r="J201">
        <f>INDEX(products!$A$1:$G$49,MATCH(orders!$D201,products!$A$1:$A$49,0),MATCH(orders!J$1,products!$A$1:$G$1,0))</f>
        <v/>
      </c>
      <c r="K201" s="4">
        <f>INDEX(products!$A$1:$G$49,MATCH(orders!$D201,products!$A$1:$A$49,0),MATCH(orders!K$1,products!$A$1:$G$1,0))</f>
        <v/>
      </c>
      <c r="L201" s="5">
        <f>INDEX(products!$A$1:$G$49,MATCH(orders!$D201,products!$A$1:$A$49,0),MATCH(orders!L$1,products!$A$1:$G$1,0))</f>
        <v/>
      </c>
      <c r="M201" s="5">
        <f>L201*E201</f>
        <v/>
      </c>
      <c r="N201">
        <f>IF(I201="Rob","Robusta",IF(I201="Exc","Excelsa",IF(I201="Ara","Arabica",IF(I201="Lib","Liberica",""))))</f>
        <v/>
      </c>
      <c r="O201">
        <f>IF(J201="M","Medium",IF(J201="L","Light",IF(J201="D","Dark","")))</f>
        <v/>
      </c>
      <c r="P201">
        <f>_xlfn.XLOOKUP(Orders[[#This Row],[Customer ID]],customers!$A$1:$A$1001,customers!$I$1:$I$1001,,0)</f>
        <v/>
      </c>
    </row>
    <row r="202">
      <c r="A202" s="2" t="inlineStr">
        <is>
          <t>O6548</t>
        </is>
      </c>
      <c r="B202" s="3" t="inlineStr">
        <is>
          <t>2024-02-10</t>
        </is>
      </c>
      <c r="C202" s="2" t="inlineStr">
        <is>
          <t>O9460</t>
        </is>
      </c>
      <c r="D202" t="inlineStr">
        <is>
          <t>O8783</t>
        </is>
      </c>
      <c r="E202" s="2" t="n">
        <v>188</v>
      </c>
      <c r="F202" s="2">
        <f>_xlfn.XLOOKUP(C202,customers!$A$1:$A$1001,customers!$B$1:$B$1001,,0)</f>
        <v/>
      </c>
      <c r="G202" s="2">
        <f>IF(_xlfn.XLOOKUP(C202,customers!$A$1:$A$1001,customers!$C$1:$C$1001,,0)=0,"",_xlfn.XLOOKUP(C202,customers!$A$1:$A$1001,customers!$C$1:$C$1001,,0))</f>
        <v/>
      </c>
      <c r="H202" s="2">
        <f>_xlfn.XLOOKUP(C202,customers!$A$1:$A$1001,customers!$G$1:$G$1001,,0)</f>
        <v/>
      </c>
      <c r="I202">
        <f>INDEX(products!$A$1:$G$49,MATCH(orders!$D202,products!$A$1:$A$49,0),MATCH(orders!I$1,products!$A$1:$G$1,0))</f>
        <v/>
      </c>
      <c r="J202">
        <f>INDEX(products!$A$1:$G$49,MATCH(orders!$D202,products!$A$1:$A$49,0),MATCH(orders!J$1,products!$A$1:$G$1,0))</f>
        <v/>
      </c>
      <c r="K202" s="4">
        <f>INDEX(products!$A$1:$G$49,MATCH(orders!$D202,products!$A$1:$A$49,0),MATCH(orders!K$1,products!$A$1:$G$1,0))</f>
        <v/>
      </c>
      <c r="L202" s="5">
        <f>INDEX(products!$A$1:$G$49,MATCH(orders!$D202,products!$A$1:$A$49,0),MATCH(orders!L$1,products!$A$1:$G$1,0))</f>
        <v/>
      </c>
      <c r="M202" s="5">
        <f>L202*E202</f>
        <v/>
      </c>
      <c r="N202">
        <f>IF(I202="Rob","Robusta",IF(I202="Exc","Excelsa",IF(I202="Ara","Arabica",IF(I202="Lib","Liberica",""))))</f>
        <v/>
      </c>
      <c r="O202">
        <f>IF(J202="M","Medium",IF(J202="L","Light",IF(J202="D","Dark","")))</f>
        <v/>
      </c>
      <c r="P202">
        <f>_xlfn.XLOOKUP(Orders[[#This Row],[Customer ID]],customers!$A$1:$A$1001,customers!$I$1:$I$1001,,0)</f>
        <v/>
      </c>
    </row>
    <row r="203">
      <c r="A203" s="2" t="inlineStr">
        <is>
          <t>O8395</t>
        </is>
      </c>
      <c r="B203" s="3" t="inlineStr">
        <is>
          <t>2023-01-13</t>
        </is>
      </c>
      <c r="C203" s="2" t="inlineStr">
        <is>
          <t>O7719</t>
        </is>
      </c>
      <c r="D203" t="inlineStr">
        <is>
          <t>O5342</t>
        </is>
      </c>
      <c r="E203" s="2" t="n">
        <v>34</v>
      </c>
      <c r="F203" s="2">
        <f>_xlfn.XLOOKUP(C203,customers!$A$1:$A$1001,customers!$B$1:$B$1001,,0)</f>
        <v/>
      </c>
      <c r="G203" s="2">
        <f>IF(_xlfn.XLOOKUP(C203,customers!$A$1:$A$1001,customers!$C$1:$C$1001,,0)=0,"",_xlfn.XLOOKUP(C203,customers!$A$1:$A$1001,customers!$C$1:$C$1001,,0))</f>
        <v/>
      </c>
      <c r="H203" s="2">
        <f>_xlfn.XLOOKUP(C203,customers!$A$1:$A$1001,customers!$G$1:$G$1001,,0)</f>
        <v/>
      </c>
      <c r="I203">
        <f>INDEX(products!$A$1:$G$49,MATCH(orders!$D203,products!$A$1:$A$49,0),MATCH(orders!I$1,products!$A$1:$G$1,0))</f>
        <v/>
      </c>
      <c r="J203">
        <f>INDEX(products!$A$1:$G$49,MATCH(orders!$D203,products!$A$1:$A$49,0),MATCH(orders!J$1,products!$A$1:$G$1,0))</f>
        <v/>
      </c>
      <c r="K203" s="4">
        <f>INDEX(products!$A$1:$G$49,MATCH(orders!$D203,products!$A$1:$A$49,0),MATCH(orders!K$1,products!$A$1:$G$1,0))</f>
        <v/>
      </c>
      <c r="L203" s="5">
        <f>INDEX(products!$A$1:$G$49,MATCH(orders!$D203,products!$A$1:$A$49,0),MATCH(orders!L$1,products!$A$1:$G$1,0))</f>
        <v/>
      </c>
      <c r="M203" s="5">
        <f>L203*E203</f>
        <v/>
      </c>
      <c r="N203">
        <f>IF(I203="Rob","Robusta",IF(I203="Exc","Excelsa",IF(I203="Ara","Arabica",IF(I203="Lib","Liberica",""))))</f>
        <v/>
      </c>
      <c r="O203">
        <f>IF(J203="M","Medium",IF(J203="L","Light",IF(J203="D","Dark","")))</f>
        <v/>
      </c>
      <c r="P203">
        <f>_xlfn.XLOOKUP(Orders[[#This Row],[Customer ID]],customers!$A$1:$A$1001,customers!$I$1:$I$1001,,0)</f>
        <v/>
      </c>
    </row>
    <row r="204">
      <c r="A204" s="2" t="inlineStr">
        <is>
          <t>O2752</t>
        </is>
      </c>
      <c r="B204" s="3" t="inlineStr">
        <is>
          <t>2025-02-27</t>
        </is>
      </c>
      <c r="C204" s="2" t="inlineStr">
        <is>
          <t>O3814</t>
        </is>
      </c>
      <c r="D204" t="inlineStr">
        <is>
          <t>O6198</t>
        </is>
      </c>
      <c r="E204" s="2" t="n">
        <v>346</v>
      </c>
      <c r="F204" s="2">
        <f>_xlfn.XLOOKUP(C204,customers!$A$1:$A$1001,customers!$B$1:$B$1001,,0)</f>
        <v/>
      </c>
      <c r="G204" s="2">
        <f>IF(_xlfn.XLOOKUP(C204,customers!$A$1:$A$1001,customers!$C$1:$C$1001,,0)=0,"",_xlfn.XLOOKUP(C204,customers!$A$1:$A$1001,customers!$C$1:$C$1001,,0))</f>
        <v/>
      </c>
      <c r="H204" s="2">
        <f>_xlfn.XLOOKUP(C204,customers!$A$1:$A$1001,customers!$G$1:$G$1001,,0)</f>
        <v/>
      </c>
      <c r="I204">
        <f>INDEX(products!$A$1:$G$49,MATCH(orders!$D204,products!$A$1:$A$49,0),MATCH(orders!I$1,products!$A$1:$G$1,0))</f>
        <v/>
      </c>
      <c r="J204">
        <f>INDEX(products!$A$1:$G$49,MATCH(orders!$D204,products!$A$1:$A$49,0),MATCH(orders!J$1,products!$A$1:$G$1,0))</f>
        <v/>
      </c>
      <c r="K204" s="4">
        <f>INDEX(products!$A$1:$G$49,MATCH(orders!$D204,products!$A$1:$A$49,0),MATCH(orders!K$1,products!$A$1:$G$1,0))</f>
        <v/>
      </c>
      <c r="L204" s="5">
        <f>INDEX(products!$A$1:$G$49,MATCH(orders!$D204,products!$A$1:$A$49,0),MATCH(orders!L$1,products!$A$1:$G$1,0))</f>
        <v/>
      </c>
      <c r="M204" s="5">
        <f>L204*E204</f>
        <v/>
      </c>
      <c r="N204">
        <f>IF(I204="Rob","Robusta",IF(I204="Exc","Excelsa",IF(I204="Ara","Arabica",IF(I204="Lib","Liberica",""))))</f>
        <v/>
      </c>
      <c r="O204">
        <f>IF(J204="M","Medium",IF(J204="L","Light",IF(J204="D","Dark","")))</f>
        <v/>
      </c>
      <c r="P204">
        <f>_xlfn.XLOOKUP(Orders[[#This Row],[Customer ID]],customers!$A$1:$A$1001,customers!$I$1:$I$1001,,0)</f>
        <v/>
      </c>
    </row>
    <row r="205">
      <c r="A205" s="2" t="inlineStr">
        <is>
          <t>O8278</t>
        </is>
      </c>
      <c r="B205" s="3" t="inlineStr">
        <is>
          <t>2021-02-17</t>
        </is>
      </c>
      <c r="C205" s="2" t="inlineStr">
        <is>
          <t>O8825</t>
        </is>
      </c>
      <c r="D205" t="inlineStr">
        <is>
          <t>O1260</t>
        </is>
      </c>
      <c r="E205" s="2" t="n">
        <v>367</v>
      </c>
      <c r="F205" s="2">
        <f>_xlfn.XLOOKUP(C205,customers!$A$1:$A$1001,customers!$B$1:$B$1001,,0)</f>
        <v/>
      </c>
      <c r="G205" s="2">
        <f>IF(_xlfn.XLOOKUP(C205,customers!$A$1:$A$1001,customers!$C$1:$C$1001,,0)=0,"",_xlfn.XLOOKUP(C205,customers!$A$1:$A$1001,customers!$C$1:$C$1001,,0))</f>
        <v/>
      </c>
      <c r="H205" s="2">
        <f>_xlfn.XLOOKUP(C205,customers!$A$1:$A$1001,customers!$G$1:$G$1001,,0)</f>
        <v/>
      </c>
      <c r="I205">
        <f>INDEX(products!$A$1:$G$49,MATCH(orders!$D205,products!$A$1:$A$49,0),MATCH(orders!I$1,products!$A$1:$G$1,0))</f>
        <v/>
      </c>
      <c r="J205">
        <f>INDEX(products!$A$1:$G$49,MATCH(orders!$D205,products!$A$1:$A$49,0),MATCH(orders!J$1,products!$A$1:$G$1,0))</f>
        <v/>
      </c>
      <c r="K205" s="4">
        <f>INDEX(products!$A$1:$G$49,MATCH(orders!$D205,products!$A$1:$A$49,0),MATCH(orders!K$1,products!$A$1:$G$1,0))</f>
        <v/>
      </c>
      <c r="L205" s="5">
        <f>INDEX(products!$A$1:$G$49,MATCH(orders!$D205,products!$A$1:$A$49,0),MATCH(orders!L$1,products!$A$1:$G$1,0))</f>
        <v/>
      </c>
      <c r="M205" s="5">
        <f>L205*E205</f>
        <v/>
      </c>
      <c r="N205">
        <f>IF(I205="Rob","Robusta",IF(I205="Exc","Excelsa",IF(I205="Ara","Arabica",IF(I205="Lib","Liberica",""))))</f>
        <v/>
      </c>
      <c r="O205">
        <f>IF(J205="M","Medium",IF(J205="L","Light",IF(J205="D","Dark","")))</f>
        <v/>
      </c>
      <c r="P205">
        <f>_xlfn.XLOOKUP(Orders[[#This Row],[Customer ID]],customers!$A$1:$A$1001,customers!$I$1:$I$1001,,0)</f>
        <v/>
      </c>
    </row>
    <row r="206">
      <c r="A206" s="2" t="inlineStr">
        <is>
          <t>O6833</t>
        </is>
      </c>
      <c r="B206" s="3" t="inlineStr">
        <is>
          <t>2024-01-12</t>
        </is>
      </c>
      <c r="C206" s="2" t="inlineStr">
        <is>
          <t>O5277</t>
        </is>
      </c>
      <c r="D206" t="inlineStr">
        <is>
          <t>O5990</t>
        </is>
      </c>
      <c r="E206" s="2" t="n">
        <v>373</v>
      </c>
      <c r="F206" s="2">
        <f>_xlfn.XLOOKUP(C206,customers!$A$1:$A$1001,customers!$B$1:$B$1001,,0)</f>
        <v/>
      </c>
      <c r="G206" s="2">
        <f>IF(_xlfn.XLOOKUP(C206,customers!$A$1:$A$1001,customers!$C$1:$C$1001,,0)=0,"",_xlfn.XLOOKUP(C206,customers!$A$1:$A$1001,customers!$C$1:$C$1001,,0))</f>
        <v/>
      </c>
      <c r="H206" s="2">
        <f>_xlfn.XLOOKUP(C206,customers!$A$1:$A$1001,customers!$G$1:$G$1001,,0)</f>
        <v/>
      </c>
      <c r="I206">
        <f>INDEX(products!$A$1:$G$49,MATCH(orders!$D206,products!$A$1:$A$49,0),MATCH(orders!I$1,products!$A$1:$G$1,0))</f>
        <v/>
      </c>
      <c r="J206">
        <f>INDEX(products!$A$1:$G$49,MATCH(orders!$D206,products!$A$1:$A$49,0),MATCH(orders!J$1,products!$A$1:$G$1,0))</f>
        <v/>
      </c>
      <c r="K206" s="4">
        <f>INDEX(products!$A$1:$G$49,MATCH(orders!$D206,products!$A$1:$A$49,0),MATCH(orders!K$1,products!$A$1:$G$1,0))</f>
        <v/>
      </c>
      <c r="L206" s="5">
        <f>INDEX(products!$A$1:$G$49,MATCH(orders!$D206,products!$A$1:$A$49,0),MATCH(orders!L$1,products!$A$1:$G$1,0))</f>
        <v/>
      </c>
      <c r="M206" s="5">
        <f>L206*E206</f>
        <v/>
      </c>
      <c r="N206">
        <f>IF(I206="Rob","Robusta",IF(I206="Exc","Excelsa",IF(I206="Ara","Arabica",IF(I206="Lib","Liberica",""))))</f>
        <v/>
      </c>
      <c r="O206">
        <f>IF(J206="M","Medium",IF(J206="L","Light",IF(J206="D","Dark","")))</f>
        <v/>
      </c>
      <c r="P206">
        <f>_xlfn.XLOOKUP(Orders[[#This Row],[Customer ID]],customers!$A$1:$A$1001,customers!$I$1:$I$1001,,0)</f>
        <v/>
      </c>
    </row>
    <row r="207">
      <c r="A207" s="2" t="inlineStr">
        <is>
          <t>O4501</t>
        </is>
      </c>
      <c r="B207" s="3" t="inlineStr">
        <is>
          <t>2022-02-28</t>
        </is>
      </c>
      <c r="C207" s="2" t="inlineStr">
        <is>
          <t>O1090</t>
        </is>
      </c>
      <c r="D207" t="inlineStr">
        <is>
          <t>O6326</t>
        </is>
      </c>
      <c r="E207" s="2" t="n">
        <v>233</v>
      </c>
      <c r="F207" s="2">
        <f>_xlfn.XLOOKUP(C207,customers!$A$1:$A$1001,customers!$B$1:$B$1001,,0)</f>
        <v/>
      </c>
      <c r="G207" s="2">
        <f>IF(_xlfn.XLOOKUP(C207,customers!$A$1:$A$1001,customers!$C$1:$C$1001,,0)=0,"",_xlfn.XLOOKUP(C207,customers!$A$1:$A$1001,customers!$C$1:$C$1001,,0))</f>
        <v/>
      </c>
      <c r="H207" s="2">
        <f>_xlfn.XLOOKUP(C207,customers!$A$1:$A$1001,customers!$G$1:$G$1001,,0)</f>
        <v/>
      </c>
      <c r="I207">
        <f>INDEX(products!$A$1:$G$49,MATCH(orders!$D207,products!$A$1:$A$49,0),MATCH(orders!I$1,products!$A$1:$G$1,0))</f>
        <v/>
      </c>
      <c r="J207">
        <f>INDEX(products!$A$1:$G$49,MATCH(orders!$D207,products!$A$1:$A$49,0),MATCH(orders!J$1,products!$A$1:$G$1,0))</f>
        <v/>
      </c>
      <c r="K207" s="4">
        <f>INDEX(products!$A$1:$G$49,MATCH(orders!$D207,products!$A$1:$A$49,0),MATCH(orders!K$1,products!$A$1:$G$1,0))</f>
        <v/>
      </c>
      <c r="L207" s="5">
        <f>INDEX(products!$A$1:$G$49,MATCH(orders!$D207,products!$A$1:$A$49,0),MATCH(orders!L$1,products!$A$1:$G$1,0))</f>
        <v/>
      </c>
      <c r="M207" s="5">
        <f>L207*E207</f>
        <v/>
      </c>
      <c r="N207">
        <f>IF(I207="Rob","Robusta",IF(I207="Exc","Excelsa",IF(I207="Ara","Arabica",IF(I207="Lib","Liberica",""))))</f>
        <v/>
      </c>
      <c r="O207">
        <f>IF(J207="M","Medium",IF(J207="L","Light",IF(J207="D","Dark","")))</f>
        <v/>
      </c>
      <c r="P207">
        <f>_xlfn.XLOOKUP(Orders[[#This Row],[Customer ID]],customers!$A$1:$A$1001,customers!$I$1:$I$1001,,0)</f>
        <v/>
      </c>
    </row>
    <row r="208">
      <c r="A208" s="2" t="inlineStr">
        <is>
          <t>O7618</t>
        </is>
      </c>
      <c r="B208" s="3" t="inlineStr">
        <is>
          <t>2022-08-22</t>
        </is>
      </c>
      <c r="C208" s="2" t="inlineStr">
        <is>
          <t>O1631</t>
        </is>
      </c>
      <c r="D208" t="inlineStr">
        <is>
          <t>O6327</t>
        </is>
      </c>
      <c r="E208" s="2" t="n">
        <v>115</v>
      </c>
      <c r="F208" s="2">
        <f>_xlfn.XLOOKUP(C208,customers!$A$1:$A$1001,customers!$B$1:$B$1001,,0)</f>
        <v/>
      </c>
      <c r="G208" s="2">
        <f>IF(_xlfn.XLOOKUP(C208,customers!$A$1:$A$1001,customers!$C$1:$C$1001,,0)=0,"",_xlfn.XLOOKUP(C208,customers!$A$1:$A$1001,customers!$C$1:$C$1001,,0))</f>
        <v/>
      </c>
      <c r="H208" s="2">
        <f>_xlfn.XLOOKUP(C208,customers!$A$1:$A$1001,customers!$G$1:$G$1001,,0)</f>
        <v/>
      </c>
      <c r="I208">
        <f>INDEX(products!$A$1:$G$49,MATCH(orders!$D208,products!$A$1:$A$49,0),MATCH(orders!I$1,products!$A$1:$G$1,0))</f>
        <v/>
      </c>
      <c r="J208">
        <f>INDEX(products!$A$1:$G$49,MATCH(orders!$D208,products!$A$1:$A$49,0),MATCH(orders!J$1,products!$A$1:$G$1,0))</f>
        <v/>
      </c>
      <c r="K208" s="4">
        <f>INDEX(products!$A$1:$G$49,MATCH(orders!$D208,products!$A$1:$A$49,0),MATCH(orders!K$1,products!$A$1:$G$1,0))</f>
        <v/>
      </c>
      <c r="L208" s="5">
        <f>INDEX(products!$A$1:$G$49,MATCH(orders!$D208,products!$A$1:$A$49,0),MATCH(orders!L$1,products!$A$1:$G$1,0))</f>
        <v/>
      </c>
      <c r="M208" s="5">
        <f>L208*E208</f>
        <v/>
      </c>
      <c r="N208">
        <f>IF(I208="Rob","Robusta",IF(I208="Exc","Excelsa",IF(I208="Ara","Arabica",IF(I208="Lib","Liberica",""))))</f>
        <v/>
      </c>
      <c r="O208">
        <f>IF(J208="M","Medium",IF(J208="L","Light",IF(J208="D","Dark","")))</f>
        <v/>
      </c>
      <c r="P208">
        <f>_xlfn.XLOOKUP(Orders[[#This Row],[Customer ID]],customers!$A$1:$A$1001,customers!$I$1:$I$1001,,0)</f>
        <v/>
      </c>
    </row>
    <row r="209">
      <c r="A209" s="2" t="inlineStr">
        <is>
          <t>O8701</t>
        </is>
      </c>
      <c r="B209" s="3" t="inlineStr">
        <is>
          <t>2021-01-05</t>
        </is>
      </c>
      <c r="C209" s="2" t="inlineStr">
        <is>
          <t>O6663</t>
        </is>
      </c>
      <c r="D209" t="inlineStr">
        <is>
          <t>O7877</t>
        </is>
      </c>
      <c r="E209" s="2" t="n">
        <v>67</v>
      </c>
      <c r="F209" s="2">
        <f>_xlfn.XLOOKUP(C209,customers!$A$1:$A$1001,customers!$B$1:$B$1001,,0)</f>
        <v/>
      </c>
      <c r="G209" s="2">
        <f>IF(_xlfn.XLOOKUP(C209,customers!$A$1:$A$1001,customers!$C$1:$C$1001,,0)=0,"",_xlfn.XLOOKUP(C209,customers!$A$1:$A$1001,customers!$C$1:$C$1001,,0))</f>
        <v/>
      </c>
      <c r="H209" s="2">
        <f>_xlfn.XLOOKUP(C209,customers!$A$1:$A$1001,customers!$G$1:$G$1001,,0)</f>
        <v/>
      </c>
      <c r="I209">
        <f>INDEX(products!$A$1:$G$49,MATCH(orders!$D209,products!$A$1:$A$49,0),MATCH(orders!I$1,products!$A$1:$G$1,0))</f>
        <v/>
      </c>
      <c r="J209">
        <f>INDEX(products!$A$1:$G$49,MATCH(orders!$D209,products!$A$1:$A$49,0),MATCH(orders!J$1,products!$A$1:$G$1,0))</f>
        <v/>
      </c>
      <c r="K209" s="4">
        <f>INDEX(products!$A$1:$G$49,MATCH(orders!$D209,products!$A$1:$A$49,0),MATCH(orders!K$1,products!$A$1:$G$1,0))</f>
        <v/>
      </c>
      <c r="L209" s="5">
        <f>INDEX(products!$A$1:$G$49,MATCH(orders!$D209,products!$A$1:$A$49,0),MATCH(orders!L$1,products!$A$1:$G$1,0))</f>
        <v/>
      </c>
      <c r="M209" s="5">
        <f>L209*E209</f>
        <v/>
      </c>
      <c r="N209">
        <f>IF(I209="Rob","Robusta",IF(I209="Exc","Excelsa",IF(I209="Ara","Arabica",IF(I209="Lib","Liberica",""))))</f>
        <v/>
      </c>
      <c r="O209">
        <f>IF(J209="M","Medium",IF(J209="L","Light",IF(J209="D","Dark","")))</f>
        <v/>
      </c>
      <c r="P209">
        <f>_xlfn.XLOOKUP(Orders[[#This Row],[Customer ID]],customers!$A$1:$A$1001,customers!$I$1:$I$1001,,0)</f>
        <v/>
      </c>
    </row>
    <row r="210">
      <c r="A210" s="2" t="inlineStr">
        <is>
          <t>O5651</t>
        </is>
      </c>
      <c r="B210" s="3" t="inlineStr">
        <is>
          <t>2024-12-07</t>
        </is>
      </c>
      <c r="C210" s="2" t="inlineStr">
        <is>
          <t>O7029</t>
        </is>
      </c>
      <c r="D210" t="inlineStr">
        <is>
          <t>O4290</t>
        </is>
      </c>
      <c r="E210" s="2" t="n">
        <v>105</v>
      </c>
      <c r="F210" s="2">
        <f>_xlfn.XLOOKUP(C210,customers!$A$1:$A$1001,customers!$B$1:$B$1001,,0)</f>
        <v/>
      </c>
      <c r="G210" s="2">
        <f>IF(_xlfn.XLOOKUP(C210,customers!$A$1:$A$1001,customers!$C$1:$C$1001,,0)=0,"",_xlfn.XLOOKUP(C210,customers!$A$1:$A$1001,customers!$C$1:$C$1001,,0))</f>
        <v/>
      </c>
      <c r="H210" s="2">
        <f>_xlfn.XLOOKUP(C210,customers!$A$1:$A$1001,customers!$G$1:$G$1001,,0)</f>
        <v/>
      </c>
      <c r="I210">
        <f>INDEX(products!$A$1:$G$49,MATCH(orders!$D210,products!$A$1:$A$49,0),MATCH(orders!I$1,products!$A$1:$G$1,0))</f>
        <v/>
      </c>
      <c r="J210">
        <f>INDEX(products!$A$1:$G$49,MATCH(orders!$D210,products!$A$1:$A$49,0),MATCH(orders!J$1,products!$A$1:$G$1,0))</f>
        <v/>
      </c>
      <c r="K210" s="4">
        <f>INDEX(products!$A$1:$G$49,MATCH(orders!$D210,products!$A$1:$A$49,0),MATCH(orders!K$1,products!$A$1:$G$1,0))</f>
        <v/>
      </c>
      <c r="L210" s="5">
        <f>INDEX(products!$A$1:$G$49,MATCH(orders!$D210,products!$A$1:$A$49,0),MATCH(orders!L$1,products!$A$1:$G$1,0))</f>
        <v/>
      </c>
      <c r="M210" s="5">
        <f>L210*E210</f>
        <v/>
      </c>
      <c r="N210">
        <f>IF(I210="Rob","Robusta",IF(I210="Exc","Excelsa",IF(I210="Ara","Arabica",IF(I210="Lib","Liberica",""))))</f>
        <v/>
      </c>
      <c r="O210">
        <f>IF(J210="M","Medium",IF(J210="L","Light",IF(J210="D","Dark","")))</f>
        <v/>
      </c>
      <c r="P210">
        <f>_xlfn.XLOOKUP(Orders[[#This Row],[Customer ID]],customers!$A$1:$A$1001,customers!$I$1:$I$1001,,0)</f>
        <v/>
      </c>
    </row>
    <row r="211">
      <c r="A211" s="2" t="inlineStr">
        <is>
          <t>O2927</t>
        </is>
      </c>
      <c r="B211" s="3" t="inlineStr">
        <is>
          <t>2025-08-11</t>
        </is>
      </c>
      <c r="C211" s="2" t="inlineStr">
        <is>
          <t>O4757</t>
        </is>
      </c>
      <c r="D211" t="inlineStr">
        <is>
          <t>O7088</t>
        </is>
      </c>
      <c r="E211" s="2" t="n">
        <v>340</v>
      </c>
      <c r="F211" s="2">
        <f>_xlfn.XLOOKUP(C211,customers!$A$1:$A$1001,customers!$B$1:$B$1001,,0)</f>
        <v/>
      </c>
      <c r="G211" s="2">
        <f>IF(_xlfn.XLOOKUP(C211,customers!$A$1:$A$1001,customers!$C$1:$C$1001,,0)=0,"",_xlfn.XLOOKUP(C211,customers!$A$1:$A$1001,customers!$C$1:$C$1001,,0))</f>
        <v/>
      </c>
      <c r="H211" s="2">
        <f>_xlfn.XLOOKUP(C211,customers!$A$1:$A$1001,customers!$G$1:$G$1001,,0)</f>
        <v/>
      </c>
      <c r="I211">
        <f>INDEX(products!$A$1:$G$49,MATCH(orders!$D211,products!$A$1:$A$49,0),MATCH(orders!I$1,products!$A$1:$G$1,0))</f>
        <v/>
      </c>
      <c r="J211">
        <f>INDEX(products!$A$1:$G$49,MATCH(orders!$D211,products!$A$1:$A$49,0),MATCH(orders!J$1,products!$A$1:$G$1,0))</f>
        <v/>
      </c>
      <c r="K211" s="4">
        <f>INDEX(products!$A$1:$G$49,MATCH(orders!$D211,products!$A$1:$A$49,0),MATCH(orders!K$1,products!$A$1:$G$1,0))</f>
        <v/>
      </c>
      <c r="L211" s="5">
        <f>INDEX(products!$A$1:$G$49,MATCH(orders!$D211,products!$A$1:$A$49,0),MATCH(orders!L$1,products!$A$1:$G$1,0))</f>
        <v/>
      </c>
      <c r="M211" s="5">
        <f>L211*E211</f>
        <v/>
      </c>
      <c r="N211">
        <f>IF(I211="Rob","Robusta",IF(I211="Exc","Excelsa",IF(I211="Ara","Arabica",IF(I211="Lib","Liberica",""))))</f>
        <v/>
      </c>
      <c r="O211">
        <f>IF(J211="M","Medium",IF(J211="L","Light",IF(J211="D","Dark","")))</f>
        <v/>
      </c>
      <c r="P211">
        <f>_xlfn.XLOOKUP(Orders[[#This Row],[Customer ID]],customers!$A$1:$A$1001,customers!$I$1:$I$1001,,0)</f>
        <v/>
      </c>
    </row>
    <row r="212">
      <c r="A212" s="2" t="inlineStr">
        <is>
          <t>O6396</t>
        </is>
      </c>
      <c r="B212" s="3" t="inlineStr">
        <is>
          <t>2023-01-16</t>
        </is>
      </c>
      <c r="C212" s="2" t="inlineStr">
        <is>
          <t>O8746</t>
        </is>
      </c>
      <c r="D212" t="inlineStr">
        <is>
          <t>O2183</t>
        </is>
      </c>
      <c r="E212" s="2" t="n">
        <v>257</v>
      </c>
      <c r="F212" s="2">
        <f>_xlfn.XLOOKUP(C212,customers!$A$1:$A$1001,customers!$B$1:$B$1001,,0)</f>
        <v/>
      </c>
      <c r="G212" s="2">
        <f>IF(_xlfn.XLOOKUP(C212,customers!$A$1:$A$1001,customers!$C$1:$C$1001,,0)=0,"",_xlfn.XLOOKUP(C212,customers!$A$1:$A$1001,customers!$C$1:$C$1001,,0))</f>
        <v/>
      </c>
      <c r="H212" s="2">
        <f>_xlfn.XLOOKUP(C212,customers!$A$1:$A$1001,customers!$G$1:$G$1001,,0)</f>
        <v/>
      </c>
      <c r="I212">
        <f>INDEX(products!$A$1:$G$49,MATCH(orders!$D212,products!$A$1:$A$49,0),MATCH(orders!I$1,products!$A$1:$G$1,0))</f>
        <v/>
      </c>
      <c r="J212">
        <f>INDEX(products!$A$1:$G$49,MATCH(orders!$D212,products!$A$1:$A$49,0),MATCH(orders!J$1,products!$A$1:$G$1,0))</f>
        <v/>
      </c>
      <c r="K212" s="4">
        <f>INDEX(products!$A$1:$G$49,MATCH(orders!$D212,products!$A$1:$A$49,0),MATCH(orders!K$1,products!$A$1:$G$1,0))</f>
        <v/>
      </c>
      <c r="L212" s="5">
        <f>INDEX(products!$A$1:$G$49,MATCH(orders!$D212,products!$A$1:$A$49,0),MATCH(orders!L$1,products!$A$1:$G$1,0))</f>
        <v/>
      </c>
      <c r="M212" s="5">
        <f>L212*E212</f>
        <v/>
      </c>
      <c r="N212">
        <f>IF(I212="Rob","Robusta",IF(I212="Exc","Excelsa",IF(I212="Ara","Arabica",IF(I212="Lib","Liberica",""))))</f>
        <v/>
      </c>
      <c r="O212">
        <f>IF(J212="M","Medium",IF(J212="L","Light",IF(J212="D","Dark","")))</f>
        <v/>
      </c>
      <c r="P212">
        <f>_xlfn.XLOOKUP(Orders[[#This Row],[Customer ID]],customers!$A$1:$A$1001,customers!$I$1:$I$1001,,0)</f>
        <v/>
      </c>
    </row>
    <row r="213">
      <c r="A213" s="2" t="inlineStr">
        <is>
          <t>O6182</t>
        </is>
      </c>
      <c r="B213" s="3" t="inlineStr">
        <is>
          <t>2023-06-29</t>
        </is>
      </c>
      <c r="C213" s="2" t="inlineStr">
        <is>
          <t>O4374</t>
        </is>
      </c>
      <c r="D213" t="inlineStr">
        <is>
          <t>O5533</t>
        </is>
      </c>
      <c r="E213" s="2" t="n">
        <v>36</v>
      </c>
      <c r="F213" s="2">
        <f>_xlfn.XLOOKUP(C213,customers!$A$1:$A$1001,customers!$B$1:$B$1001,,0)</f>
        <v/>
      </c>
      <c r="G213" s="2">
        <f>IF(_xlfn.XLOOKUP(C213,customers!$A$1:$A$1001,customers!$C$1:$C$1001,,0)=0,"",_xlfn.XLOOKUP(C213,customers!$A$1:$A$1001,customers!$C$1:$C$1001,,0))</f>
        <v/>
      </c>
      <c r="H213" s="2">
        <f>_xlfn.XLOOKUP(C213,customers!$A$1:$A$1001,customers!$G$1:$G$1001,,0)</f>
        <v/>
      </c>
      <c r="I213">
        <f>INDEX(products!$A$1:$G$49,MATCH(orders!$D213,products!$A$1:$A$49,0),MATCH(orders!I$1,products!$A$1:$G$1,0))</f>
        <v/>
      </c>
      <c r="J213">
        <f>INDEX(products!$A$1:$G$49,MATCH(orders!$D213,products!$A$1:$A$49,0),MATCH(orders!J$1,products!$A$1:$G$1,0))</f>
        <v/>
      </c>
      <c r="K213" s="4">
        <f>INDEX(products!$A$1:$G$49,MATCH(orders!$D213,products!$A$1:$A$49,0),MATCH(orders!K$1,products!$A$1:$G$1,0))</f>
        <v/>
      </c>
      <c r="L213" s="5">
        <f>INDEX(products!$A$1:$G$49,MATCH(orders!$D213,products!$A$1:$A$49,0),MATCH(orders!L$1,products!$A$1:$G$1,0))</f>
        <v/>
      </c>
      <c r="M213" s="5">
        <f>L213*E213</f>
        <v/>
      </c>
      <c r="N213">
        <f>IF(I213="Rob","Robusta",IF(I213="Exc","Excelsa",IF(I213="Ara","Arabica",IF(I213="Lib","Liberica",""))))</f>
        <v/>
      </c>
      <c r="O213">
        <f>IF(J213="M","Medium",IF(J213="L","Light",IF(J213="D","Dark","")))</f>
        <v/>
      </c>
      <c r="P213">
        <f>_xlfn.XLOOKUP(Orders[[#This Row],[Customer ID]],customers!$A$1:$A$1001,customers!$I$1:$I$1001,,0)</f>
        <v/>
      </c>
    </row>
    <row r="214">
      <c r="A214" s="2" t="inlineStr">
        <is>
          <t>O3742</t>
        </is>
      </c>
      <c r="B214" s="3" t="inlineStr">
        <is>
          <t>2024-07-12</t>
        </is>
      </c>
      <c r="C214" s="2" t="inlineStr">
        <is>
          <t>O2868</t>
        </is>
      </c>
      <c r="D214" t="inlineStr">
        <is>
          <t>O9885</t>
        </is>
      </c>
      <c r="E214" s="2" t="n">
        <v>318</v>
      </c>
      <c r="F214" s="2">
        <f>_xlfn.XLOOKUP(C214,customers!$A$1:$A$1001,customers!$B$1:$B$1001,,0)</f>
        <v/>
      </c>
      <c r="G214" s="2">
        <f>IF(_xlfn.XLOOKUP(C214,customers!$A$1:$A$1001,customers!$C$1:$C$1001,,0)=0,"",_xlfn.XLOOKUP(C214,customers!$A$1:$A$1001,customers!$C$1:$C$1001,,0))</f>
        <v/>
      </c>
      <c r="H214" s="2">
        <f>_xlfn.XLOOKUP(C214,customers!$A$1:$A$1001,customers!$G$1:$G$1001,,0)</f>
        <v/>
      </c>
      <c r="I214">
        <f>INDEX(products!$A$1:$G$49,MATCH(orders!$D214,products!$A$1:$A$49,0),MATCH(orders!I$1,products!$A$1:$G$1,0))</f>
        <v/>
      </c>
      <c r="J214">
        <f>INDEX(products!$A$1:$G$49,MATCH(orders!$D214,products!$A$1:$A$49,0),MATCH(orders!J$1,products!$A$1:$G$1,0))</f>
        <v/>
      </c>
      <c r="K214" s="4">
        <f>INDEX(products!$A$1:$G$49,MATCH(orders!$D214,products!$A$1:$A$49,0),MATCH(orders!K$1,products!$A$1:$G$1,0))</f>
        <v/>
      </c>
      <c r="L214" s="5">
        <f>INDEX(products!$A$1:$G$49,MATCH(orders!$D214,products!$A$1:$A$49,0),MATCH(orders!L$1,products!$A$1:$G$1,0))</f>
        <v/>
      </c>
      <c r="M214" s="5">
        <f>L214*E214</f>
        <v/>
      </c>
      <c r="N214">
        <f>IF(I214="Rob","Robusta",IF(I214="Exc","Excelsa",IF(I214="Ara","Arabica",IF(I214="Lib","Liberica",""))))</f>
        <v/>
      </c>
      <c r="O214">
        <f>IF(J214="M","Medium",IF(J214="L","Light",IF(J214="D","Dark","")))</f>
        <v/>
      </c>
      <c r="P214">
        <f>_xlfn.XLOOKUP(Orders[[#This Row],[Customer ID]],customers!$A$1:$A$1001,customers!$I$1:$I$1001,,0)</f>
        <v/>
      </c>
    </row>
    <row r="215">
      <c r="A215" s="2" t="inlineStr">
        <is>
          <t>O5766</t>
        </is>
      </c>
      <c r="B215" s="3" t="inlineStr">
        <is>
          <t>2020-02-06</t>
        </is>
      </c>
      <c r="C215" s="2" t="inlineStr">
        <is>
          <t>O7161</t>
        </is>
      </c>
      <c r="D215" t="inlineStr">
        <is>
          <t>O3610</t>
        </is>
      </c>
      <c r="E215" s="2" t="n">
        <v>197</v>
      </c>
      <c r="F215" s="2">
        <f>_xlfn.XLOOKUP(C215,customers!$A$1:$A$1001,customers!$B$1:$B$1001,,0)</f>
        <v/>
      </c>
      <c r="G215" s="2">
        <f>IF(_xlfn.XLOOKUP(C215,customers!$A$1:$A$1001,customers!$C$1:$C$1001,,0)=0,"",_xlfn.XLOOKUP(C215,customers!$A$1:$A$1001,customers!$C$1:$C$1001,,0))</f>
        <v/>
      </c>
      <c r="H215" s="2">
        <f>_xlfn.XLOOKUP(C215,customers!$A$1:$A$1001,customers!$G$1:$G$1001,,0)</f>
        <v/>
      </c>
      <c r="I215">
        <f>INDEX(products!$A$1:$G$49,MATCH(orders!$D215,products!$A$1:$A$49,0),MATCH(orders!I$1,products!$A$1:$G$1,0))</f>
        <v/>
      </c>
      <c r="J215">
        <f>INDEX(products!$A$1:$G$49,MATCH(orders!$D215,products!$A$1:$A$49,0),MATCH(orders!J$1,products!$A$1:$G$1,0))</f>
        <v/>
      </c>
      <c r="K215" s="4">
        <f>INDEX(products!$A$1:$G$49,MATCH(orders!$D215,products!$A$1:$A$49,0),MATCH(orders!K$1,products!$A$1:$G$1,0))</f>
        <v/>
      </c>
      <c r="L215" s="5">
        <f>INDEX(products!$A$1:$G$49,MATCH(orders!$D215,products!$A$1:$A$49,0),MATCH(orders!L$1,products!$A$1:$G$1,0))</f>
        <v/>
      </c>
      <c r="M215" s="5">
        <f>L215*E215</f>
        <v/>
      </c>
      <c r="N215">
        <f>IF(I215="Rob","Robusta",IF(I215="Exc","Excelsa",IF(I215="Ara","Arabica",IF(I215="Lib","Liberica",""))))</f>
        <v/>
      </c>
      <c r="O215">
        <f>IF(J215="M","Medium",IF(J215="L","Light",IF(J215="D","Dark","")))</f>
        <v/>
      </c>
      <c r="P215">
        <f>_xlfn.XLOOKUP(Orders[[#This Row],[Customer ID]],customers!$A$1:$A$1001,customers!$I$1:$I$1001,,0)</f>
        <v/>
      </c>
    </row>
    <row r="216">
      <c r="A216" s="2" t="inlineStr">
        <is>
          <t>O1203</t>
        </is>
      </c>
      <c r="B216" s="3" t="inlineStr">
        <is>
          <t>2021-10-28</t>
        </is>
      </c>
      <c r="C216" s="2" t="inlineStr">
        <is>
          <t>O7587</t>
        </is>
      </c>
      <c r="D216" t="inlineStr">
        <is>
          <t>O5414</t>
        </is>
      </c>
      <c r="E216" s="2" t="n">
        <v>177</v>
      </c>
      <c r="F216" s="2">
        <f>_xlfn.XLOOKUP(C216,customers!$A$1:$A$1001,customers!$B$1:$B$1001,,0)</f>
        <v/>
      </c>
      <c r="G216" s="2">
        <f>IF(_xlfn.XLOOKUP(C216,customers!$A$1:$A$1001,customers!$C$1:$C$1001,,0)=0,"",_xlfn.XLOOKUP(C216,customers!$A$1:$A$1001,customers!$C$1:$C$1001,,0))</f>
        <v/>
      </c>
      <c r="H216" s="2">
        <f>_xlfn.XLOOKUP(C216,customers!$A$1:$A$1001,customers!$G$1:$G$1001,,0)</f>
        <v/>
      </c>
      <c r="I216">
        <f>INDEX(products!$A$1:$G$49,MATCH(orders!$D216,products!$A$1:$A$49,0),MATCH(orders!I$1,products!$A$1:$G$1,0))</f>
        <v/>
      </c>
      <c r="J216">
        <f>INDEX(products!$A$1:$G$49,MATCH(orders!$D216,products!$A$1:$A$49,0),MATCH(orders!J$1,products!$A$1:$G$1,0))</f>
        <v/>
      </c>
      <c r="K216" s="4">
        <f>INDEX(products!$A$1:$G$49,MATCH(orders!$D216,products!$A$1:$A$49,0),MATCH(orders!K$1,products!$A$1:$G$1,0))</f>
        <v/>
      </c>
      <c r="L216" s="5">
        <f>INDEX(products!$A$1:$G$49,MATCH(orders!$D216,products!$A$1:$A$49,0),MATCH(orders!L$1,products!$A$1:$G$1,0))</f>
        <v/>
      </c>
      <c r="M216" s="5">
        <f>L216*E216</f>
        <v/>
      </c>
      <c r="N216">
        <f>IF(I216="Rob","Robusta",IF(I216="Exc","Excelsa",IF(I216="Ara","Arabica",IF(I216="Lib","Liberica",""))))</f>
        <v/>
      </c>
      <c r="O216">
        <f>IF(J216="M","Medium",IF(J216="L","Light",IF(J216="D","Dark","")))</f>
        <v/>
      </c>
      <c r="P216">
        <f>_xlfn.XLOOKUP(Orders[[#This Row],[Customer ID]],customers!$A$1:$A$1001,customers!$I$1:$I$1001,,0)</f>
        <v/>
      </c>
    </row>
    <row r="217">
      <c r="A217" s="2" t="inlineStr">
        <is>
          <t>O6730</t>
        </is>
      </c>
      <c r="B217" s="3" t="inlineStr">
        <is>
          <t>2023-07-25</t>
        </is>
      </c>
      <c r="C217" s="2" t="inlineStr">
        <is>
          <t>O7056</t>
        </is>
      </c>
      <c r="D217" t="inlineStr">
        <is>
          <t>O4728</t>
        </is>
      </c>
      <c r="E217" s="2" t="n">
        <v>332</v>
      </c>
      <c r="F217" s="2">
        <f>_xlfn.XLOOKUP(C217,customers!$A$1:$A$1001,customers!$B$1:$B$1001,,0)</f>
        <v/>
      </c>
      <c r="G217" s="2">
        <f>IF(_xlfn.XLOOKUP(C217,customers!$A$1:$A$1001,customers!$C$1:$C$1001,,0)=0,"",_xlfn.XLOOKUP(C217,customers!$A$1:$A$1001,customers!$C$1:$C$1001,,0))</f>
        <v/>
      </c>
      <c r="H217" s="2">
        <f>_xlfn.XLOOKUP(C217,customers!$A$1:$A$1001,customers!$G$1:$G$1001,,0)</f>
        <v/>
      </c>
      <c r="I217">
        <f>INDEX(products!$A$1:$G$49,MATCH(orders!$D217,products!$A$1:$A$49,0),MATCH(orders!I$1,products!$A$1:$G$1,0))</f>
        <v/>
      </c>
      <c r="J217">
        <f>INDEX(products!$A$1:$G$49,MATCH(orders!$D217,products!$A$1:$A$49,0),MATCH(orders!J$1,products!$A$1:$G$1,0))</f>
        <v/>
      </c>
      <c r="K217" s="4">
        <f>INDEX(products!$A$1:$G$49,MATCH(orders!$D217,products!$A$1:$A$49,0),MATCH(orders!K$1,products!$A$1:$G$1,0))</f>
        <v/>
      </c>
      <c r="L217" s="5">
        <f>INDEX(products!$A$1:$G$49,MATCH(orders!$D217,products!$A$1:$A$49,0),MATCH(orders!L$1,products!$A$1:$G$1,0))</f>
        <v/>
      </c>
      <c r="M217" s="5">
        <f>L217*E217</f>
        <v/>
      </c>
      <c r="N217">
        <f>IF(I217="Rob","Robusta",IF(I217="Exc","Excelsa",IF(I217="Ara","Arabica",IF(I217="Lib","Liberica",""))))</f>
        <v/>
      </c>
      <c r="O217">
        <f>IF(J217="M","Medium",IF(J217="L","Light",IF(J217="D","Dark","")))</f>
        <v/>
      </c>
      <c r="P217">
        <f>_xlfn.XLOOKUP(Orders[[#This Row],[Customer ID]],customers!$A$1:$A$1001,customers!$I$1:$I$1001,,0)</f>
        <v/>
      </c>
    </row>
    <row r="218">
      <c r="A218" s="2" t="inlineStr">
        <is>
          <t>O1754</t>
        </is>
      </c>
      <c r="B218" s="3" t="inlineStr">
        <is>
          <t>2020-12-27</t>
        </is>
      </c>
      <c r="C218" s="2" t="inlineStr">
        <is>
          <t>O4424</t>
        </is>
      </c>
      <c r="D218" t="inlineStr">
        <is>
          <t>O3194</t>
        </is>
      </c>
      <c r="E218" s="2" t="n">
        <v>173</v>
      </c>
      <c r="F218" s="2">
        <f>_xlfn.XLOOKUP(C218,customers!$A$1:$A$1001,customers!$B$1:$B$1001,,0)</f>
        <v/>
      </c>
      <c r="G218" s="2">
        <f>IF(_xlfn.XLOOKUP(C218,customers!$A$1:$A$1001,customers!$C$1:$C$1001,,0)=0,"",_xlfn.XLOOKUP(C218,customers!$A$1:$A$1001,customers!$C$1:$C$1001,,0))</f>
        <v/>
      </c>
      <c r="H218" s="2">
        <f>_xlfn.XLOOKUP(C218,customers!$A$1:$A$1001,customers!$G$1:$G$1001,,0)</f>
        <v/>
      </c>
      <c r="I218">
        <f>INDEX(products!$A$1:$G$49,MATCH(orders!$D218,products!$A$1:$A$49,0),MATCH(orders!I$1,products!$A$1:$G$1,0))</f>
        <v/>
      </c>
      <c r="J218">
        <f>INDEX(products!$A$1:$G$49,MATCH(orders!$D218,products!$A$1:$A$49,0),MATCH(orders!J$1,products!$A$1:$G$1,0))</f>
        <v/>
      </c>
      <c r="K218" s="4">
        <f>INDEX(products!$A$1:$G$49,MATCH(orders!$D218,products!$A$1:$A$49,0),MATCH(orders!K$1,products!$A$1:$G$1,0))</f>
        <v/>
      </c>
      <c r="L218" s="5">
        <f>INDEX(products!$A$1:$G$49,MATCH(orders!$D218,products!$A$1:$A$49,0),MATCH(orders!L$1,products!$A$1:$G$1,0))</f>
        <v/>
      </c>
      <c r="M218" s="5">
        <f>L218*E218</f>
        <v/>
      </c>
      <c r="N218">
        <f>IF(I218="Rob","Robusta",IF(I218="Exc","Excelsa",IF(I218="Ara","Arabica",IF(I218="Lib","Liberica",""))))</f>
        <v/>
      </c>
      <c r="O218">
        <f>IF(J218="M","Medium",IF(J218="L","Light",IF(J218="D","Dark","")))</f>
        <v/>
      </c>
      <c r="P218">
        <f>_xlfn.XLOOKUP(Orders[[#This Row],[Customer ID]],customers!$A$1:$A$1001,customers!$I$1:$I$1001,,0)</f>
        <v/>
      </c>
    </row>
    <row r="219">
      <c r="A219" s="2" t="inlineStr">
        <is>
          <t>O1338</t>
        </is>
      </c>
      <c r="B219" s="3" t="inlineStr">
        <is>
          <t>2024-12-08</t>
        </is>
      </c>
      <c r="C219" s="2" t="inlineStr">
        <is>
          <t>O2393</t>
        </is>
      </c>
      <c r="D219" t="inlineStr">
        <is>
          <t>O1255</t>
        </is>
      </c>
      <c r="E219" s="2" t="n">
        <v>168</v>
      </c>
      <c r="F219" s="2">
        <f>_xlfn.XLOOKUP(C219,customers!$A$1:$A$1001,customers!$B$1:$B$1001,,0)</f>
        <v/>
      </c>
      <c r="G219" s="2">
        <f>IF(_xlfn.XLOOKUP(C219,customers!$A$1:$A$1001,customers!$C$1:$C$1001,,0)=0,"",_xlfn.XLOOKUP(C219,customers!$A$1:$A$1001,customers!$C$1:$C$1001,,0))</f>
        <v/>
      </c>
      <c r="H219" s="2">
        <f>_xlfn.XLOOKUP(C219,customers!$A$1:$A$1001,customers!$G$1:$G$1001,,0)</f>
        <v/>
      </c>
      <c r="I219">
        <f>INDEX(products!$A$1:$G$49,MATCH(orders!$D219,products!$A$1:$A$49,0),MATCH(orders!I$1,products!$A$1:$G$1,0))</f>
        <v/>
      </c>
      <c r="J219">
        <f>INDEX(products!$A$1:$G$49,MATCH(orders!$D219,products!$A$1:$A$49,0),MATCH(orders!J$1,products!$A$1:$G$1,0))</f>
        <v/>
      </c>
      <c r="K219" s="4">
        <f>INDEX(products!$A$1:$G$49,MATCH(orders!$D219,products!$A$1:$A$49,0),MATCH(orders!K$1,products!$A$1:$G$1,0))</f>
        <v/>
      </c>
      <c r="L219" s="5">
        <f>INDEX(products!$A$1:$G$49,MATCH(orders!$D219,products!$A$1:$A$49,0),MATCH(orders!L$1,products!$A$1:$G$1,0))</f>
        <v/>
      </c>
      <c r="M219" s="5">
        <f>L219*E219</f>
        <v/>
      </c>
      <c r="N219">
        <f>IF(I219="Rob","Robusta",IF(I219="Exc","Excelsa",IF(I219="Ara","Arabica",IF(I219="Lib","Liberica",""))))</f>
        <v/>
      </c>
      <c r="O219">
        <f>IF(J219="M","Medium",IF(J219="L","Light",IF(J219="D","Dark","")))</f>
        <v/>
      </c>
      <c r="P219">
        <f>_xlfn.XLOOKUP(Orders[[#This Row],[Customer ID]],customers!$A$1:$A$1001,customers!$I$1:$I$1001,,0)</f>
        <v/>
      </c>
    </row>
    <row r="220">
      <c r="A220" s="2" t="inlineStr">
        <is>
          <t>O2665</t>
        </is>
      </c>
      <c r="B220" s="3" t="inlineStr">
        <is>
          <t>2021-07-29</t>
        </is>
      </c>
      <c r="C220" s="2" t="inlineStr">
        <is>
          <t>O3611</t>
        </is>
      </c>
      <c r="D220" t="inlineStr">
        <is>
          <t>O8693</t>
        </is>
      </c>
      <c r="E220" s="2" t="n">
        <v>40</v>
      </c>
      <c r="F220" s="2">
        <f>_xlfn.XLOOKUP(C220,customers!$A$1:$A$1001,customers!$B$1:$B$1001,,0)</f>
        <v/>
      </c>
      <c r="G220" s="2">
        <f>IF(_xlfn.XLOOKUP(C220,customers!$A$1:$A$1001,customers!$C$1:$C$1001,,0)=0,"",_xlfn.XLOOKUP(C220,customers!$A$1:$A$1001,customers!$C$1:$C$1001,,0))</f>
        <v/>
      </c>
      <c r="H220" s="2">
        <f>_xlfn.XLOOKUP(C220,customers!$A$1:$A$1001,customers!$G$1:$G$1001,,0)</f>
        <v/>
      </c>
      <c r="I220">
        <f>INDEX(products!$A$1:$G$49,MATCH(orders!$D220,products!$A$1:$A$49,0),MATCH(orders!I$1,products!$A$1:$G$1,0))</f>
        <v/>
      </c>
      <c r="J220">
        <f>INDEX(products!$A$1:$G$49,MATCH(orders!$D220,products!$A$1:$A$49,0),MATCH(orders!J$1,products!$A$1:$G$1,0))</f>
        <v/>
      </c>
      <c r="K220" s="4">
        <f>INDEX(products!$A$1:$G$49,MATCH(orders!$D220,products!$A$1:$A$49,0),MATCH(orders!K$1,products!$A$1:$G$1,0))</f>
        <v/>
      </c>
      <c r="L220" s="5">
        <f>INDEX(products!$A$1:$G$49,MATCH(orders!$D220,products!$A$1:$A$49,0),MATCH(orders!L$1,products!$A$1:$G$1,0))</f>
        <v/>
      </c>
      <c r="M220" s="5">
        <f>L220*E220</f>
        <v/>
      </c>
      <c r="N220">
        <f>IF(I220="Rob","Robusta",IF(I220="Exc","Excelsa",IF(I220="Ara","Arabica",IF(I220="Lib","Liberica",""))))</f>
        <v/>
      </c>
      <c r="O220">
        <f>IF(J220="M","Medium",IF(J220="L","Light",IF(J220="D","Dark","")))</f>
        <v/>
      </c>
      <c r="P220">
        <f>_xlfn.XLOOKUP(Orders[[#This Row],[Customer ID]],customers!$A$1:$A$1001,customers!$I$1:$I$1001,,0)</f>
        <v/>
      </c>
    </row>
    <row r="221">
      <c r="A221" s="2" t="inlineStr">
        <is>
          <t>O9773</t>
        </is>
      </c>
      <c r="B221" s="3" t="inlineStr">
        <is>
          <t>2021-07-04</t>
        </is>
      </c>
      <c r="C221" s="2" t="inlineStr">
        <is>
          <t>O4700</t>
        </is>
      </c>
      <c r="D221" t="inlineStr">
        <is>
          <t>O8219</t>
        </is>
      </c>
      <c r="E221" s="2" t="n">
        <v>82</v>
      </c>
      <c r="F221" s="2">
        <f>_xlfn.XLOOKUP(C221,customers!$A$1:$A$1001,customers!$B$1:$B$1001,,0)</f>
        <v/>
      </c>
      <c r="G221" s="2">
        <f>IF(_xlfn.XLOOKUP(C221,customers!$A$1:$A$1001,customers!$C$1:$C$1001,,0)=0,"",_xlfn.XLOOKUP(C221,customers!$A$1:$A$1001,customers!$C$1:$C$1001,,0))</f>
        <v/>
      </c>
      <c r="H221" s="2">
        <f>_xlfn.XLOOKUP(C221,customers!$A$1:$A$1001,customers!$G$1:$G$1001,,0)</f>
        <v/>
      </c>
      <c r="I221">
        <f>INDEX(products!$A$1:$G$49,MATCH(orders!$D221,products!$A$1:$A$49,0),MATCH(orders!I$1,products!$A$1:$G$1,0))</f>
        <v/>
      </c>
      <c r="J221">
        <f>INDEX(products!$A$1:$G$49,MATCH(orders!$D221,products!$A$1:$A$49,0),MATCH(orders!J$1,products!$A$1:$G$1,0))</f>
        <v/>
      </c>
      <c r="K221" s="4">
        <f>INDEX(products!$A$1:$G$49,MATCH(orders!$D221,products!$A$1:$A$49,0),MATCH(orders!K$1,products!$A$1:$G$1,0))</f>
        <v/>
      </c>
      <c r="L221" s="5">
        <f>INDEX(products!$A$1:$G$49,MATCH(orders!$D221,products!$A$1:$A$49,0),MATCH(orders!L$1,products!$A$1:$G$1,0))</f>
        <v/>
      </c>
      <c r="M221" s="5">
        <f>L221*E221</f>
        <v/>
      </c>
      <c r="N221">
        <f>IF(I221="Rob","Robusta",IF(I221="Exc","Excelsa",IF(I221="Ara","Arabica",IF(I221="Lib","Liberica",""))))</f>
        <v/>
      </c>
      <c r="O221">
        <f>IF(J221="M","Medium",IF(J221="L","Light",IF(J221="D","Dark","")))</f>
        <v/>
      </c>
      <c r="P221">
        <f>_xlfn.XLOOKUP(Orders[[#This Row],[Customer ID]],customers!$A$1:$A$1001,customers!$I$1:$I$1001,,0)</f>
        <v/>
      </c>
    </row>
    <row r="222">
      <c r="A222" s="2" t="inlineStr">
        <is>
          <t>O1631</t>
        </is>
      </c>
      <c r="B222" s="3" t="inlineStr">
        <is>
          <t>2025-01-25</t>
        </is>
      </c>
      <c r="C222" s="2" t="inlineStr">
        <is>
          <t>O1743</t>
        </is>
      </c>
      <c r="D222" t="inlineStr">
        <is>
          <t>O2373</t>
        </is>
      </c>
      <c r="E222" s="2" t="n">
        <v>45</v>
      </c>
      <c r="F222" s="2">
        <f>_xlfn.XLOOKUP(C222,customers!$A$1:$A$1001,customers!$B$1:$B$1001,,0)</f>
        <v/>
      </c>
      <c r="G222" s="2">
        <f>IF(_xlfn.XLOOKUP(C222,customers!$A$1:$A$1001,customers!$C$1:$C$1001,,0)=0,"",_xlfn.XLOOKUP(C222,customers!$A$1:$A$1001,customers!$C$1:$C$1001,,0))</f>
        <v/>
      </c>
      <c r="H222" s="2">
        <f>_xlfn.XLOOKUP(C222,customers!$A$1:$A$1001,customers!$G$1:$G$1001,,0)</f>
        <v/>
      </c>
      <c r="I222">
        <f>INDEX(products!$A$1:$G$49,MATCH(orders!$D222,products!$A$1:$A$49,0),MATCH(orders!I$1,products!$A$1:$G$1,0))</f>
        <v/>
      </c>
      <c r="J222">
        <f>INDEX(products!$A$1:$G$49,MATCH(orders!$D222,products!$A$1:$A$49,0),MATCH(orders!J$1,products!$A$1:$G$1,0))</f>
        <v/>
      </c>
      <c r="K222" s="4">
        <f>INDEX(products!$A$1:$G$49,MATCH(orders!$D222,products!$A$1:$A$49,0),MATCH(orders!K$1,products!$A$1:$G$1,0))</f>
        <v/>
      </c>
      <c r="L222" s="5">
        <f>INDEX(products!$A$1:$G$49,MATCH(orders!$D222,products!$A$1:$A$49,0),MATCH(orders!L$1,products!$A$1:$G$1,0))</f>
        <v/>
      </c>
      <c r="M222" s="5">
        <f>L222*E222</f>
        <v/>
      </c>
      <c r="N222">
        <f>IF(I222="Rob","Robusta",IF(I222="Exc","Excelsa",IF(I222="Ara","Arabica",IF(I222="Lib","Liberica",""))))</f>
        <v/>
      </c>
      <c r="O222">
        <f>IF(J222="M","Medium",IF(J222="L","Light",IF(J222="D","Dark","")))</f>
        <v/>
      </c>
      <c r="P222">
        <f>_xlfn.XLOOKUP(Orders[[#This Row],[Customer ID]],customers!$A$1:$A$1001,customers!$I$1:$I$1001,,0)</f>
        <v/>
      </c>
    </row>
    <row r="223">
      <c r="A223" s="2" t="inlineStr">
        <is>
          <t>O6764</t>
        </is>
      </c>
      <c r="B223" s="3" t="inlineStr">
        <is>
          <t>2024-06-07</t>
        </is>
      </c>
      <c r="C223" s="2" t="inlineStr">
        <is>
          <t>O4729</t>
        </is>
      </c>
      <c r="D223" t="inlineStr">
        <is>
          <t>O7962</t>
        </is>
      </c>
      <c r="E223" s="2" t="n">
        <v>161</v>
      </c>
      <c r="F223" s="2">
        <f>_xlfn.XLOOKUP(C223,customers!$A$1:$A$1001,customers!$B$1:$B$1001,,0)</f>
        <v/>
      </c>
      <c r="G223" s="2">
        <f>IF(_xlfn.XLOOKUP(C223,customers!$A$1:$A$1001,customers!$C$1:$C$1001,,0)=0,"",_xlfn.XLOOKUP(C223,customers!$A$1:$A$1001,customers!$C$1:$C$1001,,0))</f>
        <v/>
      </c>
      <c r="H223" s="2">
        <f>_xlfn.XLOOKUP(C223,customers!$A$1:$A$1001,customers!$G$1:$G$1001,,0)</f>
        <v/>
      </c>
      <c r="I223">
        <f>INDEX(products!$A$1:$G$49,MATCH(orders!$D223,products!$A$1:$A$49,0),MATCH(orders!I$1,products!$A$1:$G$1,0))</f>
        <v/>
      </c>
      <c r="J223">
        <f>INDEX(products!$A$1:$G$49,MATCH(orders!$D223,products!$A$1:$A$49,0),MATCH(orders!J$1,products!$A$1:$G$1,0))</f>
        <v/>
      </c>
      <c r="K223" s="4">
        <f>INDEX(products!$A$1:$G$49,MATCH(orders!$D223,products!$A$1:$A$49,0),MATCH(orders!K$1,products!$A$1:$G$1,0))</f>
        <v/>
      </c>
      <c r="L223" s="5">
        <f>INDEX(products!$A$1:$G$49,MATCH(orders!$D223,products!$A$1:$A$49,0),MATCH(orders!L$1,products!$A$1:$G$1,0))</f>
        <v/>
      </c>
      <c r="M223" s="5">
        <f>L223*E223</f>
        <v/>
      </c>
      <c r="N223">
        <f>IF(I223="Rob","Robusta",IF(I223="Exc","Excelsa",IF(I223="Ara","Arabica",IF(I223="Lib","Liberica",""))))</f>
        <v/>
      </c>
      <c r="O223">
        <f>IF(J223="M","Medium",IF(J223="L","Light",IF(J223="D","Dark","")))</f>
        <v/>
      </c>
      <c r="P223">
        <f>_xlfn.XLOOKUP(Orders[[#This Row],[Customer ID]],customers!$A$1:$A$1001,customers!$I$1:$I$1001,,0)</f>
        <v/>
      </c>
    </row>
    <row r="224">
      <c r="A224" s="2" t="inlineStr">
        <is>
          <t>O4808</t>
        </is>
      </c>
      <c r="B224" s="3" t="inlineStr">
        <is>
          <t>2024-09-13</t>
        </is>
      </c>
      <c r="C224" s="2" t="inlineStr">
        <is>
          <t>O4780</t>
        </is>
      </c>
      <c r="D224" t="inlineStr">
        <is>
          <t>O5773</t>
        </is>
      </c>
      <c r="E224" s="2" t="n">
        <v>310</v>
      </c>
      <c r="F224" s="2">
        <f>_xlfn.XLOOKUP(C224,customers!$A$1:$A$1001,customers!$B$1:$B$1001,,0)</f>
        <v/>
      </c>
      <c r="G224" s="2">
        <f>IF(_xlfn.XLOOKUP(C224,customers!$A$1:$A$1001,customers!$C$1:$C$1001,,0)=0,"",_xlfn.XLOOKUP(C224,customers!$A$1:$A$1001,customers!$C$1:$C$1001,,0))</f>
        <v/>
      </c>
      <c r="H224" s="2">
        <f>_xlfn.XLOOKUP(C224,customers!$A$1:$A$1001,customers!$G$1:$G$1001,,0)</f>
        <v/>
      </c>
      <c r="I224">
        <f>INDEX(products!$A$1:$G$49,MATCH(orders!$D224,products!$A$1:$A$49,0),MATCH(orders!I$1,products!$A$1:$G$1,0))</f>
        <v/>
      </c>
      <c r="J224">
        <f>INDEX(products!$A$1:$G$49,MATCH(orders!$D224,products!$A$1:$A$49,0),MATCH(orders!J$1,products!$A$1:$G$1,0))</f>
        <v/>
      </c>
      <c r="K224" s="4">
        <f>INDEX(products!$A$1:$G$49,MATCH(orders!$D224,products!$A$1:$A$49,0),MATCH(orders!K$1,products!$A$1:$G$1,0))</f>
        <v/>
      </c>
      <c r="L224" s="5">
        <f>INDEX(products!$A$1:$G$49,MATCH(orders!$D224,products!$A$1:$A$49,0),MATCH(orders!L$1,products!$A$1:$G$1,0))</f>
        <v/>
      </c>
      <c r="M224" s="5">
        <f>L224*E224</f>
        <v/>
      </c>
      <c r="N224">
        <f>IF(I224="Rob","Robusta",IF(I224="Exc","Excelsa",IF(I224="Ara","Arabica",IF(I224="Lib","Liberica",""))))</f>
        <v/>
      </c>
      <c r="O224">
        <f>IF(J224="M","Medium",IF(J224="L","Light",IF(J224="D","Dark","")))</f>
        <v/>
      </c>
      <c r="P224">
        <f>_xlfn.XLOOKUP(Orders[[#This Row],[Customer ID]],customers!$A$1:$A$1001,customers!$I$1:$I$1001,,0)</f>
        <v/>
      </c>
    </row>
    <row r="225">
      <c r="A225" s="2" t="inlineStr">
        <is>
          <t>O3366</t>
        </is>
      </c>
      <c r="B225" s="3" t="inlineStr">
        <is>
          <t>2021-04-11</t>
        </is>
      </c>
      <c r="C225" s="2" t="inlineStr">
        <is>
          <t>O6803</t>
        </is>
      </c>
      <c r="D225" t="inlineStr">
        <is>
          <t>O3034</t>
        </is>
      </c>
      <c r="E225" s="2" t="n">
        <v>119</v>
      </c>
      <c r="F225" s="2">
        <f>_xlfn.XLOOKUP(C225,customers!$A$1:$A$1001,customers!$B$1:$B$1001,,0)</f>
        <v/>
      </c>
      <c r="G225" s="2">
        <f>IF(_xlfn.XLOOKUP(C225,customers!$A$1:$A$1001,customers!$C$1:$C$1001,,0)=0,"",_xlfn.XLOOKUP(C225,customers!$A$1:$A$1001,customers!$C$1:$C$1001,,0))</f>
        <v/>
      </c>
      <c r="H225" s="2">
        <f>_xlfn.XLOOKUP(C225,customers!$A$1:$A$1001,customers!$G$1:$G$1001,,0)</f>
        <v/>
      </c>
      <c r="I225">
        <f>INDEX(products!$A$1:$G$49,MATCH(orders!$D225,products!$A$1:$A$49,0),MATCH(orders!I$1,products!$A$1:$G$1,0))</f>
        <v/>
      </c>
      <c r="J225">
        <f>INDEX(products!$A$1:$G$49,MATCH(orders!$D225,products!$A$1:$A$49,0),MATCH(orders!J$1,products!$A$1:$G$1,0))</f>
        <v/>
      </c>
      <c r="K225" s="4">
        <f>INDEX(products!$A$1:$G$49,MATCH(orders!$D225,products!$A$1:$A$49,0),MATCH(orders!K$1,products!$A$1:$G$1,0))</f>
        <v/>
      </c>
      <c r="L225" s="5">
        <f>INDEX(products!$A$1:$G$49,MATCH(orders!$D225,products!$A$1:$A$49,0),MATCH(orders!L$1,products!$A$1:$G$1,0))</f>
        <v/>
      </c>
      <c r="M225" s="5">
        <f>L225*E225</f>
        <v/>
      </c>
      <c r="N225">
        <f>IF(I225="Rob","Robusta",IF(I225="Exc","Excelsa",IF(I225="Ara","Arabica",IF(I225="Lib","Liberica",""))))</f>
        <v/>
      </c>
      <c r="O225">
        <f>IF(J225="M","Medium",IF(J225="L","Light",IF(J225="D","Dark","")))</f>
        <v/>
      </c>
      <c r="P225">
        <f>_xlfn.XLOOKUP(Orders[[#This Row],[Customer ID]],customers!$A$1:$A$1001,customers!$I$1:$I$1001,,0)</f>
        <v/>
      </c>
    </row>
    <row r="226">
      <c r="A226" s="2" t="inlineStr">
        <is>
          <t>O6153</t>
        </is>
      </c>
      <c r="B226" s="3" t="inlineStr">
        <is>
          <t>2022-10-07</t>
        </is>
      </c>
      <c r="C226" s="2" t="inlineStr">
        <is>
          <t>O2851</t>
        </is>
      </c>
      <c r="D226" t="inlineStr">
        <is>
          <t>O4018</t>
        </is>
      </c>
      <c r="E226" s="2" t="n">
        <v>355</v>
      </c>
      <c r="F226" s="2">
        <f>_xlfn.XLOOKUP(C226,customers!$A$1:$A$1001,customers!$B$1:$B$1001,,0)</f>
        <v/>
      </c>
      <c r="G226" s="2">
        <f>IF(_xlfn.XLOOKUP(C226,customers!$A$1:$A$1001,customers!$C$1:$C$1001,,0)=0,"",_xlfn.XLOOKUP(C226,customers!$A$1:$A$1001,customers!$C$1:$C$1001,,0))</f>
        <v/>
      </c>
      <c r="H226" s="2">
        <f>_xlfn.XLOOKUP(C226,customers!$A$1:$A$1001,customers!$G$1:$G$1001,,0)</f>
        <v/>
      </c>
      <c r="I226">
        <f>INDEX(products!$A$1:$G$49,MATCH(orders!$D226,products!$A$1:$A$49,0),MATCH(orders!I$1,products!$A$1:$G$1,0))</f>
        <v/>
      </c>
      <c r="J226">
        <f>INDEX(products!$A$1:$G$49,MATCH(orders!$D226,products!$A$1:$A$49,0),MATCH(orders!J$1,products!$A$1:$G$1,0))</f>
        <v/>
      </c>
      <c r="K226" s="4">
        <f>INDEX(products!$A$1:$G$49,MATCH(orders!$D226,products!$A$1:$A$49,0),MATCH(orders!K$1,products!$A$1:$G$1,0))</f>
        <v/>
      </c>
      <c r="L226" s="5">
        <f>INDEX(products!$A$1:$G$49,MATCH(orders!$D226,products!$A$1:$A$49,0),MATCH(orders!L$1,products!$A$1:$G$1,0))</f>
        <v/>
      </c>
      <c r="M226" s="5">
        <f>L226*E226</f>
        <v/>
      </c>
      <c r="N226">
        <f>IF(I226="Rob","Robusta",IF(I226="Exc","Excelsa",IF(I226="Ara","Arabica",IF(I226="Lib","Liberica",""))))</f>
        <v/>
      </c>
      <c r="O226">
        <f>IF(J226="M","Medium",IF(J226="L","Light",IF(J226="D","Dark","")))</f>
        <v/>
      </c>
      <c r="P226">
        <f>_xlfn.XLOOKUP(Orders[[#This Row],[Customer ID]],customers!$A$1:$A$1001,customers!$I$1:$I$1001,,0)</f>
        <v/>
      </c>
    </row>
    <row r="227">
      <c r="A227" s="2" t="inlineStr">
        <is>
          <t>O1394</t>
        </is>
      </c>
      <c r="B227" s="3" t="inlineStr">
        <is>
          <t>2020-01-16</t>
        </is>
      </c>
      <c r="C227" s="2" t="inlineStr">
        <is>
          <t>O5472</t>
        </is>
      </c>
      <c r="D227" t="inlineStr">
        <is>
          <t>O8722</t>
        </is>
      </c>
      <c r="E227" s="2" t="n">
        <v>282</v>
      </c>
      <c r="F227" s="2">
        <f>_xlfn.XLOOKUP(C227,customers!$A$1:$A$1001,customers!$B$1:$B$1001,,0)</f>
        <v/>
      </c>
      <c r="G227" s="2">
        <f>IF(_xlfn.XLOOKUP(C227,customers!$A$1:$A$1001,customers!$C$1:$C$1001,,0)=0,"",_xlfn.XLOOKUP(C227,customers!$A$1:$A$1001,customers!$C$1:$C$1001,,0))</f>
        <v/>
      </c>
      <c r="H227" s="2">
        <f>_xlfn.XLOOKUP(C227,customers!$A$1:$A$1001,customers!$G$1:$G$1001,,0)</f>
        <v/>
      </c>
      <c r="I227">
        <f>INDEX(products!$A$1:$G$49,MATCH(orders!$D227,products!$A$1:$A$49,0),MATCH(orders!I$1,products!$A$1:$G$1,0))</f>
        <v/>
      </c>
      <c r="J227">
        <f>INDEX(products!$A$1:$G$49,MATCH(orders!$D227,products!$A$1:$A$49,0),MATCH(orders!J$1,products!$A$1:$G$1,0))</f>
        <v/>
      </c>
      <c r="K227" s="4">
        <f>INDEX(products!$A$1:$G$49,MATCH(orders!$D227,products!$A$1:$A$49,0),MATCH(orders!K$1,products!$A$1:$G$1,0))</f>
        <v/>
      </c>
      <c r="L227" s="5">
        <f>INDEX(products!$A$1:$G$49,MATCH(orders!$D227,products!$A$1:$A$49,0),MATCH(orders!L$1,products!$A$1:$G$1,0))</f>
        <v/>
      </c>
      <c r="M227" s="5">
        <f>L227*E227</f>
        <v/>
      </c>
      <c r="N227">
        <f>IF(I227="Rob","Robusta",IF(I227="Exc","Excelsa",IF(I227="Ara","Arabica",IF(I227="Lib","Liberica",""))))</f>
        <v/>
      </c>
      <c r="O227">
        <f>IF(J227="M","Medium",IF(J227="L","Light",IF(J227="D","Dark","")))</f>
        <v/>
      </c>
      <c r="P227">
        <f>_xlfn.XLOOKUP(Orders[[#This Row],[Customer ID]],customers!$A$1:$A$1001,customers!$I$1:$I$1001,,0)</f>
        <v/>
      </c>
    </row>
    <row r="228">
      <c r="A228" s="2" t="inlineStr">
        <is>
          <t>O7297</t>
        </is>
      </c>
      <c r="B228" s="3" t="inlineStr">
        <is>
          <t>2023-10-20</t>
        </is>
      </c>
      <c r="C228" s="2" t="inlineStr">
        <is>
          <t>O2569</t>
        </is>
      </c>
      <c r="D228" t="inlineStr">
        <is>
          <t>O2502</t>
        </is>
      </c>
      <c r="E228" s="2" t="n">
        <v>42</v>
      </c>
      <c r="F228" s="2">
        <f>_xlfn.XLOOKUP(C228,customers!$A$1:$A$1001,customers!$B$1:$B$1001,,0)</f>
        <v/>
      </c>
      <c r="G228" s="2">
        <f>IF(_xlfn.XLOOKUP(C228,customers!$A$1:$A$1001,customers!$C$1:$C$1001,,0)=0,"",_xlfn.XLOOKUP(C228,customers!$A$1:$A$1001,customers!$C$1:$C$1001,,0))</f>
        <v/>
      </c>
      <c r="H228" s="2">
        <f>_xlfn.XLOOKUP(C228,customers!$A$1:$A$1001,customers!$G$1:$G$1001,,0)</f>
        <v/>
      </c>
      <c r="I228">
        <f>INDEX(products!$A$1:$G$49,MATCH(orders!$D228,products!$A$1:$A$49,0),MATCH(orders!I$1,products!$A$1:$G$1,0))</f>
        <v/>
      </c>
      <c r="J228">
        <f>INDEX(products!$A$1:$G$49,MATCH(orders!$D228,products!$A$1:$A$49,0),MATCH(orders!J$1,products!$A$1:$G$1,0))</f>
        <v/>
      </c>
      <c r="K228" s="4">
        <f>INDEX(products!$A$1:$G$49,MATCH(orders!$D228,products!$A$1:$A$49,0),MATCH(orders!K$1,products!$A$1:$G$1,0))</f>
        <v/>
      </c>
      <c r="L228" s="5">
        <f>INDEX(products!$A$1:$G$49,MATCH(orders!$D228,products!$A$1:$A$49,0),MATCH(orders!L$1,products!$A$1:$G$1,0))</f>
        <v/>
      </c>
      <c r="M228" s="5">
        <f>L228*E228</f>
        <v/>
      </c>
      <c r="N228">
        <f>IF(I228="Rob","Robusta",IF(I228="Exc","Excelsa",IF(I228="Ara","Arabica",IF(I228="Lib","Liberica",""))))</f>
        <v/>
      </c>
      <c r="O228">
        <f>IF(J228="M","Medium",IF(J228="L","Light",IF(J228="D","Dark","")))</f>
        <v/>
      </c>
      <c r="P228">
        <f>_xlfn.XLOOKUP(Orders[[#This Row],[Customer ID]],customers!$A$1:$A$1001,customers!$I$1:$I$1001,,0)</f>
        <v/>
      </c>
    </row>
    <row r="229">
      <c r="A229" s="2" t="inlineStr">
        <is>
          <t>O5357</t>
        </is>
      </c>
      <c r="B229" s="3" t="inlineStr">
        <is>
          <t>2021-08-06</t>
        </is>
      </c>
      <c r="C229" s="2" t="inlineStr">
        <is>
          <t>O5064</t>
        </is>
      </c>
      <c r="D229" t="inlineStr">
        <is>
          <t>O5905</t>
        </is>
      </c>
      <c r="E229" s="2" t="n">
        <v>211</v>
      </c>
      <c r="F229" s="2">
        <f>_xlfn.XLOOKUP(C229,customers!$A$1:$A$1001,customers!$B$1:$B$1001,,0)</f>
        <v/>
      </c>
      <c r="G229" s="2">
        <f>IF(_xlfn.XLOOKUP(C229,customers!$A$1:$A$1001,customers!$C$1:$C$1001,,0)=0,"",_xlfn.XLOOKUP(C229,customers!$A$1:$A$1001,customers!$C$1:$C$1001,,0))</f>
        <v/>
      </c>
      <c r="H229" s="2">
        <f>_xlfn.XLOOKUP(C229,customers!$A$1:$A$1001,customers!$G$1:$G$1001,,0)</f>
        <v/>
      </c>
      <c r="I229">
        <f>INDEX(products!$A$1:$G$49,MATCH(orders!$D229,products!$A$1:$A$49,0),MATCH(orders!I$1,products!$A$1:$G$1,0))</f>
        <v/>
      </c>
      <c r="J229">
        <f>INDEX(products!$A$1:$G$49,MATCH(orders!$D229,products!$A$1:$A$49,0),MATCH(orders!J$1,products!$A$1:$G$1,0))</f>
        <v/>
      </c>
      <c r="K229" s="4">
        <f>INDEX(products!$A$1:$G$49,MATCH(orders!$D229,products!$A$1:$A$49,0),MATCH(orders!K$1,products!$A$1:$G$1,0))</f>
        <v/>
      </c>
      <c r="L229" s="5">
        <f>INDEX(products!$A$1:$G$49,MATCH(orders!$D229,products!$A$1:$A$49,0),MATCH(orders!L$1,products!$A$1:$G$1,0))</f>
        <v/>
      </c>
      <c r="M229" s="5">
        <f>L229*E229</f>
        <v/>
      </c>
      <c r="N229">
        <f>IF(I229="Rob","Robusta",IF(I229="Exc","Excelsa",IF(I229="Ara","Arabica",IF(I229="Lib","Liberica",""))))</f>
        <v/>
      </c>
      <c r="O229">
        <f>IF(J229="M","Medium",IF(J229="L","Light",IF(J229="D","Dark","")))</f>
        <v/>
      </c>
      <c r="P229">
        <f>_xlfn.XLOOKUP(Orders[[#This Row],[Customer ID]],customers!$A$1:$A$1001,customers!$I$1:$I$1001,,0)</f>
        <v/>
      </c>
    </row>
    <row r="230">
      <c r="A230" s="2" t="inlineStr">
        <is>
          <t>O2809</t>
        </is>
      </c>
      <c r="B230" s="3" t="inlineStr">
        <is>
          <t>2021-02-23</t>
        </is>
      </c>
      <c r="C230" s="2" t="inlineStr">
        <is>
          <t>O8016</t>
        </is>
      </c>
      <c r="D230" t="inlineStr">
        <is>
          <t>O6115</t>
        </is>
      </c>
      <c r="E230" s="2" t="n">
        <v>315</v>
      </c>
      <c r="F230" s="2">
        <f>_xlfn.XLOOKUP(C230,customers!$A$1:$A$1001,customers!$B$1:$B$1001,,0)</f>
        <v/>
      </c>
      <c r="G230" s="2">
        <f>IF(_xlfn.XLOOKUP(C230,customers!$A$1:$A$1001,customers!$C$1:$C$1001,,0)=0,"",_xlfn.XLOOKUP(C230,customers!$A$1:$A$1001,customers!$C$1:$C$1001,,0))</f>
        <v/>
      </c>
      <c r="H230" s="2">
        <f>_xlfn.XLOOKUP(C230,customers!$A$1:$A$1001,customers!$G$1:$G$1001,,0)</f>
        <v/>
      </c>
      <c r="I230">
        <f>INDEX(products!$A$1:$G$49,MATCH(orders!$D230,products!$A$1:$A$49,0),MATCH(orders!I$1,products!$A$1:$G$1,0))</f>
        <v/>
      </c>
      <c r="J230">
        <f>INDEX(products!$A$1:$G$49,MATCH(orders!$D230,products!$A$1:$A$49,0),MATCH(orders!J$1,products!$A$1:$G$1,0))</f>
        <v/>
      </c>
      <c r="K230" s="4">
        <f>INDEX(products!$A$1:$G$49,MATCH(orders!$D230,products!$A$1:$A$49,0),MATCH(orders!K$1,products!$A$1:$G$1,0))</f>
        <v/>
      </c>
      <c r="L230" s="5">
        <f>INDEX(products!$A$1:$G$49,MATCH(orders!$D230,products!$A$1:$A$49,0),MATCH(orders!L$1,products!$A$1:$G$1,0))</f>
        <v/>
      </c>
      <c r="M230" s="5">
        <f>L230*E230</f>
        <v/>
      </c>
      <c r="N230">
        <f>IF(I230="Rob","Robusta",IF(I230="Exc","Excelsa",IF(I230="Ara","Arabica",IF(I230="Lib","Liberica",""))))</f>
        <v/>
      </c>
      <c r="O230">
        <f>IF(J230="M","Medium",IF(J230="L","Light",IF(J230="D","Dark","")))</f>
        <v/>
      </c>
      <c r="P230">
        <f>_xlfn.XLOOKUP(Orders[[#This Row],[Customer ID]],customers!$A$1:$A$1001,customers!$I$1:$I$1001,,0)</f>
        <v/>
      </c>
    </row>
    <row r="231">
      <c r="A231" s="2" t="inlineStr">
        <is>
          <t>O3558</t>
        </is>
      </c>
      <c r="B231" s="3" t="inlineStr">
        <is>
          <t>2023-02-15</t>
        </is>
      </c>
      <c r="C231" s="2" t="inlineStr">
        <is>
          <t>O2759</t>
        </is>
      </c>
      <c r="D231" t="inlineStr">
        <is>
          <t>O4998</t>
        </is>
      </c>
      <c r="E231" s="2" t="n">
        <v>269</v>
      </c>
      <c r="F231" s="2">
        <f>_xlfn.XLOOKUP(C231,customers!$A$1:$A$1001,customers!$B$1:$B$1001,,0)</f>
        <v/>
      </c>
      <c r="G231" s="2">
        <f>IF(_xlfn.XLOOKUP(C231,customers!$A$1:$A$1001,customers!$C$1:$C$1001,,0)=0,"",_xlfn.XLOOKUP(C231,customers!$A$1:$A$1001,customers!$C$1:$C$1001,,0))</f>
        <v/>
      </c>
      <c r="H231" s="2">
        <f>_xlfn.XLOOKUP(C231,customers!$A$1:$A$1001,customers!$G$1:$G$1001,,0)</f>
        <v/>
      </c>
      <c r="I231">
        <f>INDEX(products!$A$1:$G$49,MATCH(orders!$D231,products!$A$1:$A$49,0),MATCH(orders!I$1,products!$A$1:$G$1,0))</f>
        <v/>
      </c>
      <c r="J231">
        <f>INDEX(products!$A$1:$G$49,MATCH(orders!$D231,products!$A$1:$A$49,0),MATCH(orders!J$1,products!$A$1:$G$1,0))</f>
        <v/>
      </c>
      <c r="K231" s="4">
        <f>INDEX(products!$A$1:$G$49,MATCH(orders!$D231,products!$A$1:$A$49,0),MATCH(orders!K$1,products!$A$1:$G$1,0))</f>
        <v/>
      </c>
      <c r="L231" s="5">
        <f>INDEX(products!$A$1:$G$49,MATCH(orders!$D231,products!$A$1:$A$49,0),MATCH(orders!L$1,products!$A$1:$G$1,0))</f>
        <v/>
      </c>
      <c r="M231" s="5">
        <f>L231*E231</f>
        <v/>
      </c>
      <c r="N231">
        <f>IF(I231="Rob","Robusta",IF(I231="Exc","Excelsa",IF(I231="Ara","Arabica",IF(I231="Lib","Liberica",""))))</f>
        <v/>
      </c>
      <c r="O231">
        <f>IF(J231="M","Medium",IF(J231="L","Light",IF(J231="D","Dark","")))</f>
        <v/>
      </c>
      <c r="P231">
        <f>_xlfn.XLOOKUP(Orders[[#This Row],[Customer ID]],customers!$A$1:$A$1001,customers!$I$1:$I$1001,,0)</f>
        <v/>
      </c>
    </row>
    <row r="232">
      <c r="A232" s="2" t="inlineStr">
        <is>
          <t>O1924</t>
        </is>
      </c>
      <c r="B232" s="3" t="inlineStr">
        <is>
          <t>2023-01-21</t>
        </is>
      </c>
      <c r="C232" s="2" t="inlineStr">
        <is>
          <t>O6720</t>
        </is>
      </c>
      <c r="D232" t="inlineStr">
        <is>
          <t>O3251</t>
        </is>
      </c>
      <c r="E232" s="2" t="n">
        <v>36</v>
      </c>
      <c r="F232" s="2">
        <f>_xlfn.XLOOKUP(C232,customers!$A$1:$A$1001,customers!$B$1:$B$1001,,0)</f>
        <v/>
      </c>
      <c r="G232" s="2">
        <f>IF(_xlfn.XLOOKUP(C232,customers!$A$1:$A$1001,customers!$C$1:$C$1001,,0)=0,"",_xlfn.XLOOKUP(C232,customers!$A$1:$A$1001,customers!$C$1:$C$1001,,0))</f>
        <v/>
      </c>
      <c r="H232" s="2">
        <f>_xlfn.XLOOKUP(C232,customers!$A$1:$A$1001,customers!$G$1:$G$1001,,0)</f>
        <v/>
      </c>
      <c r="I232">
        <f>INDEX(products!$A$1:$G$49,MATCH(orders!$D232,products!$A$1:$A$49,0),MATCH(orders!I$1,products!$A$1:$G$1,0))</f>
        <v/>
      </c>
      <c r="J232">
        <f>INDEX(products!$A$1:$G$49,MATCH(orders!$D232,products!$A$1:$A$49,0),MATCH(orders!J$1,products!$A$1:$G$1,0))</f>
        <v/>
      </c>
      <c r="K232" s="4">
        <f>INDEX(products!$A$1:$G$49,MATCH(orders!$D232,products!$A$1:$A$49,0),MATCH(orders!K$1,products!$A$1:$G$1,0))</f>
        <v/>
      </c>
      <c r="L232" s="5">
        <f>INDEX(products!$A$1:$G$49,MATCH(orders!$D232,products!$A$1:$A$49,0),MATCH(orders!L$1,products!$A$1:$G$1,0))</f>
        <v/>
      </c>
      <c r="M232" s="5">
        <f>L232*E232</f>
        <v/>
      </c>
      <c r="N232">
        <f>IF(I232="Rob","Robusta",IF(I232="Exc","Excelsa",IF(I232="Ara","Arabica",IF(I232="Lib","Liberica",""))))</f>
        <v/>
      </c>
      <c r="O232">
        <f>IF(J232="M","Medium",IF(J232="L","Light",IF(J232="D","Dark","")))</f>
        <v/>
      </c>
      <c r="P232">
        <f>_xlfn.XLOOKUP(Orders[[#This Row],[Customer ID]],customers!$A$1:$A$1001,customers!$I$1:$I$1001,,0)</f>
        <v/>
      </c>
    </row>
    <row r="233">
      <c r="A233" s="2" t="inlineStr">
        <is>
          <t>O4954</t>
        </is>
      </c>
      <c r="B233" s="3" t="inlineStr">
        <is>
          <t>2025-05-28</t>
        </is>
      </c>
      <c r="C233" s="2" t="inlineStr">
        <is>
          <t>O3926</t>
        </is>
      </c>
      <c r="D233" t="inlineStr">
        <is>
          <t>O6116</t>
        </is>
      </c>
      <c r="E233" s="2" t="n">
        <v>353</v>
      </c>
      <c r="F233" s="2">
        <f>_xlfn.XLOOKUP(C233,customers!$A$1:$A$1001,customers!$B$1:$B$1001,,0)</f>
        <v/>
      </c>
      <c r="G233" s="2">
        <f>IF(_xlfn.XLOOKUP(C233,customers!$A$1:$A$1001,customers!$C$1:$C$1001,,0)=0,"",_xlfn.XLOOKUP(C233,customers!$A$1:$A$1001,customers!$C$1:$C$1001,,0))</f>
        <v/>
      </c>
      <c r="H233" s="2">
        <f>_xlfn.XLOOKUP(C233,customers!$A$1:$A$1001,customers!$G$1:$G$1001,,0)</f>
        <v/>
      </c>
      <c r="I233">
        <f>INDEX(products!$A$1:$G$49,MATCH(orders!$D233,products!$A$1:$A$49,0),MATCH(orders!I$1,products!$A$1:$G$1,0))</f>
        <v/>
      </c>
      <c r="J233">
        <f>INDEX(products!$A$1:$G$49,MATCH(orders!$D233,products!$A$1:$A$49,0),MATCH(orders!J$1,products!$A$1:$G$1,0))</f>
        <v/>
      </c>
      <c r="K233" s="4">
        <f>INDEX(products!$A$1:$G$49,MATCH(orders!$D233,products!$A$1:$A$49,0),MATCH(orders!K$1,products!$A$1:$G$1,0))</f>
        <v/>
      </c>
      <c r="L233" s="5">
        <f>INDEX(products!$A$1:$G$49,MATCH(orders!$D233,products!$A$1:$A$49,0),MATCH(orders!L$1,products!$A$1:$G$1,0))</f>
        <v/>
      </c>
      <c r="M233" s="5">
        <f>L233*E233</f>
        <v/>
      </c>
      <c r="N233">
        <f>IF(I233="Rob","Robusta",IF(I233="Exc","Excelsa",IF(I233="Ara","Arabica",IF(I233="Lib","Liberica",""))))</f>
        <v/>
      </c>
      <c r="O233">
        <f>IF(J233="M","Medium",IF(J233="L","Light",IF(J233="D","Dark","")))</f>
        <v/>
      </c>
      <c r="P233">
        <f>_xlfn.XLOOKUP(Orders[[#This Row],[Customer ID]],customers!$A$1:$A$1001,customers!$I$1:$I$1001,,0)</f>
        <v/>
      </c>
    </row>
    <row r="234">
      <c r="A234" s="2" t="inlineStr">
        <is>
          <t>O6696</t>
        </is>
      </c>
      <c r="B234" s="3" t="inlineStr">
        <is>
          <t>2022-03-09</t>
        </is>
      </c>
      <c r="C234" s="2" t="inlineStr">
        <is>
          <t>O2921</t>
        </is>
      </c>
      <c r="D234" t="inlineStr">
        <is>
          <t>O4850</t>
        </is>
      </c>
      <c r="E234" s="2" t="n">
        <v>169</v>
      </c>
      <c r="F234" s="2">
        <f>_xlfn.XLOOKUP(C234,customers!$A$1:$A$1001,customers!$B$1:$B$1001,,0)</f>
        <v/>
      </c>
      <c r="G234" s="2">
        <f>IF(_xlfn.XLOOKUP(C234,customers!$A$1:$A$1001,customers!$C$1:$C$1001,,0)=0,"",_xlfn.XLOOKUP(C234,customers!$A$1:$A$1001,customers!$C$1:$C$1001,,0))</f>
        <v/>
      </c>
      <c r="H234" s="2">
        <f>_xlfn.XLOOKUP(C234,customers!$A$1:$A$1001,customers!$G$1:$G$1001,,0)</f>
        <v/>
      </c>
      <c r="I234">
        <f>INDEX(products!$A$1:$G$49,MATCH(orders!$D234,products!$A$1:$A$49,0),MATCH(orders!I$1,products!$A$1:$G$1,0))</f>
        <v/>
      </c>
      <c r="J234">
        <f>INDEX(products!$A$1:$G$49,MATCH(orders!$D234,products!$A$1:$A$49,0),MATCH(orders!J$1,products!$A$1:$G$1,0))</f>
        <v/>
      </c>
      <c r="K234" s="4">
        <f>INDEX(products!$A$1:$G$49,MATCH(orders!$D234,products!$A$1:$A$49,0),MATCH(orders!K$1,products!$A$1:$G$1,0))</f>
        <v/>
      </c>
      <c r="L234" s="5">
        <f>INDEX(products!$A$1:$G$49,MATCH(orders!$D234,products!$A$1:$A$49,0),MATCH(orders!L$1,products!$A$1:$G$1,0))</f>
        <v/>
      </c>
      <c r="M234" s="5">
        <f>L234*E234</f>
        <v/>
      </c>
      <c r="N234">
        <f>IF(I234="Rob","Robusta",IF(I234="Exc","Excelsa",IF(I234="Ara","Arabica",IF(I234="Lib","Liberica",""))))</f>
        <v/>
      </c>
      <c r="O234">
        <f>IF(J234="M","Medium",IF(J234="L","Light",IF(J234="D","Dark","")))</f>
        <v/>
      </c>
      <c r="P234">
        <f>_xlfn.XLOOKUP(Orders[[#This Row],[Customer ID]],customers!$A$1:$A$1001,customers!$I$1:$I$1001,,0)</f>
        <v/>
      </c>
    </row>
    <row r="235">
      <c r="A235" s="2" t="inlineStr">
        <is>
          <t>O6632</t>
        </is>
      </c>
      <c r="B235" s="3" t="inlineStr">
        <is>
          <t>2021-03-01</t>
        </is>
      </c>
      <c r="C235" s="2" t="inlineStr">
        <is>
          <t>O4517</t>
        </is>
      </c>
      <c r="D235" t="inlineStr">
        <is>
          <t>O3648</t>
        </is>
      </c>
      <c r="E235" s="2" t="n">
        <v>122</v>
      </c>
      <c r="F235" s="2">
        <f>_xlfn.XLOOKUP(C235,customers!$A$1:$A$1001,customers!$B$1:$B$1001,,0)</f>
        <v/>
      </c>
      <c r="G235" s="2">
        <f>IF(_xlfn.XLOOKUP(C235,customers!$A$1:$A$1001,customers!$C$1:$C$1001,,0)=0,"",_xlfn.XLOOKUP(C235,customers!$A$1:$A$1001,customers!$C$1:$C$1001,,0))</f>
        <v/>
      </c>
      <c r="H235" s="2">
        <f>_xlfn.XLOOKUP(C235,customers!$A$1:$A$1001,customers!$G$1:$G$1001,,0)</f>
        <v/>
      </c>
      <c r="I235">
        <f>INDEX(products!$A$1:$G$49,MATCH(orders!$D235,products!$A$1:$A$49,0),MATCH(orders!I$1,products!$A$1:$G$1,0))</f>
        <v/>
      </c>
      <c r="J235">
        <f>INDEX(products!$A$1:$G$49,MATCH(orders!$D235,products!$A$1:$A$49,0),MATCH(orders!J$1,products!$A$1:$G$1,0))</f>
        <v/>
      </c>
      <c r="K235" s="4">
        <f>INDEX(products!$A$1:$G$49,MATCH(orders!$D235,products!$A$1:$A$49,0),MATCH(orders!K$1,products!$A$1:$G$1,0))</f>
        <v/>
      </c>
      <c r="L235" s="5">
        <f>INDEX(products!$A$1:$G$49,MATCH(orders!$D235,products!$A$1:$A$49,0),MATCH(orders!L$1,products!$A$1:$G$1,0))</f>
        <v/>
      </c>
      <c r="M235" s="5">
        <f>L235*E235</f>
        <v/>
      </c>
      <c r="N235">
        <f>IF(I235="Rob","Robusta",IF(I235="Exc","Excelsa",IF(I235="Ara","Arabica",IF(I235="Lib","Liberica",""))))</f>
        <v/>
      </c>
      <c r="O235">
        <f>IF(J235="M","Medium",IF(J235="L","Light",IF(J235="D","Dark","")))</f>
        <v/>
      </c>
      <c r="P235">
        <f>_xlfn.XLOOKUP(Orders[[#This Row],[Customer ID]],customers!$A$1:$A$1001,customers!$I$1:$I$1001,,0)</f>
        <v/>
      </c>
    </row>
    <row r="236">
      <c r="A236" s="2" t="inlineStr">
        <is>
          <t>O6111</t>
        </is>
      </c>
      <c r="B236" s="3" t="inlineStr">
        <is>
          <t>2023-05-20</t>
        </is>
      </c>
      <c r="C236" s="2" t="inlineStr">
        <is>
          <t>O7076</t>
        </is>
      </c>
      <c r="D236" t="inlineStr">
        <is>
          <t>O8192</t>
        </is>
      </c>
      <c r="E236" s="2" t="n">
        <v>426</v>
      </c>
      <c r="F236" s="2">
        <f>_xlfn.XLOOKUP(C236,customers!$A$1:$A$1001,customers!$B$1:$B$1001,,0)</f>
        <v/>
      </c>
      <c r="G236" s="2">
        <f>IF(_xlfn.XLOOKUP(C236,customers!$A$1:$A$1001,customers!$C$1:$C$1001,,0)=0,"",_xlfn.XLOOKUP(C236,customers!$A$1:$A$1001,customers!$C$1:$C$1001,,0))</f>
        <v/>
      </c>
      <c r="H236" s="2">
        <f>_xlfn.XLOOKUP(C236,customers!$A$1:$A$1001,customers!$G$1:$G$1001,,0)</f>
        <v/>
      </c>
      <c r="I236">
        <f>INDEX(products!$A$1:$G$49,MATCH(orders!$D236,products!$A$1:$A$49,0),MATCH(orders!I$1,products!$A$1:$G$1,0))</f>
        <v/>
      </c>
      <c r="J236">
        <f>INDEX(products!$A$1:$G$49,MATCH(orders!$D236,products!$A$1:$A$49,0),MATCH(orders!J$1,products!$A$1:$G$1,0))</f>
        <v/>
      </c>
      <c r="K236" s="4">
        <f>INDEX(products!$A$1:$G$49,MATCH(orders!$D236,products!$A$1:$A$49,0),MATCH(orders!K$1,products!$A$1:$G$1,0))</f>
        <v/>
      </c>
      <c r="L236" s="5">
        <f>INDEX(products!$A$1:$G$49,MATCH(orders!$D236,products!$A$1:$A$49,0),MATCH(orders!L$1,products!$A$1:$G$1,0))</f>
        <v/>
      </c>
      <c r="M236" s="5">
        <f>L236*E236</f>
        <v/>
      </c>
      <c r="N236">
        <f>IF(I236="Rob","Robusta",IF(I236="Exc","Excelsa",IF(I236="Ara","Arabica",IF(I236="Lib","Liberica",""))))</f>
        <v/>
      </c>
      <c r="O236">
        <f>IF(J236="M","Medium",IF(J236="L","Light",IF(J236="D","Dark","")))</f>
        <v/>
      </c>
      <c r="P236">
        <f>_xlfn.XLOOKUP(Orders[[#This Row],[Customer ID]],customers!$A$1:$A$1001,customers!$I$1:$I$1001,,0)</f>
        <v/>
      </c>
    </row>
    <row r="237">
      <c r="A237" s="2" t="inlineStr">
        <is>
          <t>O7845</t>
        </is>
      </c>
      <c r="B237" s="3" t="inlineStr">
        <is>
          <t>2021-10-30</t>
        </is>
      </c>
      <c r="C237" s="2" t="inlineStr">
        <is>
          <t>O7123</t>
        </is>
      </c>
      <c r="D237" t="inlineStr">
        <is>
          <t>O3031</t>
        </is>
      </c>
      <c r="E237" s="2" t="n">
        <v>340</v>
      </c>
      <c r="F237" s="2">
        <f>_xlfn.XLOOKUP(C237,customers!$A$1:$A$1001,customers!$B$1:$B$1001,,0)</f>
        <v/>
      </c>
      <c r="G237" s="2">
        <f>IF(_xlfn.XLOOKUP(C237,customers!$A$1:$A$1001,customers!$C$1:$C$1001,,0)=0,"",_xlfn.XLOOKUP(C237,customers!$A$1:$A$1001,customers!$C$1:$C$1001,,0))</f>
        <v/>
      </c>
      <c r="H237" s="2">
        <f>_xlfn.XLOOKUP(C237,customers!$A$1:$A$1001,customers!$G$1:$G$1001,,0)</f>
        <v/>
      </c>
      <c r="I237">
        <f>INDEX(products!$A$1:$G$49,MATCH(orders!$D237,products!$A$1:$A$49,0),MATCH(orders!I$1,products!$A$1:$G$1,0))</f>
        <v/>
      </c>
      <c r="J237">
        <f>INDEX(products!$A$1:$G$49,MATCH(orders!$D237,products!$A$1:$A$49,0),MATCH(orders!J$1,products!$A$1:$G$1,0))</f>
        <v/>
      </c>
      <c r="K237" s="4">
        <f>INDEX(products!$A$1:$G$49,MATCH(orders!$D237,products!$A$1:$A$49,0),MATCH(orders!K$1,products!$A$1:$G$1,0))</f>
        <v/>
      </c>
      <c r="L237" s="5">
        <f>INDEX(products!$A$1:$G$49,MATCH(orders!$D237,products!$A$1:$A$49,0),MATCH(orders!L$1,products!$A$1:$G$1,0))</f>
        <v/>
      </c>
      <c r="M237" s="5">
        <f>L237*E237</f>
        <v/>
      </c>
      <c r="N237">
        <f>IF(I237="Rob","Robusta",IF(I237="Exc","Excelsa",IF(I237="Ara","Arabica",IF(I237="Lib","Liberica",""))))</f>
        <v/>
      </c>
      <c r="O237">
        <f>IF(J237="M","Medium",IF(J237="L","Light",IF(J237="D","Dark","")))</f>
        <v/>
      </c>
      <c r="P237">
        <f>_xlfn.XLOOKUP(Orders[[#This Row],[Customer ID]],customers!$A$1:$A$1001,customers!$I$1:$I$1001,,0)</f>
        <v/>
      </c>
    </row>
    <row r="238">
      <c r="A238" s="2" t="inlineStr">
        <is>
          <t>O8361</t>
        </is>
      </c>
      <c r="B238" s="3" t="inlineStr">
        <is>
          <t>2025-04-06</t>
        </is>
      </c>
      <c r="C238" s="2" t="inlineStr">
        <is>
          <t>O1310</t>
        </is>
      </c>
      <c r="D238" t="inlineStr">
        <is>
          <t>O5457</t>
        </is>
      </c>
      <c r="E238" s="2" t="n">
        <v>33</v>
      </c>
      <c r="F238" s="2">
        <f>_xlfn.XLOOKUP(C238,customers!$A$1:$A$1001,customers!$B$1:$B$1001,,0)</f>
        <v/>
      </c>
      <c r="G238" s="2">
        <f>IF(_xlfn.XLOOKUP(C238,customers!$A$1:$A$1001,customers!$C$1:$C$1001,,0)=0,"",_xlfn.XLOOKUP(C238,customers!$A$1:$A$1001,customers!$C$1:$C$1001,,0))</f>
        <v/>
      </c>
      <c r="H238" s="2">
        <f>_xlfn.XLOOKUP(C238,customers!$A$1:$A$1001,customers!$G$1:$G$1001,,0)</f>
        <v/>
      </c>
      <c r="I238">
        <f>INDEX(products!$A$1:$G$49,MATCH(orders!$D238,products!$A$1:$A$49,0),MATCH(orders!I$1,products!$A$1:$G$1,0))</f>
        <v/>
      </c>
      <c r="J238">
        <f>INDEX(products!$A$1:$G$49,MATCH(orders!$D238,products!$A$1:$A$49,0),MATCH(orders!J$1,products!$A$1:$G$1,0))</f>
        <v/>
      </c>
      <c r="K238" s="4">
        <f>INDEX(products!$A$1:$G$49,MATCH(orders!$D238,products!$A$1:$A$49,0),MATCH(orders!K$1,products!$A$1:$G$1,0))</f>
        <v/>
      </c>
      <c r="L238" s="5">
        <f>INDEX(products!$A$1:$G$49,MATCH(orders!$D238,products!$A$1:$A$49,0),MATCH(orders!L$1,products!$A$1:$G$1,0))</f>
        <v/>
      </c>
      <c r="M238" s="5">
        <f>L238*E238</f>
        <v/>
      </c>
      <c r="N238">
        <f>IF(I238="Rob","Robusta",IF(I238="Exc","Excelsa",IF(I238="Ara","Arabica",IF(I238="Lib","Liberica",""))))</f>
        <v/>
      </c>
      <c r="O238">
        <f>IF(J238="M","Medium",IF(J238="L","Light",IF(J238="D","Dark","")))</f>
        <v/>
      </c>
      <c r="P238">
        <f>_xlfn.XLOOKUP(Orders[[#This Row],[Customer ID]],customers!$A$1:$A$1001,customers!$I$1:$I$1001,,0)</f>
        <v/>
      </c>
    </row>
    <row r="239">
      <c r="A239" s="2" t="inlineStr">
        <is>
          <t>O8216</t>
        </is>
      </c>
      <c r="B239" s="3" t="inlineStr">
        <is>
          <t>2020-05-31</t>
        </is>
      </c>
      <c r="C239" s="2" t="inlineStr">
        <is>
          <t>O5139</t>
        </is>
      </c>
      <c r="D239" t="inlineStr">
        <is>
          <t>O4079</t>
        </is>
      </c>
      <c r="E239" s="2" t="n">
        <v>381</v>
      </c>
      <c r="F239" s="2">
        <f>_xlfn.XLOOKUP(C239,customers!$A$1:$A$1001,customers!$B$1:$B$1001,,0)</f>
        <v/>
      </c>
      <c r="G239" s="2">
        <f>IF(_xlfn.XLOOKUP(C239,customers!$A$1:$A$1001,customers!$C$1:$C$1001,,0)=0,"",_xlfn.XLOOKUP(C239,customers!$A$1:$A$1001,customers!$C$1:$C$1001,,0))</f>
        <v/>
      </c>
      <c r="H239" s="2">
        <f>_xlfn.XLOOKUP(C239,customers!$A$1:$A$1001,customers!$G$1:$G$1001,,0)</f>
        <v/>
      </c>
      <c r="I239">
        <f>INDEX(products!$A$1:$G$49,MATCH(orders!$D239,products!$A$1:$A$49,0),MATCH(orders!I$1,products!$A$1:$G$1,0))</f>
        <v/>
      </c>
      <c r="J239">
        <f>INDEX(products!$A$1:$G$49,MATCH(orders!$D239,products!$A$1:$A$49,0),MATCH(orders!J$1,products!$A$1:$G$1,0))</f>
        <v/>
      </c>
      <c r="K239" s="4">
        <f>INDEX(products!$A$1:$G$49,MATCH(orders!$D239,products!$A$1:$A$49,0),MATCH(orders!K$1,products!$A$1:$G$1,0))</f>
        <v/>
      </c>
      <c r="L239" s="5">
        <f>INDEX(products!$A$1:$G$49,MATCH(orders!$D239,products!$A$1:$A$49,0),MATCH(orders!L$1,products!$A$1:$G$1,0))</f>
        <v/>
      </c>
      <c r="M239" s="5">
        <f>L239*E239</f>
        <v/>
      </c>
      <c r="N239">
        <f>IF(I239="Rob","Robusta",IF(I239="Exc","Excelsa",IF(I239="Ara","Arabica",IF(I239="Lib","Liberica",""))))</f>
        <v/>
      </c>
      <c r="O239">
        <f>IF(J239="M","Medium",IF(J239="L","Light",IF(J239="D","Dark","")))</f>
        <v/>
      </c>
      <c r="P239">
        <f>_xlfn.XLOOKUP(Orders[[#This Row],[Customer ID]],customers!$A$1:$A$1001,customers!$I$1:$I$1001,,0)</f>
        <v/>
      </c>
    </row>
    <row r="240">
      <c r="A240" s="2" t="inlineStr">
        <is>
          <t>O2346</t>
        </is>
      </c>
      <c r="B240" s="3" t="inlineStr">
        <is>
          <t>2022-10-18</t>
        </is>
      </c>
      <c r="C240" s="2" t="inlineStr">
        <is>
          <t>O3210</t>
        </is>
      </c>
      <c r="D240" t="inlineStr">
        <is>
          <t>O3232</t>
        </is>
      </c>
      <c r="E240" s="2" t="n">
        <v>197</v>
      </c>
      <c r="F240" s="2">
        <f>_xlfn.XLOOKUP(C240,customers!$A$1:$A$1001,customers!$B$1:$B$1001,,0)</f>
        <v/>
      </c>
      <c r="G240" s="2">
        <f>IF(_xlfn.XLOOKUP(C240,customers!$A$1:$A$1001,customers!$C$1:$C$1001,,0)=0,"",_xlfn.XLOOKUP(C240,customers!$A$1:$A$1001,customers!$C$1:$C$1001,,0))</f>
        <v/>
      </c>
      <c r="H240" s="2">
        <f>_xlfn.XLOOKUP(C240,customers!$A$1:$A$1001,customers!$G$1:$G$1001,,0)</f>
        <v/>
      </c>
      <c r="I240">
        <f>INDEX(products!$A$1:$G$49,MATCH(orders!$D240,products!$A$1:$A$49,0),MATCH(orders!I$1,products!$A$1:$G$1,0))</f>
        <v/>
      </c>
      <c r="J240">
        <f>INDEX(products!$A$1:$G$49,MATCH(orders!$D240,products!$A$1:$A$49,0),MATCH(orders!J$1,products!$A$1:$G$1,0))</f>
        <v/>
      </c>
      <c r="K240" s="4">
        <f>INDEX(products!$A$1:$G$49,MATCH(orders!$D240,products!$A$1:$A$49,0),MATCH(orders!K$1,products!$A$1:$G$1,0))</f>
        <v/>
      </c>
      <c r="L240" s="5">
        <f>INDEX(products!$A$1:$G$49,MATCH(orders!$D240,products!$A$1:$A$49,0),MATCH(orders!L$1,products!$A$1:$G$1,0))</f>
        <v/>
      </c>
      <c r="M240" s="5">
        <f>L240*E240</f>
        <v/>
      </c>
      <c r="N240">
        <f>IF(I240="Rob","Robusta",IF(I240="Exc","Excelsa",IF(I240="Ara","Arabica",IF(I240="Lib","Liberica",""))))</f>
        <v/>
      </c>
      <c r="O240">
        <f>IF(J240="M","Medium",IF(J240="L","Light",IF(J240="D","Dark","")))</f>
        <v/>
      </c>
      <c r="P240">
        <f>_xlfn.XLOOKUP(Orders[[#This Row],[Customer ID]],customers!$A$1:$A$1001,customers!$I$1:$I$1001,,0)</f>
        <v/>
      </c>
    </row>
    <row r="241">
      <c r="A241" s="2" t="inlineStr">
        <is>
          <t>O9511</t>
        </is>
      </c>
      <c r="B241" s="3" t="inlineStr">
        <is>
          <t>2022-03-21</t>
        </is>
      </c>
      <c r="C241" s="2" t="inlineStr">
        <is>
          <t>O6858</t>
        </is>
      </c>
      <c r="D241" t="inlineStr">
        <is>
          <t>O6936</t>
        </is>
      </c>
      <c r="E241" s="2" t="n">
        <v>391</v>
      </c>
      <c r="F241" s="2">
        <f>_xlfn.XLOOKUP(C241,customers!$A$1:$A$1001,customers!$B$1:$B$1001,,0)</f>
        <v/>
      </c>
      <c r="G241" s="2">
        <f>IF(_xlfn.XLOOKUP(C241,customers!$A$1:$A$1001,customers!$C$1:$C$1001,,0)=0,"",_xlfn.XLOOKUP(C241,customers!$A$1:$A$1001,customers!$C$1:$C$1001,,0))</f>
        <v/>
      </c>
      <c r="H241" s="2">
        <f>_xlfn.XLOOKUP(C241,customers!$A$1:$A$1001,customers!$G$1:$G$1001,,0)</f>
        <v/>
      </c>
      <c r="I241">
        <f>INDEX(products!$A$1:$G$49,MATCH(orders!$D241,products!$A$1:$A$49,0),MATCH(orders!I$1,products!$A$1:$G$1,0))</f>
        <v/>
      </c>
      <c r="J241">
        <f>INDEX(products!$A$1:$G$49,MATCH(orders!$D241,products!$A$1:$A$49,0),MATCH(orders!J$1,products!$A$1:$G$1,0))</f>
        <v/>
      </c>
      <c r="K241" s="4">
        <f>INDEX(products!$A$1:$G$49,MATCH(orders!$D241,products!$A$1:$A$49,0),MATCH(orders!K$1,products!$A$1:$G$1,0))</f>
        <v/>
      </c>
      <c r="L241" s="5">
        <f>INDEX(products!$A$1:$G$49,MATCH(orders!$D241,products!$A$1:$A$49,0),MATCH(orders!L$1,products!$A$1:$G$1,0))</f>
        <v/>
      </c>
      <c r="M241" s="5">
        <f>L241*E241</f>
        <v/>
      </c>
      <c r="N241">
        <f>IF(I241="Rob","Robusta",IF(I241="Exc","Excelsa",IF(I241="Ara","Arabica",IF(I241="Lib","Liberica",""))))</f>
        <v/>
      </c>
      <c r="O241">
        <f>IF(J241="M","Medium",IF(J241="L","Light",IF(J241="D","Dark","")))</f>
        <v/>
      </c>
      <c r="P241">
        <f>_xlfn.XLOOKUP(Orders[[#This Row],[Customer ID]],customers!$A$1:$A$1001,customers!$I$1:$I$1001,,0)</f>
        <v/>
      </c>
    </row>
    <row r="242">
      <c r="A242" s="2" t="inlineStr">
        <is>
          <t>O1274</t>
        </is>
      </c>
      <c r="B242" s="3" t="inlineStr">
        <is>
          <t>2020-02-09</t>
        </is>
      </c>
      <c r="C242" s="2" t="inlineStr">
        <is>
          <t>O4283</t>
        </is>
      </c>
      <c r="D242" t="inlineStr">
        <is>
          <t>O2016</t>
        </is>
      </c>
      <c r="E242" s="2" t="n">
        <v>98</v>
      </c>
      <c r="F242" s="2">
        <f>_xlfn.XLOOKUP(C242,customers!$A$1:$A$1001,customers!$B$1:$B$1001,,0)</f>
        <v/>
      </c>
      <c r="G242" s="2">
        <f>IF(_xlfn.XLOOKUP(C242,customers!$A$1:$A$1001,customers!$C$1:$C$1001,,0)=0,"",_xlfn.XLOOKUP(C242,customers!$A$1:$A$1001,customers!$C$1:$C$1001,,0))</f>
        <v/>
      </c>
      <c r="H242" s="2">
        <f>_xlfn.XLOOKUP(C242,customers!$A$1:$A$1001,customers!$G$1:$G$1001,,0)</f>
        <v/>
      </c>
      <c r="I242">
        <f>INDEX(products!$A$1:$G$49,MATCH(orders!$D242,products!$A$1:$A$49,0),MATCH(orders!I$1,products!$A$1:$G$1,0))</f>
        <v/>
      </c>
      <c r="J242">
        <f>INDEX(products!$A$1:$G$49,MATCH(orders!$D242,products!$A$1:$A$49,0),MATCH(orders!J$1,products!$A$1:$G$1,0))</f>
        <v/>
      </c>
      <c r="K242" s="4">
        <f>INDEX(products!$A$1:$G$49,MATCH(orders!$D242,products!$A$1:$A$49,0),MATCH(orders!K$1,products!$A$1:$G$1,0))</f>
        <v/>
      </c>
      <c r="L242" s="5">
        <f>INDEX(products!$A$1:$G$49,MATCH(orders!$D242,products!$A$1:$A$49,0),MATCH(orders!L$1,products!$A$1:$G$1,0))</f>
        <v/>
      </c>
      <c r="M242" s="5">
        <f>L242*E242</f>
        <v/>
      </c>
      <c r="N242">
        <f>IF(I242="Rob","Robusta",IF(I242="Exc","Excelsa",IF(I242="Ara","Arabica",IF(I242="Lib","Liberica",""))))</f>
        <v/>
      </c>
      <c r="O242">
        <f>IF(J242="M","Medium",IF(J242="L","Light",IF(J242="D","Dark","")))</f>
        <v/>
      </c>
      <c r="P242">
        <f>_xlfn.XLOOKUP(Orders[[#This Row],[Customer ID]],customers!$A$1:$A$1001,customers!$I$1:$I$1001,,0)</f>
        <v/>
      </c>
    </row>
    <row r="243">
      <c r="A243" s="2" t="inlineStr">
        <is>
          <t>O7590</t>
        </is>
      </c>
      <c r="B243" s="3" t="inlineStr">
        <is>
          <t>2021-11-02</t>
        </is>
      </c>
      <c r="C243" s="2" t="inlineStr">
        <is>
          <t>O3787</t>
        </is>
      </c>
      <c r="D243" t="inlineStr">
        <is>
          <t>O7336</t>
        </is>
      </c>
      <c r="E243" s="2" t="n">
        <v>179</v>
      </c>
      <c r="F243" s="2">
        <f>_xlfn.XLOOKUP(C243,customers!$A$1:$A$1001,customers!$B$1:$B$1001,,0)</f>
        <v/>
      </c>
      <c r="G243" s="2">
        <f>IF(_xlfn.XLOOKUP(C243,customers!$A$1:$A$1001,customers!$C$1:$C$1001,,0)=0,"",_xlfn.XLOOKUP(C243,customers!$A$1:$A$1001,customers!$C$1:$C$1001,,0))</f>
        <v/>
      </c>
      <c r="H243" s="2">
        <f>_xlfn.XLOOKUP(C243,customers!$A$1:$A$1001,customers!$G$1:$G$1001,,0)</f>
        <v/>
      </c>
      <c r="I243">
        <f>INDEX(products!$A$1:$G$49,MATCH(orders!$D243,products!$A$1:$A$49,0),MATCH(orders!I$1,products!$A$1:$G$1,0))</f>
        <v/>
      </c>
      <c r="J243">
        <f>INDEX(products!$A$1:$G$49,MATCH(orders!$D243,products!$A$1:$A$49,0),MATCH(orders!J$1,products!$A$1:$G$1,0))</f>
        <v/>
      </c>
      <c r="K243" s="4">
        <f>INDEX(products!$A$1:$G$49,MATCH(orders!$D243,products!$A$1:$A$49,0),MATCH(orders!K$1,products!$A$1:$G$1,0))</f>
        <v/>
      </c>
      <c r="L243" s="5">
        <f>INDEX(products!$A$1:$G$49,MATCH(orders!$D243,products!$A$1:$A$49,0),MATCH(orders!L$1,products!$A$1:$G$1,0))</f>
        <v/>
      </c>
      <c r="M243" s="5">
        <f>L243*E243</f>
        <v/>
      </c>
      <c r="N243">
        <f>IF(I243="Rob","Robusta",IF(I243="Exc","Excelsa",IF(I243="Ara","Arabica",IF(I243="Lib","Liberica",""))))</f>
        <v/>
      </c>
      <c r="O243">
        <f>IF(J243="M","Medium",IF(J243="L","Light",IF(J243="D","Dark","")))</f>
        <v/>
      </c>
      <c r="P243">
        <f>_xlfn.XLOOKUP(Orders[[#This Row],[Customer ID]],customers!$A$1:$A$1001,customers!$I$1:$I$1001,,0)</f>
        <v/>
      </c>
    </row>
    <row r="244">
      <c r="A244" s="2" t="inlineStr">
        <is>
          <t>O1477</t>
        </is>
      </c>
      <c r="B244" s="3" t="inlineStr">
        <is>
          <t>2020-10-08</t>
        </is>
      </c>
      <c r="C244" s="2" t="inlineStr">
        <is>
          <t>O4285</t>
        </is>
      </c>
      <c r="D244" t="inlineStr">
        <is>
          <t>O5216</t>
        </is>
      </c>
      <c r="E244" s="2" t="n">
        <v>96</v>
      </c>
      <c r="F244" s="2">
        <f>_xlfn.XLOOKUP(C244,customers!$A$1:$A$1001,customers!$B$1:$B$1001,,0)</f>
        <v/>
      </c>
      <c r="G244" s="2">
        <f>IF(_xlfn.XLOOKUP(C244,customers!$A$1:$A$1001,customers!$C$1:$C$1001,,0)=0,"",_xlfn.XLOOKUP(C244,customers!$A$1:$A$1001,customers!$C$1:$C$1001,,0))</f>
        <v/>
      </c>
      <c r="H244" s="2">
        <f>_xlfn.XLOOKUP(C244,customers!$A$1:$A$1001,customers!$G$1:$G$1001,,0)</f>
        <v/>
      </c>
      <c r="I244">
        <f>INDEX(products!$A$1:$G$49,MATCH(orders!$D244,products!$A$1:$A$49,0),MATCH(orders!I$1,products!$A$1:$G$1,0))</f>
        <v/>
      </c>
      <c r="J244">
        <f>INDEX(products!$A$1:$G$49,MATCH(orders!$D244,products!$A$1:$A$49,0),MATCH(orders!J$1,products!$A$1:$G$1,0))</f>
        <v/>
      </c>
      <c r="K244" s="4">
        <f>INDEX(products!$A$1:$G$49,MATCH(orders!$D244,products!$A$1:$A$49,0),MATCH(orders!K$1,products!$A$1:$G$1,0))</f>
        <v/>
      </c>
      <c r="L244" s="5">
        <f>INDEX(products!$A$1:$G$49,MATCH(orders!$D244,products!$A$1:$A$49,0),MATCH(orders!L$1,products!$A$1:$G$1,0))</f>
        <v/>
      </c>
      <c r="M244" s="5">
        <f>L244*E244</f>
        <v/>
      </c>
      <c r="N244">
        <f>IF(I244="Rob","Robusta",IF(I244="Exc","Excelsa",IF(I244="Ara","Arabica",IF(I244="Lib","Liberica",""))))</f>
        <v/>
      </c>
      <c r="O244">
        <f>IF(J244="M","Medium",IF(J244="L","Light",IF(J244="D","Dark","")))</f>
        <v/>
      </c>
      <c r="P244">
        <f>_xlfn.XLOOKUP(Orders[[#This Row],[Customer ID]],customers!$A$1:$A$1001,customers!$I$1:$I$1001,,0)</f>
        <v/>
      </c>
    </row>
    <row r="245">
      <c r="A245" s="2" t="inlineStr">
        <is>
          <t>O6970</t>
        </is>
      </c>
      <c r="B245" s="3" t="inlineStr">
        <is>
          <t>2022-04-09</t>
        </is>
      </c>
      <c r="C245" s="2" t="inlineStr">
        <is>
          <t>O6407</t>
        </is>
      </c>
      <c r="D245" t="inlineStr">
        <is>
          <t>O7373</t>
        </is>
      </c>
      <c r="E245" s="2" t="n">
        <v>413</v>
      </c>
      <c r="F245" s="2">
        <f>_xlfn.XLOOKUP(C245,customers!$A$1:$A$1001,customers!$B$1:$B$1001,,0)</f>
        <v/>
      </c>
      <c r="G245" s="2">
        <f>IF(_xlfn.XLOOKUP(C245,customers!$A$1:$A$1001,customers!$C$1:$C$1001,,0)=0,"",_xlfn.XLOOKUP(C245,customers!$A$1:$A$1001,customers!$C$1:$C$1001,,0))</f>
        <v/>
      </c>
      <c r="H245" s="2">
        <f>_xlfn.XLOOKUP(C245,customers!$A$1:$A$1001,customers!$G$1:$G$1001,,0)</f>
        <v/>
      </c>
      <c r="I245">
        <f>INDEX(products!$A$1:$G$49,MATCH(orders!$D245,products!$A$1:$A$49,0),MATCH(orders!I$1,products!$A$1:$G$1,0))</f>
        <v/>
      </c>
      <c r="J245">
        <f>INDEX(products!$A$1:$G$49,MATCH(orders!$D245,products!$A$1:$A$49,0),MATCH(orders!J$1,products!$A$1:$G$1,0))</f>
        <v/>
      </c>
      <c r="K245" s="4">
        <f>INDEX(products!$A$1:$G$49,MATCH(orders!$D245,products!$A$1:$A$49,0),MATCH(orders!K$1,products!$A$1:$G$1,0))</f>
        <v/>
      </c>
      <c r="L245" s="5">
        <f>INDEX(products!$A$1:$G$49,MATCH(orders!$D245,products!$A$1:$A$49,0),MATCH(orders!L$1,products!$A$1:$G$1,0))</f>
        <v/>
      </c>
      <c r="M245" s="5">
        <f>L245*E245</f>
        <v/>
      </c>
      <c r="N245">
        <f>IF(I245="Rob","Robusta",IF(I245="Exc","Excelsa",IF(I245="Ara","Arabica",IF(I245="Lib","Liberica",""))))</f>
        <v/>
      </c>
      <c r="O245">
        <f>IF(J245="M","Medium",IF(J245="L","Light",IF(J245="D","Dark","")))</f>
        <v/>
      </c>
      <c r="P245">
        <f>_xlfn.XLOOKUP(Orders[[#This Row],[Customer ID]],customers!$A$1:$A$1001,customers!$I$1:$I$1001,,0)</f>
        <v/>
      </c>
    </row>
    <row r="246">
      <c r="A246" s="2" t="inlineStr">
        <is>
          <t>O5134</t>
        </is>
      </c>
      <c r="B246" s="3" t="inlineStr">
        <is>
          <t>2024-03-30</t>
        </is>
      </c>
      <c r="C246" s="2" t="inlineStr">
        <is>
          <t>O9942</t>
        </is>
      </c>
      <c r="D246" t="inlineStr">
        <is>
          <t>O2623</t>
        </is>
      </c>
      <c r="E246" s="2" t="n">
        <v>223</v>
      </c>
      <c r="F246" s="2">
        <f>_xlfn.XLOOKUP(C246,customers!$A$1:$A$1001,customers!$B$1:$B$1001,,0)</f>
        <v/>
      </c>
      <c r="G246" s="2">
        <f>IF(_xlfn.XLOOKUP(C246,customers!$A$1:$A$1001,customers!$C$1:$C$1001,,0)=0,"",_xlfn.XLOOKUP(C246,customers!$A$1:$A$1001,customers!$C$1:$C$1001,,0))</f>
        <v/>
      </c>
      <c r="H246" s="2">
        <f>_xlfn.XLOOKUP(C246,customers!$A$1:$A$1001,customers!$G$1:$G$1001,,0)</f>
        <v/>
      </c>
      <c r="I246">
        <f>INDEX(products!$A$1:$G$49,MATCH(orders!$D246,products!$A$1:$A$49,0),MATCH(orders!I$1,products!$A$1:$G$1,0))</f>
        <v/>
      </c>
      <c r="J246">
        <f>INDEX(products!$A$1:$G$49,MATCH(orders!$D246,products!$A$1:$A$49,0),MATCH(orders!J$1,products!$A$1:$G$1,0))</f>
        <v/>
      </c>
      <c r="K246" s="4">
        <f>INDEX(products!$A$1:$G$49,MATCH(orders!$D246,products!$A$1:$A$49,0),MATCH(orders!K$1,products!$A$1:$G$1,0))</f>
        <v/>
      </c>
      <c r="L246" s="5">
        <f>INDEX(products!$A$1:$G$49,MATCH(orders!$D246,products!$A$1:$A$49,0),MATCH(orders!L$1,products!$A$1:$G$1,0))</f>
        <v/>
      </c>
      <c r="M246" s="5">
        <f>L246*E246</f>
        <v/>
      </c>
      <c r="N246">
        <f>IF(I246="Rob","Robusta",IF(I246="Exc","Excelsa",IF(I246="Ara","Arabica",IF(I246="Lib","Liberica",""))))</f>
        <v/>
      </c>
      <c r="O246">
        <f>IF(J246="M","Medium",IF(J246="L","Light",IF(J246="D","Dark","")))</f>
        <v/>
      </c>
      <c r="P246">
        <f>_xlfn.XLOOKUP(Orders[[#This Row],[Customer ID]],customers!$A$1:$A$1001,customers!$I$1:$I$1001,,0)</f>
        <v/>
      </c>
    </row>
    <row r="247">
      <c r="A247" s="2" t="inlineStr">
        <is>
          <t>O3834</t>
        </is>
      </c>
      <c r="B247" s="3" t="inlineStr">
        <is>
          <t>2021-07-13</t>
        </is>
      </c>
      <c r="C247" s="2" t="inlineStr">
        <is>
          <t>O8400</t>
        </is>
      </c>
      <c r="D247" t="inlineStr">
        <is>
          <t>O9566</t>
        </is>
      </c>
      <c r="E247" s="2" t="n">
        <v>59</v>
      </c>
      <c r="F247" s="2">
        <f>_xlfn.XLOOKUP(C247,customers!$A$1:$A$1001,customers!$B$1:$B$1001,,0)</f>
        <v/>
      </c>
      <c r="G247" s="2">
        <f>IF(_xlfn.XLOOKUP(C247,customers!$A$1:$A$1001,customers!$C$1:$C$1001,,0)=0,"",_xlfn.XLOOKUP(C247,customers!$A$1:$A$1001,customers!$C$1:$C$1001,,0))</f>
        <v/>
      </c>
      <c r="H247" s="2">
        <f>_xlfn.XLOOKUP(C247,customers!$A$1:$A$1001,customers!$G$1:$G$1001,,0)</f>
        <v/>
      </c>
      <c r="I247">
        <f>INDEX(products!$A$1:$G$49,MATCH(orders!$D247,products!$A$1:$A$49,0),MATCH(orders!I$1,products!$A$1:$G$1,0))</f>
        <v/>
      </c>
      <c r="J247">
        <f>INDEX(products!$A$1:$G$49,MATCH(orders!$D247,products!$A$1:$A$49,0),MATCH(orders!J$1,products!$A$1:$G$1,0))</f>
        <v/>
      </c>
      <c r="K247" s="4">
        <f>INDEX(products!$A$1:$G$49,MATCH(orders!$D247,products!$A$1:$A$49,0),MATCH(orders!K$1,products!$A$1:$G$1,0))</f>
        <v/>
      </c>
      <c r="L247" s="5">
        <f>INDEX(products!$A$1:$G$49,MATCH(orders!$D247,products!$A$1:$A$49,0),MATCH(orders!L$1,products!$A$1:$G$1,0))</f>
        <v/>
      </c>
      <c r="M247" s="5">
        <f>L247*E247</f>
        <v/>
      </c>
      <c r="N247">
        <f>IF(I247="Rob","Robusta",IF(I247="Exc","Excelsa",IF(I247="Ara","Arabica",IF(I247="Lib","Liberica",""))))</f>
        <v/>
      </c>
      <c r="O247">
        <f>IF(J247="M","Medium",IF(J247="L","Light",IF(J247="D","Dark","")))</f>
        <v/>
      </c>
      <c r="P247">
        <f>_xlfn.XLOOKUP(Orders[[#This Row],[Customer ID]],customers!$A$1:$A$1001,customers!$I$1:$I$1001,,0)</f>
        <v/>
      </c>
    </row>
    <row r="248">
      <c r="A248" s="2" t="inlineStr">
        <is>
          <t>O1680</t>
        </is>
      </c>
      <c r="B248" s="3" t="inlineStr">
        <is>
          <t>2025-07-17</t>
        </is>
      </c>
      <c r="C248" s="2" t="inlineStr">
        <is>
          <t>O8627</t>
        </is>
      </c>
      <c r="D248" t="inlineStr">
        <is>
          <t>O7450</t>
        </is>
      </c>
      <c r="E248" s="2" t="n">
        <v>334</v>
      </c>
      <c r="F248" s="2">
        <f>_xlfn.XLOOKUP(C248,customers!$A$1:$A$1001,customers!$B$1:$B$1001,,0)</f>
        <v/>
      </c>
      <c r="G248" s="2">
        <f>IF(_xlfn.XLOOKUP(C248,customers!$A$1:$A$1001,customers!$C$1:$C$1001,,0)=0,"",_xlfn.XLOOKUP(C248,customers!$A$1:$A$1001,customers!$C$1:$C$1001,,0))</f>
        <v/>
      </c>
      <c r="H248" s="2">
        <f>_xlfn.XLOOKUP(C248,customers!$A$1:$A$1001,customers!$G$1:$G$1001,,0)</f>
        <v/>
      </c>
      <c r="I248">
        <f>INDEX(products!$A$1:$G$49,MATCH(orders!$D248,products!$A$1:$A$49,0),MATCH(orders!I$1,products!$A$1:$G$1,0))</f>
        <v/>
      </c>
      <c r="J248">
        <f>INDEX(products!$A$1:$G$49,MATCH(orders!$D248,products!$A$1:$A$49,0),MATCH(orders!J$1,products!$A$1:$G$1,0))</f>
        <v/>
      </c>
      <c r="K248" s="4">
        <f>INDEX(products!$A$1:$G$49,MATCH(orders!$D248,products!$A$1:$A$49,0),MATCH(orders!K$1,products!$A$1:$G$1,0))</f>
        <v/>
      </c>
      <c r="L248" s="5">
        <f>INDEX(products!$A$1:$G$49,MATCH(orders!$D248,products!$A$1:$A$49,0),MATCH(orders!L$1,products!$A$1:$G$1,0))</f>
        <v/>
      </c>
      <c r="M248" s="5">
        <f>L248*E248</f>
        <v/>
      </c>
      <c r="N248">
        <f>IF(I248="Rob","Robusta",IF(I248="Exc","Excelsa",IF(I248="Ara","Arabica",IF(I248="Lib","Liberica",""))))</f>
        <v/>
      </c>
      <c r="O248">
        <f>IF(J248="M","Medium",IF(J248="L","Light",IF(J248="D","Dark","")))</f>
        <v/>
      </c>
      <c r="P248">
        <f>_xlfn.XLOOKUP(Orders[[#This Row],[Customer ID]],customers!$A$1:$A$1001,customers!$I$1:$I$1001,,0)</f>
        <v/>
      </c>
    </row>
    <row r="249">
      <c r="A249" s="2" t="inlineStr">
        <is>
          <t>O2446</t>
        </is>
      </c>
      <c r="B249" s="3" t="inlineStr">
        <is>
          <t>2024-08-01</t>
        </is>
      </c>
      <c r="C249" s="2" t="inlineStr">
        <is>
          <t>O7516</t>
        </is>
      </c>
      <c r="D249" t="inlineStr">
        <is>
          <t>O1167</t>
        </is>
      </c>
      <c r="E249" s="2" t="n">
        <v>217</v>
      </c>
      <c r="F249" s="2">
        <f>_xlfn.XLOOKUP(C249,customers!$A$1:$A$1001,customers!$B$1:$B$1001,,0)</f>
        <v/>
      </c>
      <c r="G249" s="2">
        <f>IF(_xlfn.XLOOKUP(C249,customers!$A$1:$A$1001,customers!$C$1:$C$1001,,0)=0,"",_xlfn.XLOOKUP(C249,customers!$A$1:$A$1001,customers!$C$1:$C$1001,,0))</f>
        <v/>
      </c>
      <c r="H249" s="2">
        <f>_xlfn.XLOOKUP(C249,customers!$A$1:$A$1001,customers!$G$1:$G$1001,,0)</f>
        <v/>
      </c>
      <c r="I249">
        <f>INDEX(products!$A$1:$G$49,MATCH(orders!$D249,products!$A$1:$A$49,0),MATCH(orders!I$1,products!$A$1:$G$1,0))</f>
        <v/>
      </c>
      <c r="J249">
        <f>INDEX(products!$A$1:$G$49,MATCH(orders!$D249,products!$A$1:$A$49,0),MATCH(orders!J$1,products!$A$1:$G$1,0))</f>
        <v/>
      </c>
      <c r="K249" s="4">
        <f>INDEX(products!$A$1:$G$49,MATCH(orders!$D249,products!$A$1:$A$49,0),MATCH(orders!K$1,products!$A$1:$G$1,0))</f>
        <v/>
      </c>
      <c r="L249" s="5">
        <f>INDEX(products!$A$1:$G$49,MATCH(orders!$D249,products!$A$1:$A$49,0),MATCH(orders!L$1,products!$A$1:$G$1,0))</f>
        <v/>
      </c>
      <c r="M249" s="5">
        <f>L249*E249</f>
        <v/>
      </c>
      <c r="N249">
        <f>IF(I249="Rob","Robusta",IF(I249="Exc","Excelsa",IF(I249="Ara","Arabica",IF(I249="Lib","Liberica",""))))</f>
        <v/>
      </c>
      <c r="O249">
        <f>IF(J249="M","Medium",IF(J249="L","Light",IF(J249="D","Dark","")))</f>
        <v/>
      </c>
      <c r="P249">
        <f>_xlfn.XLOOKUP(Orders[[#This Row],[Customer ID]],customers!$A$1:$A$1001,customers!$I$1:$I$1001,,0)</f>
        <v/>
      </c>
    </row>
    <row r="250">
      <c r="A250" s="2" t="inlineStr">
        <is>
          <t>O8010</t>
        </is>
      </c>
      <c r="B250" s="3" t="inlineStr">
        <is>
          <t>2025-04-28</t>
        </is>
      </c>
      <c r="C250" s="2" t="inlineStr">
        <is>
          <t>O1254</t>
        </is>
      </c>
      <c r="D250" t="inlineStr">
        <is>
          <t>O1837</t>
        </is>
      </c>
      <c r="E250" s="2" t="n">
        <v>424</v>
      </c>
      <c r="F250" s="2">
        <f>_xlfn.XLOOKUP(C250,customers!$A$1:$A$1001,customers!$B$1:$B$1001,,0)</f>
        <v/>
      </c>
      <c r="G250" s="2">
        <f>IF(_xlfn.XLOOKUP(C250,customers!$A$1:$A$1001,customers!$C$1:$C$1001,,0)=0,"",_xlfn.XLOOKUP(C250,customers!$A$1:$A$1001,customers!$C$1:$C$1001,,0))</f>
        <v/>
      </c>
      <c r="H250" s="2">
        <f>_xlfn.XLOOKUP(C250,customers!$A$1:$A$1001,customers!$G$1:$G$1001,,0)</f>
        <v/>
      </c>
      <c r="I250">
        <f>INDEX(products!$A$1:$G$49,MATCH(orders!$D250,products!$A$1:$A$49,0),MATCH(orders!I$1,products!$A$1:$G$1,0))</f>
        <v/>
      </c>
      <c r="J250">
        <f>INDEX(products!$A$1:$G$49,MATCH(orders!$D250,products!$A$1:$A$49,0),MATCH(orders!J$1,products!$A$1:$G$1,0))</f>
        <v/>
      </c>
      <c r="K250" s="4">
        <f>INDEX(products!$A$1:$G$49,MATCH(orders!$D250,products!$A$1:$A$49,0),MATCH(orders!K$1,products!$A$1:$G$1,0))</f>
        <v/>
      </c>
      <c r="L250" s="5">
        <f>INDEX(products!$A$1:$G$49,MATCH(orders!$D250,products!$A$1:$A$49,0),MATCH(orders!L$1,products!$A$1:$G$1,0))</f>
        <v/>
      </c>
      <c r="M250" s="5">
        <f>L250*E250</f>
        <v/>
      </c>
      <c r="N250">
        <f>IF(I250="Rob","Robusta",IF(I250="Exc","Excelsa",IF(I250="Ara","Arabica",IF(I250="Lib","Liberica",""))))</f>
        <v/>
      </c>
      <c r="O250">
        <f>IF(J250="M","Medium",IF(J250="L","Light",IF(J250="D","Dark","")))</f>
        <v/>
      </c>
      <c r="P250">
        <f>_xlfn.XLOOKUP(Orders[[#This Row],[Customer ID]],customers!$A$1:$A$1001,customers!$I$1:$I$1001,,0)</f>
        <v/>
      </c>
    </row>
    <row r="251">
      <c r="A251" s="2" t="inlineStr">
        <is>
          <t>O6031</t>
        </is>
      </c>
      <c r="B251" s="3" t="inlineStr">
        <is>
          <t>2020-06-03</t>
        </is>
      </c>
      <c r="C251" s="2" t="inlineStr">
        <is>
          <t>O5359</t>
        </is>
      </c>
      <c r="D251" t="inlineStr">
        <is>
          <t>O2729</t>
        </is>
      </c>
      <c r="E251" s="2" t="n">
        <v>160</v>
      </c>
      <c r="F251" s="2">
        <f>_xlfn.XLOOKUP(C251,customers!$A$1:$A$1001,customers!$B$1:$B$1001,,0)</f>
        <v/>
      </c>
      <c r="G251" s="2">
        <f>IF(_xlfn.XLOOKUP(C251,customers!$A$1:$A$1001,customers!$C$1:$C$1001,,0)=0,"",_xlfn.XLOOKUP(C251,customers!$A$1:$A$1001,customers!$C$1:$C$1001,,0))</f>
        <v/>
      </c>
      <c r="H251" s="2">
        <f>_xlfn.XLOOKUP(C251,customers!$A$1:$A$1001,customers!$G$1:$G$1001,,0)</f>
        <v/>
      </c>
      <c r="I251">
        <f>INDEX(products!$A$1:$G$49,MATCH(orders!$D251,products!$A$1:$A$49,0),MATCH(orders!I$1,products!$A$1:$G$1,0))</f>
        <v/>
      </c>
      <c r="J251">
        <f>INDEX(products!$A$1:$G$49,MATCH(orders!$D251,products!$A$1:$A$49,0),MATCH(orders!J$1,products!$A$1:$G$1,0))</f>
        <v/>
      </c>
      <c r="K251" s="4">
        <f>INDEX(products!$A$1:$G$49,MATCH(orders!$D251,products!$A$1:$A$49,0),MATCH(orders!K$1,products!$A$1:$G$1,0))</f>
        <v/>
      </c>
      <c r="L251" s="5">
        <f>INDEX(products!$A$1:$G$49,MATCH(orders!$D251,products!$A$1:$A$49,0),MATCH(orders!L$1,products!$A$1:$G$1,0))</f>
        <v/>
      </c>
      <c r="M251" s="5">
        <f>L251*E251</f>
        <v/>
      </c>
      <c r="N251">
        <f>IF(I251="Rob","Robusta",IF(I251="Exc","Excelsa",IF(I251="Ara","Arabica",IF(I251="Lib","Liberica",""))))</f>
        <v/>
      </c>
      <c r="O251">
        <f>IF(J251="M","Medium",IF(J251="L","Light",IF(J251="D","Dark","")))</f>
        <v/>
      </c>
      <c r="P251">
        <f>_xlfn.XLOOKUP(Orders[[#This Row],[Customer ID]],customers!$A$1:$A$1001,customers!$I$1:$I$1001,,0)</f>
        <v/>
      </c>
    </row>
    <row r="252">
      <c r="A252" s="2" t="inlineStr">
        <is>
          <t>O1922</t>
        </is>
      </c>
      <c r="B252" s="3" t="inlineStr">
        <is>
          <t>2025-02-23</t>
        </is>
      </c>
      <c r="C252" s="2" t="inlineStr">
        <is>
          <t>O6073</t>
        </is>
      </c>
      <c r="D252" t="inlineStr">
        <is>
          <t>O6252</t>
        </is>
      </c>
      <c r="E252" s="2" t="n">
        <v>112</v>
      </c>
      <c r="F252" s="2">
        <f>_xlfn.XLOOKUP(C252,customers!$A$1:$A$1001,customers!$B$1:$B$1001,,0)</f>
        <v/>
      </c>
      <c r="G252" s="2">
        <f>IF(_xlfn.XLOOKUP(C252,customers!$A$1:$A$1001,customers!$C$1:$C$1001,,0)=0,"",_xlfn.XLOOKUP(C252,customers!$A$1:$A$1001,customers!$C$1:$C$1001,,0))</f>
        <v/>
      </c>
      <c r="H252" s="2">
        <f>_xlfn.XLOOKUP(C252,customers!$A$1:$A$1001,customers!$G$1:$G$1001,,0)</f>
        <v/>
      </c>
      <c r="I252">
        <f>INDEX(products!$A$1:$G$49,MATCH(orders!$D252,products!$A$1:$A$49,0),MATCH(orders!I$1,products!$A$1:$G$1,0))</f>
        <v/>
      </c>
      <c r="J252">
        <f>INDEX(products!$A$1:$G$49,MATCH(orders!$D252,products!$A$1:$A$49,0),MATCH(orders!J$1,products!$A$1:$G$1,0))</f>
        <v/>
      </c>
      <c r="K252" s="4">
        <f>INDEX(products!$A$1:$G$49,MATCH(orders!$D252,products!$A$1:$A$49,0),MATCH(orders!K$1,products!$A$1:$G$1,0))</f>
        <v/>
      </c>
      <c r="L252" s="5">
        <f>INDEX(products!$A$1:$G$49,MATCH(orders!$D252,products!$A$1:$A$49,0),MATCH(orders!L$1,products!$A$1:$G$1,0))</f>
        <v/>
      </c>
      <c r="M252" s="5">
        <f>L252*E252</f>
        <v/>
      </c>
      <c r="N252">
        <f>IF(I252="Rob","Robusta",IF(I252="Exc","Excelsa",IF(I252="Ara","Arabica",IF(I252="Lib","Liberica",""))))</f>
        <v/>
      </c>
      <c r="O252">
        <f>IF(J252="M","Medium",IF(J252="L","Light",IF(J252="D","Dark","")))</f>
        <v/>
      </c>
      <c r="P252">
        <f>_xlfn.XLOOKUP(Orders[[#This Row],[Customer ID]],customers!$A$1:$A$1001,customers!$I$1:$I$1001,,0)</f>
        <v/>
      </c>
    </row>
    <row r="253">
      <c r="A253" s="2" t="inlineStr">
        <is>
          <t>O6601</t>
        </is>
      </c>
      <c r="B253" s="3" t="inlineStr">
        <is>
          <t>2020-04-15</t>
        </is>
      </c>
      <c r="C253" s="2" t="inlineStr">
        <is>
          <t>O9179</t>
        </is>
      </c>
      <c r="D253" t="inlineStr">
        <is>
          <t>O9224</t>
        </is>
      </c>
      <c r="E253" s="2" t="n">
        <v>477</v>
      </c>
      <c r="F253" s="2">
        <f>_xlfn.XLOOKUP(C253,customers!$A$1:$A$1001,customers!$B$1:$B$1001,,0)</f>
        <v/>
      </c>
      <c r="G253" s="2">
        <f>IF(_xlfn.XLOOKUP(C253,customers!$A$1:$A$1001,customers!$C$1:$C$1001,,0)=0,"",_xlfn.XLOOKUP(C253,customers!$A$1:$A$1001,customers!$C$1:$C$1001,,0))</f>
        <v/>
      </c>
      <c r="H253" s="2">
        <f>_xlfn.XLOOKUP(C253,customers!$A$1:$A$1001,customers!$G$1:$G$1001,,0)</f>
        <v/>
      </c>
      <c r="I253">
        <f>INDEX(products!$A$1:$G$49,MATCH(orders!$D253,products!$A$1:$A$49,0),MATCH(orders!I$1,products!$A$1:$G$1,0))</f>
        <v/>
      </c>
      <c r="J253">
        <f>INDEX(products!$A$1:$G$49,MATCH(orders!$D253,products!$A$1:$A$49,0),MATCH(orders!J$1,products!$A$1:$G$1,0))</f>
        <v/>
      </c>
      <c r="K253" s="4">
        <f>INDEX(products!$A$1:$G$49,MATCH(orders!$D253,products!$A$1:$A$49,0),MATCH(orders!K$1,products!$A$1:$G$1,0))</f>
        <v/>
      </c>
      <c r="L253" s="5">
        <f>INDEX(products!$A$1:$G$49,MATCH(orders!$D253,products!$A$1:$A$49,0),MATCH(orders!L$1,products!$A$1:$G$1,0))</f>
        <v/>
      </c>
      <c r="M253" s="5">
        <f>L253*E253</f>
        <v/>
      </c>
      <c r="N253">
        <f>IF(I253="Rob","Robusta",IF(I253="Exc","Excelsa",IF(I253="Ara","Arabica",IF(I253="Lib","Liberica",""))))</f>
        <v/>
      </c>
      <c r="O253">
        <f>IF(J253="M","Medium",IF(J253="L","Light",IF(J253="D","Dark","")))</f>
        <v/>
      </c>
      <c r="P253">
        <f>_xlfn.XLOOKUP(Orders[[#This Row],[Customer ID]],customers!$A$1:$A$1001,customers!$I$1:$I$1001,,0)</f>
        <v/>
      </c>
    </row>
    <row r="254">
      <c r="A254" s="2" t="inlineStr">
        <is>
          <t>O1980</t>
        </is>
      </c>
      <c r="B254" s="3" t="inlineStr">
        <is>
          <t>2023-12-31</t>
        </is>
      </c>
      <c r="C254" s="2" t="inlineStr">
        <is>
          <t>O8187</t>
        </is>
      </c>
      <c r="D254" t="inlineStr">
        <is>
          <t>O9571</t>
        </is>
      </c>
      <c r="E254" s="2" t="n">
        <v>150</v>
      </c>
      <c r="F254" s="2">
        <f>_xlfn.XLOOKUP(C254,customers!$A$1:$A$1001,customers!$B$1:$B$1001,,0)</f>
        <v/>
      </c>
      <c r="G254" s="2">
        <f>IF(_xlfn.XLOOKUP(C254,customers!$A$1:$A$1001,customers!$C$1:$C$1001,,0)=0,"",_xlfn.XLOOKUP(C254,customers!$A$1:$A$1001,customers!$C$1:$C$1001,,0))</f>
        <v/>
      </c>
      <c r="H254" s="2">
        <f>_xlfn.XLOOKUP(C254,customers!$A$1:$A$1001,customers!$G$1:$G$1001,,0)</f>
        <v/>
      </c>
      <c r="I254">
        <f>INDEX(products!$A$1:$G$49,MATCH(orders!$D254,products!$A$1:$A$49,0),MATCH(orders!I$1,products!$A$1:$G$1,0))</f>
        <v/>
      </c>
      <c r="J254">
        <f>INDEX(products!$A$1:$G$49,MATCH(orders!$D254,products!$A$1:$A$49,0),MATCH(orders!J$1,products!$A$1:$G$1,0))</f>
        <v/>
      </c>
      <c r="K254" s="4">
        <f>INDEX(products!$A$1:$G$49,MATCH(orders!$D254,products!$A$1:$A$49,0),MATCH(orders!K$1,products!$A$1:$G$1,0))</f>
        <v/>
      </c>
      <c r="L254" s="5">
        <f>INDEX(products!$A$1:$G$49,MATCH(orders!$D254,products!$A$1:$A$49,0),MATCH(orders!L$1,products!$A$1:$G$1,0))</f>
        <v/>
      </c>
      <c r="M254" s="5">
        <f>L254*E254</f>
        <v/>
      </c>
      <c r="N254">
        <f>IF(I254="Rob","Robusta",IF(I254="Exc","Excelsa",IF(I254="Ara","Arabica",IF(I254="Lib","Liberica",""))))</f>
        <v/>
      </c>
      <c r="O254">
        <f>IF(J254="M","Medium",IF(J254="L","Light",IF(J254="D","Dark","")))</f>
        <v/>
      </c>
      <c r="P254">
        <f>_xlfn.XLOOKUP(Orders[[#This Row],[Customer ID]],customers!$A$1:$A$1001,customers!$I$1:$I$1001,,0)</f>
        <v/>
      </c>
    </row>
    <row r="255">
      <c r="A255" s="2" t="inlineStr">
        <is>
          <t>O5975</t>
        </is>
      </c>
      <c r="B255" s="3" t="inlineStr">
        <is>
          <t>2024-11-05</t>
        </is>
      </c>
      <c r="C255" s="2" t="inlineStr">
        <is>
          <t>O1565</t>
        </is>
      </c>
      <c r="D255" t="inlineStr">
        <is>
          <t>O8551</t>
        </is>
      </c>
      <c r="E255" s="2" t="n">
        <v>208</v>
      </c>
      <c r="F255" s="2">
        <f>_xlfn.XLOOKUP(C255,customers!$A$1:$A$1001,customers!$B$1:$B$1001,,0)</f>
        <v/>
      </c>
      <c r="G255" s="2">
        <f>IF(_xlfn.XLOOKUP(C255,customers!$A$1:$A$1001,customers!$C$1:$C$1001,,0)=0,"",_xlfn.XLOOKUP(C255,customers!$A$1:$A$1001,customers!$C$1:$C$1001,,0))</f>
        <v/>
      </c>
      <c r="H255" s="2">
        <f>_xlfn.XLOOKUP(C255,customers!$A$1:$A$1001,customers!$G$1:$G$1001,,0)</f>
        <v/>
      </c>
      <c r="I255">
        <f>INDEX(products!$A$1:$G$49,MATCH(orders!$D255,products!$A$1:$A$49,0),MATCH(orders!I$1,products!$A$1:$G$1,0))</f>
        <v/>
      </c>
      <c r="J255">
        <f>INDEX(products!$A$1:$G$49,MATCH(orders!$D255,products!$A$1:$A$49,0),MATCH(orders!J$1,products!$A$1:$G$1,0))</f>
        <v/>
      </c>
      <c r="K255" s="4">
        <f>INDEX(products!$A$1:$G$49,MATCH(orders!$D255,products!$A$1:$A$49,0),MATCH(orders!K$1,products!$A$1:$G$1,0))</f>
        <v/>
      </c>
      <c r="L255" s="5">
        <f>INDEX(products!$A$1:$G$49,MATCH(orders!$D255,products!$A$1:$A$49,0),MATCH(orders!L$1,products!$A$1:$G$1,0))</f>
        <v/>
      </c>
      <c r="M255" s="5">
        <f>L255*E255</f>
        <v/>
      </c>
      <c r="N255">
        <f>IF(I255="Rob","Robusta",IF(I255="Exc","Excelsa",IF(I255="Ara","Arabica",IF(I255="Lib","Liberica",""))))</f>
        <v/>
      </c>
      <c r="O255">
        <f>IF(J255="M","Medium",IF(J255="L","Light",IF(J255="D","Dark","")))</f>
        <v/>
      </c>
      <c r="P255">
        <f>_xlfn.XLOOKUP(Orders[[#This Row],[Customer ID]],customers!$A$1:$A$1001,customers!$I$1:$I$1001,,0)</f>
        <v/>
      </c>
    </row>
    <row r="256">
      <c r="A256" s="2" t="inlineStr">
        <is>
          <t>O2971</t>
        </is>
      </c>
      <c r="B256" s="3" t="inlineStr">
        <is>
          <t>2021-01-29</t>
        </is>
      </c>
      <c r="C256" s="2" t="inlineStr">
        <is>
          <t>O5790</t>
        </is>
      </c>
      <c r="D256" t="inlineStr">
        <is>
          <t>O6327</t>
        </is>
      </c>
      <c r="E256" s="2" t="n">
        <v>321</v>
      </c>
      <c r="F256" s="2">
        <f>_xlfn.XLOOKUP(C256,customers!$A$1:$A$1001,customers!$B$1:$B$1001,,0)</f>
        <v/>
      </c>
      <c r="G256" s="2">
        <f>IF(_xlfn.XLOOKUP(C256,customers!$A$1:$A$1001,customers!$C$1:$C$1001,,0)=0,"",_xlfn.XLOOKUP(C256,customers!$A$1:$A$1001,customers!$C$1:$C$1001,,0))</f>
        <v/>
      </c>
      <c r="H256" s="2">
        <f>_xlfn.XLOOKUP(C256,customers!$A$1:$A$1001,customers!$G$1:$G$1001,,0)</f>
        <v/>
      </c>
      <c r="I256">
        <f>INDEX(products!$A$1:$G$49,MATCH(orders!$D256,products!$A$1:$A$49,0),MATCH(orders!I$1,products!$A$1:$G$1,0))</f>
        <v/>
      </c>
      <c r="J256">
        <f>INDEX(products!$A$1:$G$49,MATCH(orders!$D256,products!$A$1:$A$49,0),MATCH(orders!J$1,products!$A$1:$G$1,0))</f>
        <v/>
      </c>
      <c r="K256" s="4">
        <f>INDEX(products!$A$1:$G$49,MATCH(orders!$D256,products!$A$1:$A$49,0),MATCH(orders!K$1,products!$A$1:$G$1,0))</f>
        <v/>
      </c>
      <c r="L256" s="5">
        <f>INDEX(products!$A$1:$G$49,MATCH(orders!$D256,products!$A$1:$A$49,0),MATCH(orders!L$1,products!$A$1:$G$1,0))</f>
        <v/>
      </c>
      <c r="M256" s="5">
        <f>L256*E256</f>
        <v/>
      </c>
      <c r="N256">
        <f>IF(I256="Rob","Robusta",IF(I256="Exc","Excelsa",IF(I256="Ara","Arabica",IF(I256="Lib","Liberica",""))))</f>
        <v/>
      </c>
      <c r="O256">
        <f>IF(J256="M","Medium",IF(J256="L","Light",IF(J256="D","Dark","")))</f>
        <v/>
      </c>
      <c r="P256">
        <f>_xlfn.XLOOKUP(Orders[[#This Row],[Customer ID]],customers!$A$1:$A$1001,customers!$I$1:$I$1001,,0)</f>
        <v/>
      </c>
    </row>
    <row r="257">
      <c r="A257" s="2" t="inlineStr">
        <is>
          <t>O2981</t>
        </is>
      </c>
      <c r="B257" s="3" t="inlineStr">
        <is>
          <t>2022-12-17</t>
        </is>
      </c>
      <c r="C257" s="2" t="inlineStr">
        <is>
          <t>O9872</t>
        </is>
      </c>
      <c r="D257" t="inlineStr">
        <is>
          <t>O9509</t>
        </is>
      </c>
      <c r="E257" s="2" t="n">
        <v>129</v>
      </c>
      <c r="F257" s="2">
        <f>_xlfn.XLOOKUP(C257,customers!$A$1:$A$1001,customers!$B$1:$B$1001,,0)</f>
        <v/>
      </c>
      <c r="G257" s="2">
        <f>IF(_xlfn.XLOOKUP(C257,customers!$A$1:$A$1001,customers!$C$1:$C$1001,,0)=0,"",_xlfn.XLOOKUP(C257,customers!$A$1:$A$1001,customers!$C$1:$C$1001,,0))</f>
        <v/>
      </c>
      <c r="H257" s="2">
        <f>_xlfn.XLOOKUP(C257,customers!$A$1:$A$1001,customers!$G$1:$G$1001,,0)</f>
        <v/>
      </c>
      <c r="I257">
        <f>INDEX(products!$A$1:$G$49,MATCH(orders!$D257,products!$A$1:$A$49,0),MATCH(orders!I$1,products!$A$1:$G$1,0))</f>
        <v/>
      </c>
      <c r="J257">
        <f>INDEX(products!$A$1:$G$49,MATCH(orders!$D257,products!$A$1:$A$49,0),MATCH(orders!J$1,products!$A$1:$G$1,0))</f>
        <v/>
      </c>
      <c r="K257" s="4">
        <f>INDEX(products!$A$1:$G$49,MATCH(orders!$D257,products!$A$1:$A$49,0),MATCH(orders!K$1,products!$A$1:$G$1,0))</f>
        <v/>
      </c>
      <c r="L257" s="5">
        <f>INDEX(products!$A$1:$G$49,MATCH(orders!$D257,products!$A$1:$A$49,0),MATCH(orders!L$1,products!$A$1:$G$1,0))</f>
        <v/>
      </c>
      <c r="M257" s="5">
        <f>L257*E257</f>
        <v/>
      </c>
      <c r="N257">
        <f>IF(I257="Rob","Robusta",IF(I257="Exc","Excelsa",IF(I257="Ara","Arabica",IF(I257="Lib","Liberica",""))))</f>
        <v/>
      </c>
      <c r="O257">
        <f>IF(J257="M","Medium",IF(J257="L","Light",IF(J257="D","Dark","")))</f>
        <v/>
      </c>
      <c r="P257">
        <f>_xlfn.XLOOKUP(Orders[[#This Row],[Customer ID]],customers!$A$1:$A$1001,customers!$I$1:$I$1001,,0)</f>
        <v/>
      </c>
    </row>
    <row r="258">
      <c r="A258" s="2" t="inlineStr">
        <is>
          <t>O3224</t>
        </is>
      </c>
      <c r="B258" s="3" t="inlineStr">
        <is>
          <t>2020-11-30</t>
        </is>
      </c>
      <c r="C258" s="2" t="inlineStr">
        <is>
          <t>O1390</t>
        </is>
      </c>
      <c r="D258" t="inlineStr">
        <is>
          <t>O7547</t>
        </is>
      </c>
      <c r="E258" s="2" t="n">
        <v>73</v>
      </c>
      <c r="F258" s="2">
        <f>_xlfn.XLOOKUP(C258,customers!$A$1:$A$1001,customers!$B$1:$B$1001,,0)</f>
        <v/>
      </c>
      <c r="G258" s="2">
        <f>IF(_xlfn.XLOOKUP(C258,customers!$A$1:$A$1001,customers!$C$1:$C$1001,,0)=0,"",_xlfn.XLOOKUP(C258,customers!$A$1:$A$1001,customers!$C$1:$C$1001,,0))</f>
        <v/>
      </c>
      <c r="H258" s="2">
        <f>_xlfn.XLOOKUP(C258,customers!$A$1:$A$1001,customers!$G$1:$G$1001,,0)</f>
        <v/>
      </c>
      <c r="I258">
        <f>INDEX(products!$A$1:$G$49,MATCH(orders!$D258,products!$A$1:$A$49,0),MATCH(orders!I$1,products!$A$1:$G$1,0))</f>
        <v/>
      </c>
      <c r="J258">
        <f>INDEX(products!$A$1:$G$49,MATCH(orders!$D258,products!$A$1:$A$49,0),MATCH(orders!J$1,products!$A$1:$G$1,0))</f>
        <v/>
      </c>
      <c r="K258" s="4">
        <f>INDEX(products!$A$1:$G$49,MATCH(orders!$D258,products!$A$1:$A$49,0),MATCH(orders!K$1,products!$A$1:$G$1,0))</f>
        <v/>
      </c>
      <c r="L258" s="5">
        <f>INDEX(products!$A$1:$G$49,MATCH(orders!$D258,products!$A$1:$A$49,0),MATCH(orders!L$1,products!$A$1:$G$1,0))</f>
        <v/>
      </c>
      <c r="M258" s="5">
        <f>L258*E258</f>
        <v/>
      </c>
      <c r="N258">
        <f>IF(I258="Rob","Robusta",IF(I258="Exc","Excelsa",IF(I258="Ara","Arabica",IF(I258="Lib","Liberica",""))))</f>
        <v/>
      </c>
      <c r="O258">
        <f>IF(J258="M","Medium",IF(J258="L","Light",IF(J258="D","Dark","")))</f>
        <v/>
      </c>
      <c r="P258">
        <f>_xlfn.XLOOKUP(Orders[[#This Row],[Customer ID]],customers!$A$1:$A$1001,customers!$I$1:$I$1001,,0)</f>
        <v/>
      </c>
    </row>
    <row r="259">
      <c r="A259" s="2" t="inlineStr">
        <is>
          <t>O7892</t>
        </is>
      </c>
      <c r="B259" s="3" t="inlineStr">
        <is>
          <t>2025-05-09</t>
        </is>
      </c>
      <c r="C259" s="2" t="inlineStr">
        <is>
          <t>O7133</t>
        </is>
      </c>
      <c r="D259" t="inlineStr">
        <is>
          <t>O4653</t>
        </is>
      </c>
      <c r="E259" s="2" t="n">
        <v>471</v>
      </c>
      <c r="F259" s="2">
        <f>_xlfn.XLOOKUP(C259,customers!$A$1:$A$1001,customers!$B$1:$B$1001,,0)</f>
        <v/>
      </c>
      <c r="G259" s="2">
        <f>IF(_xlfn.XLOOKUP(C259,customers!$A$1:$A$1001,customers!$C$1:$C$1001,,0)=0,"",_xlfn.XLOOKUP(C259,customers!$A$1:$A$1001,customers!$C$1:$C$1001,,0))</f>
        <v/>
      </c>
      <c r="H259" s="2">
        <f>_xlfn.XLOOKUP(C259,customers!$A$1:$A$1001,customers!$G$1:$G$1001,,0)</f>
        <v/>
      </c>
      <c r="I259">
        <f>INDEX(products!$A$1:$G$49,MATCH(orders!$D259,products!$A$1:$A$49,0),MATCH(orders!I$1,products!$A$1:$G$1,0))</f>
        <v/>
      </c>
      <c r="J259">
        <f>INDEX(products!$A$1:$G$49,MATCH(orders!$D259,products!$A$1:$A$49,0),MATCH(orders!J$1,products!$A$1:$G$1,0))</f>
        <v/>
      </c>
      <c r="K259" s="4">
        <f>INDEX(products!$A$1:$G$49,MATCH(orders!$D259,products!$A$1:$A$49,0),MATCH(orders!K$1,products!$A$1:$G$1,0))</f>
        <v/>
      </c>
      <c r="L259" s="5">
        <f>INDEX(products!$A$1:$G$49,MATCH(orders!$D259,products!$A$1:$A$49,0),MATCH(orders!L$1,products!$A$1:$G$1,0))</f>
        <v/>
      </c>
      <c r="M259" s="5">
        <f>L259*E259</f>
        <v/>
      </c>
      <c r="N259">
        <f>IF(I259="Rob","Robusta",IF(I259="Exc","Excelsa",IF(I259="Ara","Arabica",IF(I259="Lib","Liberica",""))))</f>
        <v/>
      </c>
      <c r="O259">
        <f>IF(J259="M","Medium",IF(J259="L","Light",IF(J259="D","Dark","")))</f>
        <v/>
      </c>
      <c r="P259">
        <f>_xlfn.XLOOKUP(Orders[[#This Row],[Customer ID]],customers!$A$1:$A$1001,customers!$I$1:$I$1001,,0)</f>
        <v/>
      </c>
    </row>
    <row r="260">
      <c r="A260" s="2" t="inlineStr">
        <is>
          <t>O4688</t>
        </is>
      </c>
      <c r="B260" s="3" t="inlineStr">
        <is>
          <t>2024-12-06</t>
        </is>
      </c>
      <c r="C260" s="2" t="inlineStr">
        <is>
          <t>O6621</t>
        </is>
      </c>
      <c r="D260" t="inlineStr">
        <is>
          <t>O7067</t>
        </is>
      </c>
      <c r="E260" s="2" t="n">
        <v>331</v>
      </c>
      <c r="F260" s="2">
        <f>_xlfn.XLOOKUP(C260,customers!$A$1:$A$1001,customers!$B$1:$B$1001,,0)</f>
        <v/>
      </c>
      <c r="G260" s="2">
        <f>IF(_xlfn.XLOOKUP(C260,customers!$A$1:$A$1001,customers!$C$1:$C$1001,,0)=0,"",_xlfn.XLOOKUP(C260,customers!$A$1:$A$1001,customers!$C$1:$C$1001,,0))</f>
        <v/>
      </c>
      <c r="H260" s="2">
        <f>_xlfn.XLOOKUP(C260,customers!$A$1:$A$1001,customers!$G$1:$G$1001,,0)</f>
        <v/>
      </c>
      <c r="I260">
        <f>INDEX(products!$A$1:$G$49,MATCH(orders!$D260,products!$A$1:$A$49,0),MATCH(orders!I$1,products!$A$1:$G$1,0))</f>
        <v/>
      </c>
      <c r="J260">
        <f>INDEX(products!$A$1:$G$49,MATCH(orders!$D260,products!$A$1:$A$49,0),MATCH(orders!J$1,products!$A$1:$G$1,0))</f>
        <v/>
      </c>
      <c r="K260" s="4">
        <f>INDEX(products!$A$1:$G$49,MATCH(orders!$D260,products!$A$1:$A$49,0),MATCH(orders!K$1,products!$A$1:$G$1,0))</f>
        <v/>
      </c>
      <c r="L260" s="5">
        <f>INDEX(products!$A$1:$G$49,MATCH(orders!$D260,products!$A$1:$A$49,0),MATCH(orders!L$1,products!$A$1:$G$1,0))</f>
        <v/>
      </c>
      <c r="M260" s="5">
        <f>L260*E260</f>
        <v/>
      </c>
      <c r="N260">
        <f>IF(I260="Rob","Robusta",IF(I260="Exc","Excelsa",IF(I260="Ara","Arabica",IF(I260="Lib","Liberica",""))))</f>
        <v/>
      </c>
      <c r="O260">
        <f>IF(J260="M","Medium",IF(J260="L","Light",IF(J260="D","Dark","")))</f>
        <v/>
      </c>
      <c r="P260">
        <f>_xlfn.XLOOKUP(Orders[[#This Row],[Customer ID]],customers!$A$1:$A$1001,customers!$I$1:$I$1001,,0)</f>
        <v/>
      </c>
    </row>
    <row r="261">
      <c r="A261" s="2" t="inlineStr">
        <is>
          <t>O8752</t>
        </is>
      </c>
      <c r="B261" s="3" t="inlineStr">
        <is>
          <t>2020-05-20</t>
        </is>
      </c>
      <c r="C261" s="2" t="inlineStr">
        <is>
          <t>O4557</t>
        </is>
      </c>
      <c r="D261" t="inlineStr">
        <is>
          <t>O1059</t>
        </is>
      </c>
      <c r="E261" s="2" t="n">
        <v>238</v>
      </c>
      <c r="F261" s="2">
        <f>_xlfn.XLOOKUP(C261,customers!$A$1:$A$1001,customers!$B$1:$B$1001,,0)</f>
        <v/>
      </c>
      <c r="G261" s="2">
        <f>IF(_xlfn.XLOOKUP(C261,customers!$A$1:$A$1001,customers!$C$1:$C$1001,,0)=0,"",_xlfn.XLOOKUP(C261,customers!$A$1:$A$1001,customers!$C$1:$C$1001,,0))</f>
        <v/>
      </c>
      <c r="H261" s="2">
        <f>_xlfn.XLOOKUP(C261,customers!$A$1:$A$1001,customers!$G$1:$G$1001,,0)</f>
        <v/>
      </c>
      <c r="I261">
        <f>INDEX(products!$A$1:$G$49,MATCH(orders!$D261,products!$A$1:$A$49,0),MATCH(orders!I$1,products!$A$1:$G$1,0))</f>
        <v/>
      </c>
      <c r="J261">
        <f>INDEX(products!$A$1:$G$49,MATCH(orders!$D261,products!$A$1:$A$49,0),MATCH(orders!J$1,products!$A$1:$G$1,0))</f>
        <v/>
      </c>
      <c r="K261" s="4">
        <f>INDEX(products!$A$1:$G$49,MATCH(orders!$D261,products!$A$1:$A$49,0),MATCH(orders!K$1,products!$A$1:$G$1,0))</f>
        <v/>
      </c>
      <c r="L261" s="5">
        <f>INDEX(products!$A$1:$G$49,MATCH(orders!$D261,products!$A$1:$A$49,0),MATCH(orders!L$1,products!$A$1:$G$1,0))</f>
        <v/>
      </c>
      <c r="M261" s="5">
        <f>L261*E261</f>
        <v/>
      </c>
      <c r="N261">
        <f>IF(I261="Rob","Robusta",IF(I261="Exc","Excelsa",IF(I261="Ara","Arabica",IF(I261="Lib","Liberica",""))))</f>
        <v/>
      </c>
      <c r="O261">
        <f>IF(J261="M","Medium",IF(J261="L","Light",IF(J261="D","Dark","")))</f>
        <v/>
      </c>
      <c r="P261">
        <f>_xlfn.XLOOKUP(Orders[[#This Row],[Customer ID]],customers!$A$1:$A$1001,customers!$I$1:$I$1001,,0)</f>
        <v/>
      </c>
    </row>
    <row r="262">
      <c r="A262" s="2" t="inlineStr">
        <is>
          <t>O3006</t>
        </is>
      </c>
      <c r="B262" s="3" t="inlineStr">
        <is>
          <t>2024-07-04</t>
        </is>
      </c>
      <c r="C262" s="2" t="inlineStr">
        <is>
          <t>O8636</t>
        </is>
      </c>
      <c r="D262" t="inlineStr">
        <is>
          <t>O3500</t>
        </is>
      </c>
      <c r="E262" s="2" t="n">
        <v>44</v>
      </c>
      <c r="F262" s="2">
        <f>_xlfn.XLOOKUP(C262,customers!$A$1:$A$1001,customers!$B$1:$B$1001,,0)</f>
        <v/>
      </c>
      <c r="G262" s="2">
        <f>IF(_xlfn.XLOOKUP(C262,customers!$A$1:$A$1001,customers!$C$1:$C$1001,,0)=0,"",_xlfn.XLOOKUP(C262,customers!$A$1:$A$1001,customers!$C$1:$C$1001,,0))</f>
        <v/>
      </c>
      <c r="H262" s="2">
        <f>_xlfn.XLOOKUP(C262,customers!$A$1:$A$1001,customers!$G$1:$G$1001,,0)</f>
        <v/>
      </c>
      <c r="I262">
        <f>INDEX(products!$A$1:$G$49,MATCH(orders!$D262,products!$A$1:$A$49,0),MATCH(orders!I$1,products!$A$1:$G$1,0))</f>
        <v/>
      </c>
      <c r="J262">
        <f>INDEX(products!$A$1:$G$49,MATCH(orders!$D262,products!$A$1:$A$49,0),MATCH(orders!J$1,products!$A$1:$G$1,0))</f>
        <v/>
      </c>
      <c r="K262" s="4">
        <f>INDEX(products!$A$1:$G$49,MATCH(orders!$D262,products!$A$1:$A$49,0),MATCH(orders!K$1,products!$A$1:$G$1,0))</f>
        <v/>
      </c>
      <c r="L262" s="5">
        <f>INDEX(products!$A$1:$G$49,MATCH(orders!$D262,products!$A$1:$A$49,0),MATCH(orders!L$1,products!$A$1:$G$1,0))</f>
        <v/>
      </c>
      <c r="M262" s="5">
        <f>L262*E262</f>
        <v/>
      </c>
      <c r="N262">
        <f>IF(I262="Rob","Robusta",IF(I262="Exc","Excelsa",IF(I262="Ara","Arabica",IF(I262="Lib","Liberica",""))))</f>
        <v/>
      </c>
      <c r="O262">
        <f>IF(J262="M","Medium",IF(J262="L","Light",IF(J262="D","Dark","")))</f>
        <v/>
      </c>
      <c r="P262">
        <f>_xlfn.XLOOKUP(Orders[[#This Row],[Customer ID]],customers!$A$1:$A$1001,customers!$I$1:$I$1001,,0)</f>
        <v/>
      </c>
    </row>
    <row r="263">
      <c r="A263" s="2" t="inlineStr">
        <is>
          <t>O3406</t>
        </is>
      </c>
      <c r="B263" s="3" t="inlineStr">
        <is>
          <t>2024-02-05</t>
        </is>
      </c>
      <c r="C263" s="2" t="inlineStr">
        <is>
          <t>O4114</t>
        </is>
      </c>
      <c r="D263" t="inlineStr">
        <is>
          <t>O9570</t>
        </is>
      </c>
      <c r="E263" s="2" t="n">
        <v>373</v>
      </c>
      <c r="F263" s="2">
        <f>_xlfn.XLOOKUP(C263,customers!$A$1:$A$1001,customers!$B$1:$B$1001,,0)</f>
        <v/>
      </c>
      <c r="G263" s="2">
        <f>IF(_xlfn.XLOOKUP(C263,customers!$A$1:$A$1001,customers!$C$1:$C$1001,,0)=0,"",_xlfn.XLOOKUP(C263,customers!$A$1:$A$1001,customers!$C$1:$C$1001,,0))</f>
        <v/>
      </c>
      <c r="H263" s="2">
        <f>_xlfn.XLOOKUP(C263,customers!$A$1:$A$1001,customers!$G$1:$G$1001,,0)</f>
        <v/>
      </c>
      <c r="I263">
        <f>INDEX(products!$A$1:$G$49,MATCH(orders!$D263,products!$A$1:$A$49,0),MATCH(orders!I$1,products!$A$1:$G$1,0))</f>
        <v/>
      </c>
      <c r="J263">
        <f>INDEX(products!$A$1:$G$49,MATCH(orders!$D263,products!$A$1:$A$49,0),MATCH(orders!J$1,products!$A$1:$G$1,0))</f>
        <v/>
      </c>
      <c r="K263" s="4">
        <f>INDEX(products!$A$1:$G$49,MATCH(orders!$D263,products!$A$1:$A$49,0),MATCH(orders!K$1,products!$A$1:$G$1,0))</f>
        <v/>
      </c>
      <c r="L263" s="5">
        <f>INDEX(products!$A$1:$G$49,MATCH(orders!$D263,products!$A$1:$A$49,0),MATCH(orders!L$1,products!$A$1:$G$1,0))</f>
        <v/>
      </c>
      <c r="M263" s="5">
        <f>L263*E263</f>
        <v/>
      </c>
      <c r="N263">
        <f>IF(I263="Rob","Robusta",IF(I263="Exc","Excelsa",IF(I263="Ara","Arabica",IF(I263="Lib","Liberica",""))))</f>
        <v/>
      </c>
      <c r="O263">
        <f>IF(J263="M","Medium",IF(J263="L","Light",IF(J263="D","Dark","")))</f>
        <v/>
      </c>
      <c r="P263">
        <f>_xlfn.XLOOKUP(Orders[[#This Row],[Customer ID]],customers!$A$1:$A$1001,customers!$I$1:$I$1001,,0)</f>
        <v/>
      </c>
    </row>
    <row r="264">
      <c r="A264" s="2" t="inlineStr">
        <is>
          <t>O6832</t>
        </is>
      </c>
      <c r="B264" s="3" t="inlineStr">
        <is>
          <t>2023-03-21</t>
        </is>
      </c>
      <c r="C264" s="2" t="inlineStr">
        <is>
          <t>O4260</t>
        </is>
      </c>
      <c r="D264" t="inlineStr">
        <is>
          <t>O7878</t>
        </is>
      </c>
      <c r="E264" s="2" t="n">
        <v>114</v>
      </c>
      <c r="F264" s="2">
        <f>_xlfn.XLOOKUP(C264,customers!$A$1:$A$1001,customers!$B$1:$B$1001,,0)</f>
        <v/>
      </c>
      <c r="G264" s="2">
        <f>IF(_xlfn.XLOOKUP(C264,customers!$A$1:$A$1001,customers!$C$1:$C$1001,,0)=0,"",_xlfn.XLOOKUP(C264,customers!$A$1:$A$1001,customers!$C$1:$C$1001,,0))</f>
        <v/>
      </c>
      <c r="H264" s="2">
        <f>_xlfn.XLOOKUP(C264,customers!$A$1:$A$1001,customers!$G$1:$G$1001,,0)</f>
        <v/>
      </c>
      <c r="I264">
        <f>INDEX(products!$A$1:$G$49,MATCH(orders!$D264,products!$A$1:$A$49,0),MATCH(orders!I$1,products!$A$1:$G$1,0))</f>
        <v/>
      </c>
      <c r="J264">
        <f>INDEX(products!$A$1:$G$49,MATCH(orders!$D264,products!$A$1:$A$49,0),MATCH(orders!J$1,products!$A$1:$G$1,0))</f>
        <v/>
      </c>
      <c r="K264" s="4">
        <f>INDEX(products!$A$1:$G$49,MATCH(orders!$D264,products!$A$1:$A$49,0),MATCH(orders!K$1,products!$A$1:$G$1,0))</f>
        <v/>
      </c>
      <c r="L264" s="5">
        <f>INDEX(products!$A$1:$G$49,MATCH(orders!$D264,products!$A$1:$A$49,0),MATCH(orders!L$1,products!$A$1:$G$1,0))</f>
        <v/>
      </c>
      <c r="M264" s="5">
        <f>L264*E264</f>
        <v/>
      </c>
      <c r="N264">
        <f>IF(I264="Rob","Robusta",IF(I264="Exc","Excelsa",IF(I264="Ara","Arabica",IF(I264="Lib","Liberica",""))))</f>
        <v/>
      </c>
      <c r="O264">
        <f>IF(J264="M","Medium",IF(J264="L","Light",IF(J264="D","Dark","")))</f>
        <v/>
      </c>
      <c r="P264">
        <f>_xlfn.XLOOKUP(Orders[[#This Row],[Customer ID]],customers!$A$1:$A$1001,customers!$I$1:$I$1001,,0)</f>
        <v/>
      </c>
    </row>
    <row r="265">
      <c r="A265" s="2" t="inlineStr">
        <is>
          <t>O7499</t>
        </is>
      </c>
      <c r="B265" s="3" t="inlineStr">
        <is>
          <t>2021-11-13</t>
        </is>
      </c>
      <c r="C265" s="2" t="inlineStr">
        <is>
          <t>O8855</t>
        </is>
      </c>
      <c r="D265" t="inlineStr">
        <is>
          <t>O3291</t>
        </is>
      </c>
      <c r="E265" s="2" t="n">
        <v>172</v>
      </c>
      <c r="F265" s="2">
        <f>_xlfn.XLOOKUP(C265,customers!$A$1:$A$1001,customers!$B$1:$B$1001,,0)</f>
        <v/>
      </c>
      <c r="G265" s="2">
        <f>IF(_xlfn.XLOOKUP(C265,customers!$A$1:$A$1001,customers!$C$1:$C$1001,,0)=0,"",_xlfn.XLOOKUP(C265,customers!$A$1:$A$1001,customers!$C$1:$C$1001,,0))</f>
        <v/>
      </c>
      <c r="H265" s="2">
        <f>_xlfn.XLOOKUP(C265,customers!$A$1:$A$1001,customers!$G$1:$G$1001,,0)</f>
        <v/>
      </c>
      <c r="I265">
        <f>INDEX(products!$A$1:$G$49,MATCH(orders!$D265,products!$A$1:$A$49,0),MATCH(orders!I$1,products!$A$1:$G$1,0))</f>
        <v/>
      </c>
      <c r="J265">
        <f>INDEX(products!$A$1:$G$49,MATCH(orders!$D265,products!$A$1:$A$49,0),MATCH(orders!J$1,products!$A$1:$G$1,0))</f>
        <v/>
      </c>
      <c r="K265" s="4">
        <f>INDEX(products!$A$1:$G$49,MATCH(orders!$D265,products!$A$1:$A$49,0),MATCH(orders!K$1,products!$A$1:$G$1,0))</f>
        <v/>
      </c>
      <c r="L265" s="5">
        <f>INDEX(products!$A$1:$G$49,MATCH(orders!$D265,products!$A$1:$A$49,0),MATCH(orders!L$1,products!$A$1:$G$1,0))</f>
        <v/>
      </c>
      <c r="M265" s="5">
        <f>L265*E265</f>
        <v/>
      </c>
      <c r="N265">
        <f>IF(I265="Rob","Robusta",IF(I265="Exc","Excelsa",IF(I265="Ara","Arabica",IF(I265="Lib","Liberica",""))))</f>
        <v/>
      </c>
      <c r="O265">
        <f>IF(J265="M","Medium",IF(J265="L","Light",IF(J265="D","Dark","")))</f>
        <v/>
      </c>
      <c r="P265">
        <f>_xlfn.XLOOKUP(Orders[[#This Row],[Customer ID]],customers!$A$1:$A$1001,customers!$I$1:$I$1001,,0)</f>
        <v/>
      </c>
    </row>
    <row r="266">
      <c r="A266" s="2" t="inlineStr">
        <is>
          <t>O7402</t>
        </is>
      </c>
      <c r="B266" s="3" t="inlineStr">
        <is>
          <t>2023-05-07</t>
        </is>
      </c>
      <c r="C266" s="2" t="inlineStr">
        <is>
          <t>O2843</t>
        </is>
      </c>
      <c r="D266" t="inlineStr">
        <is>
          <t>O7479</t>
        </is>
      </c>
      <c r="E266" s="2" t="n">
        <v>224</v>
      </c>
      <c r="F266" s="2">
        <f>_xlfn.XLOOKUP(C266,customers!$A$1:$A$1001,customers!$B$1:$B$1001,,0)</f>
        <v/>
      </c>
      <c r="G266" s="2">
        <f>IF(_xlfn.XLOOKUP(C266,customers!$A$1:$A$1001,customers!$C$1:$C$1001,,0)=0,"",_xlfn.XLOOKUP(C266,customers!$A$1:$A$1001,customers!$C$1:$C$1001,,0))</f>
        <v/>
      </c>
      <c r="H266" s="2">
        <f>_xlfn.XLOOKUP(C266,customers!$A$1:$A$1001,customers!$G$1:$G$1001,,0)</f>
        <v/>
      </c>
      <c r="I266">
        <f>INDEX(products!$A$1:$G$49,MATCH(orders!$D266,products!$A$1:$A$49,0),MATCH(orders!I$1,products!$A$1:$G$1,0))</f>
        <v/>
      </c>
      <c r="J266">
        <f>INDEX(products!$A$1:$G$49,MATCH(orders!$D266,products!$A$1:$A$49,0),MATCH(orders!J$1,products!$A$1:$G$1,0))</f>
        <v/>
      </c>
      <c r="K266" s="4">
        <f>INDEX(products!$A$1:$G$49,MATCH(orders!$D266,products!$A$1:$A$49,0),MATCH(orders!K$1,products!$A$1:$G$1,0))</f>
        <v/>
      </c>
      <c r="L266" s="5">
        <f>INDEX(products!$A$1:$G$49,MATCH(orders!$D266,products!$A$1:$A$49,0),MATCH(orders!L$1,products!$A$1:$G$1,0))</f>
        <v/>
      </c>
      <c r="M266" s="5">
        <f>L266*E266</f>
        <v/>
      </c>
      <c r="N266">
        <f>IF(I266="Rob","Robusta",IF(I266="Exc","Excelsa",IF(I266="Ara","Arabica",IF(I266="Lib","Liberica",""))))</f>
        <v/>
      </c>
      <c r="O266">
        <f>IF(J266="M","Medium",IF(J266="L","Light",IF(J266="D","Dark","")))</f>
        <v/>
      </c>
      <c r="P266">
        <f>_xlfn.XLOOKUP(Orders[[#This Row],[Customer ID]],customers!$A$1:$A$1001,customers!$I$1:$I$1001,,0)</f>
        <v/>
      </c>
    </row>
    <row r="267">
      <c r="A267" s="2" t="inlineStr">
        <is>
          <t>O5749</t>
        </is>
      </c>
      <c r="B267" s="3" t="inlineStr">
        <is>
          <t>2021-05-23</t>
        </is>
      </c>
      <c r="C267" s="2" t="inlineStr">
        <is>
          <t>O1121</t>
        </is>
      </c>
      <c r="D267" t="inlineStr">
        <is>
          <t>O1224</t>
        </is>
      </c>
      <c r="E267" s="2" t="n">
        <v>237</v>
      </c>
      <c r="F267" s="2">
        <f>_xlfn.XLOOKUP(C267,customers!$A$1:$A$1001,customers!$B$1:$B$1001,,0)</f>
        <v/>
      </c>
      <c r="G267" s="2">
        <f>IF(_xlfn.XLOOKUP(C267,customers!$A$1:$A$1001,customers!$C$1:$C$1001,,0)=0,"",_xlfn.XLOOKUP(C267,customers!$A$1:$A$1001,customers!$C$1:$C$1001,,0))</f>
        <v/>
      </c>
      <c r="H267" s="2">
        <f>_xlfn.XLOOKUP(C267,customers!$A$1:$A$1001,customers!$G$1:$G$1001,,0)</f>
        <v/>
      </c>
      <c r="I267">
        <f>INDEX(products!$A$1:$G$49,MATCH(orders!$D267,products!$A$1:$A$49,0),MATCH(orders!I$1,products!$A$1:$G$1,0))</f>
        <v/>
      </c>
      <c r="J267">
        <f>INDEX(products!$A$1:$G$49,MATCH(orders!$D267,products!$A$1:$A$49,0),MATCH(orders!J$1,products!$A$1:$G$1,0))</f>
        <v/>
      </c>
      <c r="K267" s="4">
        <f>INDEX(products!$A$1:$G$49,MATCH(orders!$D267,products!$A$1:$A$49,0),MATCH(orders!K$1,products!$A$1:$G$1,0))</f>
        <v/>
      </c>
      <c r="L267" s="5">
        <f>INDEX(products!$A$1:$G$49,MATCH(orders!$D267,products!$A$1:$A$49,0),MATCH(orders!L$1,products!$A$1:$G$1,0))</f>
        <v/>
      </c>
      <c r="M267" s="5">
        <f>L267*E267</f>
        <v/>
      </c>
      <c r="N267">
        <f>IF(I267="Rob","Robusta",IF(I267="Exc","Excelsa",IF(I267="Ara","Arabica",IF(I267="Lib","Liberica",""))))</f>
        <v/>
      </c>
      <c r="O267">
        <f>IF(J267="M","Medium",IF(J267="L","Light",IF(J267="D","Dark","")))</f>
        <v/>
      </c>
      <c r="P267">
        <f>_xlfn.XLOOKUP(Orders[[#This Row],[Customer ID]],customers!$A$1:$A$1001,customers!$I$1:$I$1001,,0)</f>
        <v/>
      </c>
    </row>
    <row r="268">
      <c r="A268" s="2" t="inlineStr">
        <is>
          <t>O4774</t>
        </is>
      </c>
      <c r="B268" s="3" t="inlineStr">
        <is>
          <t>2023-12-17</t>
        </is>
      </c>
      <c r="C268" s="2" t="inlineStr">
        <is>
          <t>O9980</t>
        </is>
      </c>
      <c r="D268" t="inlineStr">
        <is>
          <t>O6070</t>
        </is>
      </c>
      <c r="E268" s="2" t="n">
        <v>251</v>
      </c>
      <c r="F268" s="2">
        <f>_xlfn.XLOOKUP(C268,customers!$A$1:$A$1001,customers!$B$1:$B$1001,,0)</f>
        <v/>
      </c>
      <c r="G268" s="2">
        <f>IF(_xlfn.XLOOKUP(C268,customers!$A$1:$A$1001,customers!$C$1:$C$1001,,0)=0,"",_xlfn.XLOOKUP(C268,customers!$A$1:$A$1001,customers!$C$1:$C$1001,,0))</f>
        <v/>
      </c>
      <c r="H268" s="2">
        <f>_xlfn.XLOOKUP(C268,customers!$A$1:$A$1001,customers!$G$1:$G$1001,,0)</f>
        <v/>
      </c>
      <c r="I268">
        <f>INDEX(products!$A$1:$G$49,MATCH(orders!$D268,products!$A$1:$A$49,0),MATCH(orders!I$1,products!$A$1:$G$1,0))</f>
        <v/>
      </c>
      <c r="J268">
        <f>INDEX(products!$A$1:$G$49,MATCH(orders!$D268,products!$A$1:$A$49,0),MATCH(orders!J$1,products!$A$1:$G$1,0))</f>
        <v/>
      </c>
      <c r="K268" s="4">
        <f>INDEX(products!$A$1:$G$49,MATCH(orders!$D268,products!$A$1:$A$49,0),MATCH(orders!K$1,products!$A$1:$G$1,0))</f>
        <v/>
      </c>
      <c r="L268" s="5">
        <f>INDEX(products!$A$1:$G$49,MATCH(orders!$D268,products!$A$1:$A$49,0),MATCH(orders!L$1,products!$A$1:$G$1,0))</f>
        <v/>
      </c>
      <c r="M268" s="5">
        <f>L268*E268</f>
        <v/>
      </c>
      <c r="N268">
        <f>IF(I268="Rob","Robusta",IF(I268="Exc","Excelsa",IF(I268="Ara","Arabica",IF(I268="Lib","Liberica",""))))</f>
        <v/>
      </c>
      <c r="O268">
        <f>IF(J268="M","Medium",IF(J268="L","Light",IF(J268="D","Dark","")))</f>
        <v/>
      </c>
      <c r="P268">
        <f>_xlfn.XLOOKUP(Orders[[#This Row],[Customer ID]],customers!$A$1:$A$1001,customers!$I$1:$I$1001,,0)</f>
        <v/>
      </c>
    </row>
    <row r="269">
      <c r="A269" s="2" t="inlineStr">
        <is>
          <t>O2035</t>
        </is>
      </c>
      <c r="B269" s="3" t="inlineStr">
        <is>
          <t>2020-04-28</t>
        </is>
      </c>
      <c r="C269" s="2" t="inlineStr">
        <is>
          <t>O5565</t>
        </is>
      </c>
      <c r="D269" t="inlineStr">
        <is>
          <t>O6265</t>
        </is>
      </c>
      <c r="E269" s="2" t="n">
        <v>305</v>
      </c>
      <c r="F269" s="2">
        <f>_xlfn.XLOOKUP(C269,customers!$A$1:$A$1001,customers!$B$1:$B$1001,,0)</f>
        <v/>
      </c>
      <c r="G269" s="2">
        <f>IF(_xlfn.XLOOKUP(C269,customers!$A$1:$A$1001,customers!$C$1:$C$1001,,0)=0,"",_xlfn.XLOOKUP(C269,customers!$A$1:$A$1001,customers!$C$1:$C$1001,,0))</f>
        <v/>
      </c>
      <c r="H269" s="2">
        <f>_xlfn.XLOOKUP(C269,customers!$A$1:$A$1001,customers!$G$1:$G$1001,,0)</f>
        <v/>
      </c>
      <c r="I269">
        <f>INDEX(products!$A$1:$G$49,MATCH(orders!$D269,products!$A$1:$A$49,0),MATCH(orders!I$1,products!$A$1:$G$1,0))</f>
        <v/>
      </c>
      <c r="J269">
        <f>INDEX(products!$A$1:$G$49,MATCH(orders!$D269,products!$A$1:$A$49,0),MATCH(orders!J$1,products!$A$1:$G$1,0))</f>
        <v/>
      </c>
      <c r="K269" s="4">
        <f>INDEX(products!$A$1:$G$49,MATCH(orders!$D269,products!$A$1:$A$49,0),MATCH(orders!K$1,products!$A$1:$G$1,0))</f>
        <v/>
      </c>
      <c r="L269" s="5">
        <f>INDEX(products!$A$1:$G$49,MATCH(orders!$D269,products!$A$1:$A$49,0),MATCH(orders!L$1,products!$A$1:$G$1,0))</f>
        <v/>
      </c>
      <c r="M269" s="5">
        <f>L269*E269</f>
        <v/>
      </c>
      <c r="N269">
        <f>IF(I269="Rob","Robusta",IF(I269="Exc","Excelsa",IF(I269="Ara","Arabica",IF(I269="Lib","Liberica",""))))</f>
        <v/>
      </c>
      <c r="O269">
        <f>IF(J269="M","Medium",IF(J269="L","Light",IF(J269="D","Dark","")))</f>
        <v/>
      </c>
      <c r="P269">
        <f>_xlfn.XLOOKUP(Orders[[#This Row],[Customer ID]],customers!$A$1:$A$1001,customers!$I$1:$I$1001,,0)</f>
        <v/>
      </c>
    </row>
    <row r="270">
      <c r="A270" s="2" t="inlineStr">
        <is>
          <t>O2057</t>
        </is>
      </c>
      <c r="B270" s="3" t="inlineStr">
        <is>
          <t>2022-02-07</t>
        </is>
      </c>
      <c r="C270" s="2" t="inlineStr">
        <is>
          <t>O4876</t>
        </is>
      </c>
      <c r="D270" t="inlineStr">
        <is>
          <t>O2888</t>
        </is>
      </c>
      <c r="E270" s="2" t="n">
        <v>258</v>
      </c>
      <c r="F270" s="2">
        <f>_xlfn.XLOOKUP(C270,customers!$A$1:$A$1001,customers!$B$1:$B$1001,,0)</f>
        <v/>
      </c>
      <c r="G270" s="2">
        <f>IF(_xlfn.XLOOKUP(C270,customers!$A$1:$A$1001,customers!$C$1:$C$1001,,0)=0,"",_xlfn.XLOOKUP(C270,customers!$A$1:$A$1001,customers!$C$1:$C$1001,,0))</f>
        <v/>
      </c>
      <c r="H270" s="2">
        <f>_xlfn.XLOOKUP(C270,customers!$A$1:$A$1001,customers!$G$1:$G$1001,,0)</f>
        <v/>
      </c>
      <c r="I270">
        <f>INDEX(products!$A$1:$G$49,MATCH(orders!$D270,products!$A$1:$A$49,0),MATCH(orders!I$1,products!$A$1:$G$1,0))</f>
        <v/>
      </c>
      <c r="J270">
        <f>INDEX(products!$A$1:$G$49,MATCH(orders!$D270,products!$A$1:$A$49,0),MATCH(orders!J$1,products!$A$1:$G$1,0))</f>
        <v/>
      </c>
      <c r="K270" s="4">
        <f>INDEX(products!$A$1:$G$49,MATCH(orders!$D270,products!$A$1:$A$49,0),MATCH(orders!K$1,products!$A$1:$G$1,0))</f>
        <v/>
      </c>
      <c r="L270" s="5">
        <f>INDEX(products!$A$1:$G$49,MATCH(orders!$D270,products!$A$1:$A$49,0),MATCH(orders!L$1,products!$A$1:$G$1,0))</f>
        <v/>
      </c>
      <c r="M270" s="5">
        <f>L270*E270</f>
        <v/>
      </c>
      <c r="N270">
        <f>IF(I270="Rob","Robusta",IF(I270="Exc","Excelsa",IF(I270="Ara","Arabica",IF(I270="Lib","Liberica",""))))</f>
        <v/>
      </c>
      <c r="O270">
        <f>IF(J270="M","Medium",IF(J270="L","Light",IF(J270="D","Dark","")))</f>
        <v/>
      </c>
      <c r="P270">
        <f>_xlfn.XLOOKUP(Orders[[#This Row],[Customer ID]],customers!$A$1:$A$1001,customers!$I$1:$I$1001,,0)</f>
        <v/>
      </c>
    </row>
    <row r="271">
      <c r="A271" s="2" t="inlineStr">
        <is>
          <t>O3408</t>
        </is>
      </c>
      <c r="B271" s="3" t="inlineStr">
        <is>
          <t>2025-07-15</t>
        </is>
      </c>
      <c r="C271" s="2" t="inlineStr">
        <is>
          <t>O2817</t>
        </is>
      </c>
      <c r="D271" t="inlineStr">
        <is>
          <t>O5506</t>
        </is>
      </c>
      <c r="E271" s="2" t="n">
        <v>208</v>
      </c>
      <c r="F271" s="2">
        <f>_xlfn.XLOOKUP(C271,customers!$A$1:$A$1001,customers!$B$1:$B$1001,,0)</f>
        <v/>
      </c>
      <c r="G271" s="2">
        <f>IF(_xlfn.XLOOKUP(C271,customers!$A$1:$A$1001,customers!$C$1:$C$1001,,0)=0,"",_xlfn.XLOOKUP(C271,customers!$A$1:$A$1001,customers!$C$1:$C$1001,,0))</f>
        <v/>
      </c>
      <c r="H271" s="2">
        <f>_xlfn.XLOOKUP(C271,customers!$A$1:$A$1001,customers!$G$1:$G$1001,,0)</f>
        <v/>
      </c>
      <c r="I271">
        <f>INDEX(products!$A$1:$G$49,MATCH(orders!$D271,products!$A$1:$A$49,0),MATCH(orders!I$1,products!$A$1:$G$1,0))</f>
        <v/>
      </c>
      <c r="J271">
        <f>INDEX(products!$A$1:$G$49,MATCH(orders!$D271,products!$A$1:$A$49,0),MATCH(orders!J$1,products!$A$1:$G$1,0))</f>
        <v/>
      </c>
      <c r="K271" s="4">
        <f>INDEX(products!$A$1:$G$49,MATCH(orders!$D271,products!$A$1:$A$49,0),MATCH(orders!K$1,products!$A$1:$G$1,0))</f>
        <v/>
      </c>
      <c r="L271" s="5">
        <f>INDEX(products!$A$1:$G$49,MATCH(orders!$D271,products!$A$1:$A$49,0),MATCH(orders!L$1,products!$A$1:$G$1,0))</f>
        <v/>
      </c>
      <c r="M271" s="5">
        <f>L271*E271</f>
        <v/>
      </c>
      <c r="N271">
        <f>IF(I271="Rob","Robusta",IF(I271="Exc","Excelsa",IF(I271="Ara","Arabica",IF(I271="Lib","Liberica",""))))</f>
        <v/>
      </c>
      <c r="O271">
        <f>IF(J271="M","Medium",IF(J271="L","Light",IF(J271="D","Dark","")))</f>
        <v/>
      </c>
      <c r="P271">
        <f>_xlfn.XLOOKUP(Orders[[#This Row],[Customer ID]],customers!$A$1:$A$1001,customers!$I$1:$I$1001,,0)</f>
        <v/>
      </c>
    </row>
    <row r="272">
      <c r="A272" s="2" t="inlineStr">
        <is>
          <t>O3841</t>
        </is>
      </c>
      <c r="B272" s="3" t="inlineStr">
        <is>
          <t>2022-08-13</t>
        </is>
      </c>
      <c r="C272" s="2" t="inlineStr">
        <is>
          <t>O2581</t>
        </is>
      </c>
      <c r="D272" t="inlineStr">
        <is>
          <t>O9626</t>
        </is>
      </c>
      <c r="E272" s="2" t="n">
        <v>72</v>
      </c>
      <c r="F272" s="2">
        <f>_xlfn.XLOOKUP(C272,customers!$A$1:$A$1001,customers!$B$1:$B$1001,,0)</f>
        <v/>
      </c>
      <c r="G272" s="2">
        <f>IF(_xlfn.XLOOKUP(C272,customers!$A$1:$A$1001,customers!$C$1:$C$1001,,0)=0,"",_xlfn.XLOOKUP(C272,customers!$A$1:$A$1001,customers!$C$1:$C$1001,,0))</f>
        <v/>
      </c>
      <c r="H272" s="2">
        <f>_xlfn.XLOOKUP(C272,customers!$A$1:$A$1001,customers!$G$1:$G$1001,,0)</f>
        <v/>
      </c>
      <c r="I272">
        <f>INDEX(products!$A$1:$G$49,MATCH(orders!$D272,products!$A$1:$A$49,0),MATCH(orders!I$1,products!$A$1:$G$1,0))</f>
        <v/>
      </c>
      <c r="J272">
        <f>INDEX(products!$A$1:$G$49,MATCH(orders!$D272,products!$A$1:$A$49,0),MATCH(orders!J$1,products!$A$1:$G$1,0))</f>
        <v/>
      </c>
      <c r="K272" s="4">
        <f>INDEX(products!$A$1:$G$49,MATCH(orders!$D272,products!$A$1:$A$49,0),MATCH(orders!K$1,products!$A$1:$G$1,0))</f>
        <v/>
      </c>
      <c r="L272" s="5">
        <f>INDEX(products!$A$1:$G$49,MATCH(orders!$D272,products!$A$1:$A$49,0),MATCH(orders!L$1,products!$A$1:$G$1,0))</f>
        <v/>
      </c>
      <c r="M272" s="5">
        <f>L272*E272</f>
        <v/>
      </c>
      <c r="N272">
        <f>IF(I272="Rob","Robusta",IF(I272="Exc","Excelsa",IF(I272="Ara","Arabica",IF(I272="Lib","Liberica",""))))</f>
        <v/>
      </c>
      <c r="O272">
        <f>IF(J272="M","Medium",IF(J272="L","Light",IF(J272="D","Dark","")))</f>
        <v/>
      </c>
      <c r="P272">
        <f>_xlfn.XLOOKUP(Orders[[#This Row],[Customer ID]],customers!$A$1:$A$1001,customers!$I$1:$I$1001,,0)</f>
        <v/>
      </c>
    </row>
    <row r="273">
      <c r="A273" s="2" t="inlineStr">
        <is>
          <t>O6789</t>
        </is>
      </c>
      <c r="B273" s="3" t="inlineStr">
        <is>
          <t>2022-04-18</t>
        </is>
      </c>
      <c r="C273" s="2" t="inlineStr">
        <is>
          <t>O6631</t>
        </is>
      </c>
      <c r="D273" t="inlineStr">
        <is>
          <t>O3457</t>
        </is>
      </c>
      <c r="E273" s="2" t="n">
        <v>382</v>
      </c>
      <c r="F273" s="2">
        <f>_xlfn.XLOOKUP(C273,customers!$A$1:$A$1001,customers!$B$1:$B$1001,,0)</f>
        <v/>
      </c>
      <c r="G273" s="2">
        <f>IF(_xlfn.XLOOKUP(C273,customers!$A$1:$A$1001,customers!$C$1:$C$1001,,0)=0,"",_xlfn.XLOOKUP(C273,customers!$A$1:$A$1001,customers!$C$1:$C$1001,,0))</f>
        <v/>
      </c>
      <c r="H273" s="2">
        <f>_xlfn.XLOOKUP(C273,customers!$A$1:$A$1001,customers!$G$1:$G$1001,,0)</f>
        <v/>
      </c>
      <c r="I273">
        <f>INDEX(products!$A$1:$G$49,MATCH(orders!$D273,products!$A$1:$A$49,0),MATCH(orders!I$1,products!$A$1:$G$1,0))</f>
        <v/>
      </c>
      <c r="J273">
        <f>INDEX(products!$A$1:$G$49,MATCH(orders!$D273,products!$A$1:$A$49,0),MATCH(orders!J$1,products!$A$1:$G$1,0))</f>
        <v/>
      </c>
      <c r="K273" s="4">
        <f>INDEX(products!$A$1:$G$49,MATCH(orders!$D273,products!$A$1:$A$49,0),MATCH(orders!K$1,products!$A$1:$G$1,0))</f>
        <v/>
      </c>
      <c r="L273" s="5">
        <f>INDEX(products!$A$1:$G$49,MATCH(orders!$D273,products!$A$1:$A$49,0),MATCH(orders!L$1,products!$A$1:$G$1,0))</f>
        <v/>
      </c>
      <c r="M273" s="5">
        <f>L273*E273</f>
        <v/>
      </c>
      <c r="N273">
        <f>IF(I273="Rob","Robusta",IF(I273="Exc","Excelsa",IF(I273="Ara","Arabica",IF(I273="Lib","Liberica",""))))</f>
        <v/>
      </c>
      <c r="O273">
        <f>IF(J273="M","Medium",IF(J273="L","Light",IF(J273="D","Dark","")))</f>
        <v/>
      </c>
      <c r="P273">
        <f>_xlfn.XLOOKUP(Orders[[#This Row],[Customer ID]],customers!$A$1:$A$1001,customers!$I$1:$I$1001,,0)</f>
        <v/>
      </c>
    </row>
    <row r="274">
      <c r="A274" s="2" t="inlineStr">
        <is>
          <t>O4594</t>
        </is>
      </c>
      <c r="B274" s="3" t="inlineStr">
        <is>
          <t>2021-11-27</t>
        </is>
      </c>
      <c r="C274" s="2" t="inlineStr">
        <is>
          <t>O4035</t>
        </is>
      </c>
      <c r="D274" t="inlineStr">
        <is>
          <t>O1228</t>
        </is>
      </c>
      <c r="E274" s="2" t="n">
        <v>214</v>
      </c>
      <c r="F274" s="2">
        <f>_xlfn.XLOOKUP(C274,customers!$A$1:$A$1001,customers!$B$1:$B$1001,,0)</f>
        <v/>
      </c>
      <c r="G274" s="2">
        <f>IF(_xlfn.XLOOKUP(C274,customers!$A$1:$A$1001,customers!$C$1:$C$1001,,0)=0,"",_xlfn.XLOOKUP(C274,customers!$A$1:$A$1001,customers!$C$1:$C$1001,,0))</f>
        <v/>
      </c>
      <c r="H274" s="2">
        <f>_xlfn.XLOOKUP(C274,customers!$A$1:$A$1001,customers!$G$1:$G$1001,,0)</f>
        <v/>
      </c>
      <c r="I274">
        <f>INDEX(products!$A$1:$G$49,MATCH(orders!$D274,products!$A$1:$A$49,0),MATCH(orders!I$1,products!$A$1:$G$1,0))</f>
        <v/>
      </c>
      <c r="J274">
        <f>INDEX(products!$A$1:$G$49,MATCH(orders!$D274,products!$A$1:$A$49,0),MATCH(orders!J$1,products!$A$1:$G$1,0))</f>
        <v/>
      </c>
      <c r="K274" s="4">
        <f>INDEX(products!$A$1:$G$49,MATCH(orders!$D274,products!$A$1:$A$49,0),MATCH(orders!K$1,products!$A$1:$G$1,0))</f>
        <v/>
      </c>
      <c r="L274" s="5">
        <f>INDEX(products!$A$1:$G$49,MATCH(orders!$D274,products!$A$1:$A$49,0),MATCH(orders!L$1,products!$A$1:$G$1,0))</f>
        <v/>
      </c>
      <c r="M274" s="5">
        <f>L274*E274</f>
        <v/>
      </c>
      <c r="N274">
        <f>IF(I274="Rob","Robusta",IF(I274="Exc","Excelsa",IF(I274="Ara","Arabica",IF(I274="Lib","Liberica",""))))</f>
        <v/>
      </c>
      <c r="O274">
        <f>IF(J274="M","Medium",IF(J274="L","Light",IF(J274="D","Dark","")))</f>
        <v/>
      </c>
      <c r="P274">
        <f>_xlfn.XLOOKUP(Orders[[#This Row],[Customer ID]],customers!$A$1:$A$1001,customers!$I$1:$I$1001,,0)</f>
        <v/>
      </c>
    </row>
    <row r="275">
      <c r="A275" s="2" t="inlineStr">
        <is>
          <t>O3035</t>
        </is>
      </c>
      <c r="B275" s="3" t="inlineStr">
        <is>
          <t>2024-08-31</t>
        </is>
      </c>
      <c r="C275" s="2" t="inlineStr">
        <is>
          <t>O5891</t>
        </is>
      </c>
      <c r="D275" t="inlineStr">
        <is>
          <t>O1089</t>
        </is>
      </c>
      <c r="E275" s="2" t="n">
        <v>20</v>
      </c>
      <c r="F275" s="2">
        <f>_xlfn.XLOOKUP(C275,customers!$A$1:$A$1001,customers!$B$1:$B$1001,,0)</f>
        <v/>
      </c>
      <c r="G275" s="2">
        <f>IF(_xlfn.XLOOKUP(C275,customers!$A$1:$A$1001,customers!$C$1:$C$1001,,0)=0,"",_xlfn.XLOOKUP(C275,customers!$A$1:$A$1001,customers!$C$1:$C$1001,,0))</f>
        <v/>
      </c>
      <c r="H275" s="2">
        <f>_xlfn.XLOOKUP(C275,customers!$A$1:$A$1001,customers!$G$1:$G$1001,,0)</f>
        <v/>
      </c>
      <c r="I275">
        <f>INDEX(products!$A$1:$G$49,MATCH(orders!$D275,products!$A$1:$A$49,0),MATCH(orders!I$1,products!$A$1:$G$1,0))</f>
        <v/>
      </c>
      <c r="J275">
        <f>INDEX(products!$A$1:$G$49,MATCH(orders!$D275,products!$A$1:$A$49,0),MATCH(orders!J$1,products!$A$1:$G$1,0))</f>
        <v/>
      </c>
      <c r="K275" s="4">
        <f>INDEX(products!$A$1:$G$49,MATCH(orders!$D275,products!$A$1:$A$49,0),MATCH(orders!K$1,products!$A$1:$G$1,0))</f>
        <v/>
      </c>
      <c r="L275" s="5">
        <f>INDEX(products!$A$1:$G$49,MATCH(orders!$D275,products!$A$1:$A$49,0),MATCH(orders!L$1,products!$A$1:$G$1,0))</f>
        <v/>
      </c>
      <c r="M275" s="5">
        <f>L275*E275</f>
        <v/>
      </c>
      <c r="N275">
        <f>IF(I275="Rob","Robusta",IF(I275="Exc","Excelsa",IF(I275="Ara","Arabica",IF(I275="Lib","Liberica",""))))</f>
        <v/>
      </c>
      <c r="O275">
        <f>IF(J275="M","Medium",IF(J275="L","Light",IF(J275="D","Dark","")))</f>
        <v/>
      </c>
      <c r="P275">
        <f>_xlfn.XLOOKUP(Orders[[#This Row],[Customer ID]],customers!$A$1:$A$1001,customers!$I$1:$I$1001,,0)</f>
        <v/>
      </c>
    </row>
    <row r="276">
      <c r="A276" s="2" t="inlineStr">
        <is>
          <t>O3331</t>
        </is>
      </c>
      <c r="B276" s="3" t="inlineStr">
        <is>
          <t>2025-06-06</t>
        </is>
      </c>
      <c r="C276" s="2" t="inlineStr">
        <is>
          <t>O3234</t>
        </is>
      </c>
      <c r="D276" t="inlineStr">
        <is>
          <t>O9650</t>
        </is>
      </c>
      <c r="E276" s="2" t="n">
        <v>275</v>
      </c>
      <c r="F276" s="2">
        <f>_xlfn.XLOOKUP(C276,customers!$A$1:$A$1001,customers!$B$1:$B$1001,,0)</f>
        <v/>
      </c>
      <c r="G276" s="2">
        <f>IF(_xlfn.XLOOKUP(C276,customers!$A$1:$A$1001,customers!$C$1:$C$1001,,0)=0,"",_xlfn.XLOOKUP(C276,customers!$A$1:$A$1001,customers!$C$1:$C$1001,,0))</f>
        <v/>
      </c>
      <c r="H276" s="2">
        <f>_xlfn.XLOOKUP(C276,customers!$A$1:$A$1001,customers!$G$1:$G$1001,,0)</f>
        <v/>
      </c>
      <c r="I276">
        <f>INDEX(products!$A$1:$G$49,MATCH(orders!$D276,products!$A$1:$A$49,0),MATCH(orders!I$1,products!$A$1:$G$1,0))</f>
        <v/>
      </c>
      <c r="J276">
        <f>INDEX(products!$A$1:$G$49,MATCH(orders!$D276,products!$A$1:$A$49,0),MATCH(orders!J$1,products!$A$1:$G$1,0))</f>
        <v/>
      </c>
      <c r="K276" s="4">
        <f>INDEX(products!$A$1:$G$49,MATCH(orders!$D276,products!$A$1:$A$49,0),MATCH(orders!K$1,products!$A$1:$G$1,0))</f>
        <v/>
      </c>
      <c r="L276" s="5">
        <f>INDEX(products!$A$1:$G$49,MATCH(orders!$D276,products!$A$1:$A$49,0),MATCH(orders!L$1,products!$A$1:$G$1,0))</f>
        <v/>
      </c>
      <c r="M276" s="5">
        <f>L276*E276</f>
        <v/>
      </c>
      <c r="N276">
        <f>IF(I276="Rob","Robusta",IF(I276="Exc","Excelsa",IF(I276="Ara","Arabica",IF(I276="Lib","Liberica",""))))</f>
        <v/>
      </c>
      <c r="O276">
        <f>IF(J276="M","Medium",IF(J276="L","Light",IF(J276="D","Dark","")))</f>
        <v/>
      </c>
      <c r="P276">
        <f>_xlfn.XLOOKUP(Orders[[#This Row],[Customer ID]],customers!$A$1:$A$1001,customers!$I$1:$I$1001,,0)</f>
        <v/>
      </c>
    </row>
    <row r="277">
      <c r="A277" s="2" t="inlineStr">
        <is>
          <t>O8151</t>
        </is>
      </c>
      <c r="B277" s="3" t="inlineStr">
        <is>
          <t>2021-01-20</t>
        </is>
      </c>
      <c r="C277" s="2" t="inlineStr">
        <is>
          <t>O2952</t>
        </is>
      </c>
      <c r="D277" t="inlineStr">
        <is>
          <t>O9063</t>
        </is>
      </c>
      <c r="E277" s="2" t="n">
        <v>189</v>
      </c>
      <c r="F277" s="2">
        <f>_xlfn.XLOOKUP(C277,customers!$A$1:$A$1001,customers!$B$1:$B$1001,,0)</f>
        <v/>
      </c>
      <c r="G277" s="2">
        <f>IF(_xlfn.XLOOKUP(C277,customers!$A$1:$A$1001,customers!$C$1:$C$1001,,0)=0,"",_xlfn.XLOOKUP(C277,customers!$A$1:$A$1001,customers!$C$1:$C$1001,,0))</f>
        <v/>
      </c>
      <c r="H277" s="2">
        <f>_xlfn.XLOOKUP(C277,customers!$A$1:$A$1001,customers!$G$1:$G$1001,,0)</f>
        <v/>
      </c>
      <c r="I277">
        <f>INDEX(products!$A$1:$G$49,MATCH(orders!$D277,products!$A$1:$A$49,0),MATCH(orders!I$1,products!$A$1:$G$1,0))</f>
        <v/>
      </c>
      <c r="J277">
        <f>INDEX(products!$A$1:$G$49,MATCH(orders!$D277,products!$A$1:$A$49,0),MATCH(orders!J$1,products!$A$1:$G$1,0))</f>
        <v/>
      </c>
      <c r="K277" s="4">
        <f>INDEX(products!$A$1:$G$49,MATCH(orders!$D277,products!$A$1:$A$49,0),MATCH(orders!K$1,products!$A$1:$G$1,0))</f>
        <v/>
      </c>
      <c r="L277" s="5">
        <f>INDEX(products!$A$1:$G$49,MATCH(orders!$D277,products!$A$1:$A$49,0),MATCH(orders!L$1,products!$A$1:$G$1,0))</f>
        <v/>
      </c>
      <c r="M277" s="5">
        <f>L277*E277</f>
        <v/>
      </c>
      <c r="N277">
        <f>IF(I277="Rob","Robusta",IF(I277="Exc","Excelsa",IF(I277="Ara","Arabica",IF(I277="Lib","Liberica",""))))</f>
        <v/>
      </c>
      <c r="O277">
        <f>IF(J277="M","Medium",IF(J277="L","Light",IF(J277="D","Dark","")))</f>
        <v/>
      </c>
      <c r="P277">
        <f>_xlfn.XLOOKUP(Orders[[#This Row],[Customer ID]],customers!$A$1:$A$1001,customers!$I$1:$I$1001,,0)</f>
        <v/>
      </c>
    </row>
    <row r="278">
      <c r="A278" s="2" t="inlineStr">
        <is>
          <t>O2411</t>
        </is>
      </c>
      <c r="B278" s="3" t="inlineStr">
        <is>
          <t>2024-01-21</t>
        </is>
      </c>
      <c r="C278" s="2" t="inlineStr">
        <is>
          <t>O1098</t>
        </is>
      </c>
      <c r="D278" t="inlineStr">
        <is>
          <t>O4244</t>
        </is>
      </c>
      <c r="E278" s="2" t="n">
        <v>52</v>
      </c>
      <c r="F278" s="2">
        <f>_xlfn.XLOOKUP(C278,customers!$A$1:$A$1001,customers!$B$1:$B$1001,,0)</f>
        <v/>
      </c>
      <c r="G278" s="2">
        <f>IF(_xlfn.XLOOKUP(C278,customers!$A$1:$A$1001,customers!$C$1:$C$1001,,0)=0,"",_xlfn.XLOOKUP(C278,customers!$A$1:$A$1001,customers!$C$1:$C$1001,,0))</f>
        <v/>
      </c>
      <c r="H278" s="2">
        <f>_xlfn.XLOOKUP(C278,customers!$A$1:$A$1001,customers!$G$1:$G$1001,,0)</f>
        <v/>
      </c>
      <c r="I278">
        <f>INDEX(products!$A$1:$G$49,MATCH(orders!$D278,products!$A$1:$A$49,0),MATCH(orders!I$1,products!$A$1:$G$1,0))</f>
        <v/>
      </c>
      <c r="J278">
        <f>INDEX(products!$A$1:$G$49,MATCH(orders!$D278,products!$A$1:$A$49,0),MATCH(orders!J$1,products!$A$1:$G$1,0))</f>
        <v/>
      </c>
      <c r="K278" s="4">
        <f>INDEX(products!$A$1:$G$49,MATCH(orders!$D278,products!$A$1:$A$49,0),MATCH(orders!K$1,products!$A$1:$G$1,0))</f>
        <v/>
      </c>
      <c r="L278" s="5">
        <f>INDEX(products!$A$1:$G$49,MATCH(orders!$D278,products!$A$1:$A$49,0),MATCH(orders!L$1,products!$A$1:$G$1,0))</f>
        <v/>
      </c>
      <c r="M278" s="5">
        <f>L278*E278</f>
        <v/>
      </c>
      <c r="N278">
        <f>IF(I278="Rob","Robusta",IF(I278="Exc","Excelsa",IF(I278="Ara","Arabica",IF(I278="Lib","Liberica",""))))</f>
        <v/>
      </c>
      <c r="O278">
        <f>IF(J278="M","Medium",IF(J278="L","Light",IF(J278="D","Dark","")))</f>
        <v/>
      </c>
      <c r="P278">
        <f>_xlfn.XLOOKUP(Orders[[#This Row],[Customer ID]],customers!$A$1:$A$1001,customers!$I$1:$I$1001,,0)</f>
        <v/>
      </c>
    </row>
    <row r="279">
      <c r="A279" s="2" t="inlineStr">
        <is>
          <t>O9041</t>
        </is>
      </c>
      <c r="B279" s="3" t="inlineStr">
        <is>
          <t>2023-08-19</t>
        </is>
      </c>
      <c r="C279" s="2" t="inlineStr">
        <is>
          <t>O7267</t>
        </is>
      </c>
      <c r="D279" t="inlineStr">
        <is>
          <t>O6269</t>
        </is>
      </c>
      <c r="E279" s="2" t="n">
        <v>458</v>
      </c>
      <c r="F279" s="2">
        <f>_xlfn.XLOOKUP(C279,customers!$A$1:$A$1001,customers!$B$1:$B$1001,,0)</f>
        <v/>
      </c>
      <c r="G279" s="2">
        <f>IF(_xlfn.XLOOKUP(C279,customers!$A$1:$A$1001,customers!$C$1:$C$1001,,0)=0,"",_xlfn.XLOOKUP(C279,customers!$A$1:$A$1001,customers!$C$1:$C$1001,,0))</f>
        <v/>
      </c>
      <c r="H279" s="2">
        <f>_xlfn.XLOOKUP(C279,customers!$A$1:$A$1001,customers!$G$1:$G$1001,,0)</f>
        <v/>
      </c>
      <c r="I279">
        <f>INDEX(products!$A$1:$G$49,MATCH(orders!$D279,products!$A$1:$A$49,0),MATCH(orders!I$1,products!$A$1:$G$1,0))</f>
        <v/>
      </c>
      <c r="J279">
        <f>INDEX(products!$A$1:$G$49,MATCH(orders!$D279,products!$A$1:$A$49,0),MATCH(orders!J$1,products!$A$1:$G$1,0))</f>
        <v/>
      </c>
      <c r="K279" s="4">
        <f>INDEX(products!$A$1:$G$49,MATCH(orders!$D279,products!$A$1:$A$49,0),MATCH(orders!K$1,products!$A$1:$G$1,0))</f>
        <v/>
      </c>
      <c r="L279" s="5">
        <f>INDEX(products!$A$1:$G$49,MATCH(orders!$D279,products!$A$1:$A$49,0),MATCH(orders!L$1,products!$A$1:$G$1,0))</f>
        <v/>
      </c>
      <c r="M279" s="5">
        <f>L279*E279</f>
        <v/>
      </c>
      <c r="N279">
        <f>IF(I279="Rob","Robusta",IF(I279="Exc","Excelsa",IF(I279="Ara","Arabica",IF(I279="Lib","Liberica",""))))</f>
        <v/>
      </c>
      <c r="O279">
        <f>IF(J279="M","Medium",IF(J279="L","Light",IF(J279="D","Dark","")))</f>
        <v/>
      </c>
      <c r="P279">
        <f>_xlfn.XLOOKUP(Orders[[#This Row],[Customer ID]],customers!$A$1:$A$1001,customers!$I$1:$I$1001,,0)</f>
        <v/>
      </c>
    </row>
    <row r="280">
      <c r="A280" s="2" t="inlineStr">
        <is>
          <t>O5146</t>
        </is>
      </c>
      <c r="B280" s="3" t="inlineStr">
        <is>
          <t>2020-05-29</t>
        </is>
      </c>
      <c r="C280" s="2" t="inlineStr">
        <is>
          <t>O1407</t>
        </is>
      </c>
      <c r="D280" t="inlineStr">
        <is>
          <t>O6654</t>
        </is>
      </c>
      <c r="E280" s="2" t="n">
        <v>395</v>
      </c>
      <c r="F280" s="2">
        <f>_xlfn.XLOOKUP(C280,customers!$A$1:$A$1001,customers!$B$1:$B$1001,,0)</f>
        <v/>
      </c>
      <c r="G280" s="2">
        <f>IF(_xlfn.XLOOKUP(C280,customers!$A$1:$A$1001,customers!$C$1:$C$1001,,0)=0,"",_xlfn.XLOOKUP(C280,customers!$A$1:$A$1001,customers!$C$1:$C$1001,,0))</f>
        <v/>
      </c>
      <c r="H280" s="2">
        <f>_xlfn.XLOOKUP(C280,customers!$A$1:$A$1001,customers!$G$1:$G$1001,,0)</f>
        <v/>
      </c>
      <c r="I280">
        <f>INDEX(products!$A$1:$G$49,MATCH(orders!$D280,products!$A$1:$A$49,0),MATCH(orders!I$1,products!$A$1:$G$1,0))</f>
        <v/>
      </c>
      <c r="J280">
        <f>INDEX(products!$A$1:$G$49,MATCH(orders!$D280,products!$A$1:$A$49,0),MATCH(orders!J$1,products!$A$1:$G$1,0))</f>
        <v/>
      </c>
      <c r="K280" s="4">
        <f>INDEX(products!$A$1:$G$49,MATCH(orders!$D280,products!$A$1:$A$49,0),MATCH(orders!K$1,products!$A$1:$G$1,0))</f>
        <v/>
      </c>
      <c r="L280" s="5">
        <f>INDEX(products!$A$1:$G$49,MATCH(orders!$D280,products!$A$1:$A$49,0),MATCH(orders!L$1,products!$A$1:$G$1,0))</f>
        <v/>
      </c>
      <c r="M280" s="5">
        <f>L280*E280</f>
        <v/>
      </c>
      <c r="N280">
        <f>IF(I280="Rob","Robusta",IF(I280="Exc","Excelsa",IF(I280="Ara","Arabica",IF(I280="Lib","Liberica",""))))</f>
        <v/>
      </c>
      <c r="O280">
        <f>IF(J280="M","Medium",IF(J280="L","Light",IF(J280="D","Dark","")))</f>
        <v/>
      </c>
      <c r="P280">
        <f>_xlfn.XLOOKUP(Orders[[#This Row],[Customer ID]],customers!$A$1:$A$1001,customers!$I$1:$I$1001,,0)</f>
        <v/>
      </c>
    </row>
    <row r="281">
      <c r="A281" s="2" t="inlineStr">
        <is>
          <t>O5384</t>
        </is>
      </c>
      <c r="B281" s="3" t="inlineStr">
        <is>
          <t>2020-08-06</t>
        </is>
      </c>
      <c r="C281" s="2" t="inlineStr">
        <is>
          <t>O7102</t>
        </is>
      </c>
      <c r="D281" t="inlineStr">
        <is>
          <t>O1185</t>
        </is>
      </c>
      <c r="E281" s="2" t="n">
        <v>207</v>
      </c>
      <c r="F281" s="2">
        <f>_xlfn.XLOOKUP(C281,customers!$A$1:$A$1001,customers!$B$1:$B$1001,,0)</f>
        <v/>
      </c>
      <c r="G281" s="2">
        <f>IF(_xlfn.XLOOKUP(C281,customers!$A$1:$A$1001,customers!$C$1:$C$1001,,0)=0,"",_xlfn.XLOOKUP(C281,customers!$A$1:$A$1001,customers!$C$1:$C$1001,,0))</f>
        <v/>
      </c>
      <c r="H281" s="2">
        <f>_xlfn.XLOOKUP(C281,customers!$A$1:$A$1001,customers!$G$1:$G$1001,,0)</f>
        <v/>
      </c>
      <c r="I281">
        <f>INDEX(products!$A$1:$G$49,MATCH(orders!$D281,products!$A$1:$A$49,0),MATCH(orders!I$1,products!$A$1:$G$1,0))</f>
        <v/>
      </c>
      <c r="J281">
        <f>INDEX(products!$A$1:$G$49,MATCH(orders!$D281,products!$A$1:$A$49,0),MATCH(orders!J$1,products!$A$1:$G$1,0))</f>
        <v/>
      </c>
      <c r="K281" s="4">
        <f>INDEX(products!$A$1:$G$49,MATCH(orders!$D281,products!$A$1:$A$49,0),MATCH(orders!K$1,products!$A$1:$G$1,0))</f>
        <v/>
      </c>
      <c r="L281" s="5">
        <f>INDEX(products!$A$1:$G$49,MATCH(orders!$D281,products!$A$1:$A$49,0),MATCH(orders!L$1,products!$A$1:$G$1,0))</f>
        <v/>
      </c>
      <c r="M281" s="5">
        <f>L281*E281</f>
        <v/>
      </c>
      <c r="N281">
        <f>IF(I281="Rob","Robusta",IF(I281="Exc","Excelsa",IF(I281="Ara","Arabica",IF(I281="Lib","Liberica",""))))</f>
        <v/>
      </c>
      <c r="O281">
        <f>IF(J281="M","Medium",IF(J281="L","Light",IF(J281="D","Dark","")))</f>
        <v/>
      </c>
      <c r="P281">
        <f>_xlfn.XLOOKUP(Orders[[#This Row],[Customer ID]],customers!$A$1:$A$1001,customers!$I$1:$I$1001,,0)</f>
        <v/>
      </c>
    </row>
    <row r="282">
      <c r="A282" s="2" t="inlineStr">
        <is>
          <t>O4768</t>
        </is>
      </c>
      <c r="B282" s="3" t="inlineStr">
        <is>
          <t>2022-08-11</t>
        </is>
      </c>
      <c r="C282" s="2" t="inlineStr">
        <is>
          <t>O7929</t>
        </is>
      </c>
      <c r="D282" t="inlineStr">
        <is>
          <t>O2320</t>
        </is>
      </c>
      <c r="E282" s="2" t="n">
        <v>485</v>
      </c>
      <c r="F282" s="2">
        <f>_xlfn.XLOOKUP(C282,customers!$A$1:$A$1001,customers!$B$1:$B$1001,,0)</f>
        <v/>
      </c>
      <c r="G282" s="2">
        <f>IF(_xlfn.XLOOKUP(C282,customers!$A$1:$A$1001,customers!$C$1:$C$1001,,0)=0,"",_xlfn.XLOOKUP(C282,customers!$A$1:$A$1001,customers!$C$1:$C$1001,,0))</f>
        <v/>
      </c>
      <c r="H282" s="2">
        <f>_xlfn.XLOOKUP(C282,customers!$A$1:$A$1001,customers!$G$1:$G$1001,,0)</f>
        <v/>
      </c>
      <c r="I282">
        <f>INDEX(products!$A$1:$G$49,MATCH(orders!$D282,products!$A$1:$A$49,0),MATCH(orders!I$1,products!$A$1:$G$1,0))</f>
        <v/>
      </c>
      <c r="J282">
        <f>INDEX(products!$A$1:$G$49,MATCH(orders!$D282,products!$A$1:$A$49,0),MATCH(orders!J$1,products!$A$1:$G$1,0))</f>
        <v/>
      </c>
      <c r="K282" s="4">
        <f>INDEX(products!$A$1:$G$49,MATCH(orders!$D282,products!$A$1:$A$49,0),MATCH(orders!K$1,products!$A$1:$G$1,0))</f>
        <v/>
      </c>
      <c r="L282" s="5">
        <f>INDEX(products!$A$1:$G$49,MATCH(orders!$D282,products!$A$1:$A$49,0),MATCH(orders!L$1,products!$A$1:$G$1,0))</f>
        <v/>
      </c>
      <c r="M282" s="5">
        <f>L282*E282</f>
        <v/>
      </c>
      <c r="N282">
        <f>IF(I282="Rob","Robusta",IF(I282="Exc","Excelsa",IF(I282="Ara","Arabica",IF(I282="Lib","Liberica",""))))</f>
        <v/>
      </c>
      <c r="O282">
        <f>IF(J282="M","Medium",IF(J282="L","Light",IF(J282="D","Dark","")))</f>
        <v/>
      </c>
      <c r="P282">
        <f>_xlfn.XLOOKUP(Orders[[#This Row],[Customer ID]],customers!$A$1:$A$1001,customers!$I$1:$I$1001,,0)</f>
        <v/>
      </c>
    </row>
    <row r="283">
      <c r="A283" s="2" t="inlineStr">
        <is>
          <t>O3415</t>
        </is>
      </c>
      <c r="B283" s="3" t="inlineStr">
        <is>
          <t>2022-10-31</t>
        </is>
      </c>
      <c r="C283" s="2" t="inlineStr">
        <is>
          <t>O8531</t>
        </is>
      </c>
      <c r="D283" t="inlineStr">
        <is>
          <t>O1028</t>
        </is>
      </c>
      <c r="E283" s="2" t="n">
        <v>486</v>
      </c>
      <c r="F283" s="2">
        <f>_xlfn.XLOOKUP(C283,customers!$A$1:$A$1001,customers!$B$1:$B$1001,,0)</f>
        <v/>
      </c>
      <c r="G283" s="2">
        <f>IF(_xlfn.XLOOKUP(C283,customers!$A$1:$A$1001,customers!$C$1:$C$1001,,0)=0,"",_xlfn.XLOOKUP(C283,customers!$A$1:$A$1001,customers!$C$1:$C$1001,,0))</f>
        <v/>
      </c>
      <c r="H283" s="2">
        <f>_xlfn.XLOOKUP(C283,customers!$A$1:$A$1001,customers!$G$1:$G$1001,,0)</f>
        <v/>
      </c>
      <c r="I283">
        <f>INDEX(products!$A$1:$G$49,MATCH(orders!$D283,products!$A$1:$A$49,0),MATCH(orders!I$1,products!$A$1:$G$1,0))</f>
        <v/>
      </c>
      <c r="J283">
        <f>INDEX(products!$A$1:$G$49,MATCH(orders!$D283,products!$A$1:$A$49,0),MATCH(orders!J$1,products!$A$1:$G$1,0))</f>
        <v/>
      </c>
      <c r="K283" s="4">
        <f>INDEX(products!$A$1:$G$49,MATCH(orders!$D283,products!$A$1:$A$49,0),MATCH(orders!K$1,products!$A$1:$G$1,0))</f>
        <v/>
      </c>
      <c r="L283" s="5">
        <f>INDEX(products!$A$1:$G$49,MATCH(orders!$D283,products!$A$1:$A$49,0),MATCH(orders!L$1,products!$A$1:$G$1,0))</f>
        <v/>
      </c>
      <c r="M283" s="5">
        <f>L283*E283</f>
        <v/>
      </c>
      <c r="N283">
        <f>IF(I283="Rob","Robusta",IF(I283="Exc","Excelsa",IF(I283="Ara","Arabica",IF(I283="Lib","Liberica",""))))</f>
        <v/>
      </c>
      <c r="O283">
        <f>IF(J283="M","Medium",IF(J283="L","Light",IF(J283="D","Dark","")))</f>
        <v/>
      </c>
      <c r="P283">
        <f>_xlfn.XLOOKUP(Orders[[#This Row],[Customer ID]],customers!$A$1:$A$1001,customers!$I$1:$I$1001,,0)</f>
        <v/>
      </c>
    </row>
    <row r="284">
      <c r="A284" s="2" t="inlineStr">
        <is>
          <t>O7130</t>
        </is>
      </c>
      <c r="B284" s="3" t="inlineStr">
        <is>
          <t>2024-08-14</t>
        </is>
      </c>
      <c r="C284" s="2" t="inlineStr">
        <is>
          <t>O1842</t>
        </is>
      </c>
      <c r="D284" t="inlineStr">
        <is>
          <t>O8231</t>
        </is>
      </c>
      <c r="E284" s="2" t="n">
        <v>372</v>
      </c>
      <c r="F284" s="2">
        <f>_xlfn.XLOOKUP(C284,customers!$A$1:$A$1001,customers!$B$1:$B$1001,,0)</f>
        <v/>
      </c>
      <c r="G284" s="2">
        <f>IF(_xlfn.XLOOKUP(C284,customers!$A$1:$A$1001,customers!$C$1:$C$1001,,0)=0,"",_xlfn.XLOOKUP(C284,customers!$A$1:$A$1001,customers!$C$1:$C$1001,,0))</f>
        <v/>
      </c>
      <c r="H284" s="2">
        <f>_xlfn.XLOOKUP(C284,customers!$A$1:$A$1001,customers!$G$1:$G$1001,,0)</f>
        <v/>
      </c>
      <c r="I284">
        <f>INDEX(products!$A$1:$G$49,MATCH(orders!$D284,products!$A$1:$A$49,0),MATCH(orders!I$1,products!$A$1:$G$1,0))</f>
        <v/>
      </c>
      <c r="J284">
        <f>INDEX(products!$A$1:$G$49,MATCH(orders!$D284,products!$A$1:$A$49,0),MATCH(orders!J$1,products!$A$1:$G$1,0))</f>
        <v/>
      </c>
      <c r="K284" s="4">
        <f>INDEX(products!$A$1:$G$49,MATCH(orders!$D284,products!$A$1:$A$49,0),MATCH(orders!K$1,products!$A$1:$G$1,0))</f>
        <v/>
      </c>
      <c r="L284" s="5">
        <f>INDEX(products!$A$1:$G$49,MATCH(orders!$D284,products!$A$1:$A$49,0),MATCH(orders!L$1,products!$A$1:$G$1,0))</f>
        <v/>
      </c>
      <c r="M284" s="5">
        <f>L284*E284</f>
        <v/>
      </c>
      <c r="N284">
        <f>IF(I284="Rob","Robusta",IF(I284="Exc","Excelsa",IF(I284="Ara","Arabica",IF(I284="Lib","Liberica",""))))</f>
        <v/>
      </c>
      <c r="O284">
        <f>IF(J284="M","Medium",IF(J284="L","Light",IF(J284="D","Dark","")))</f>
        <v/>
      </c>
      <c r="P284">
        <f>_xlfn.XLOOKUP(Orders[[#This Row],[Customer ID]],customers!$A$1:$A$1001,customers!$I$1:$I$1001,,0)</f>
        <v/>
      </c>
    </row>
    <row r="285">
      <c r="A285" s="2" t="inlineStr">
        <is>
          <t>O9719</t>
        </is>
      </c>
      <c r="B285" s="3" t="inlineStr">
        <is>
          <t>2021-02-28</t>
        </is>
      </c>
      <c r="C285" s="2" t="inlineStr">
        <is>
          <t>O7306</t>
        </is>
      </c>
      <c r="D285" t="inlineStr">
        <is>
          <t>O7157</t>
        </is>
      </c>
      <c r="E285" s="2" t="n">
        <v>5</v>
      </c>
      <c r="F285" s="2">
        <f>_xlfn.XLOOKUP(C285,customers!$A$1:$A$1001,customers!$B$1:$B$1001,,0)</f>
        <v/>
      </c>
      <c r="G285" s="2">
        <f>IF(_xlfn.XLOOKUP(C285,customers!$A$1:$A$1001,customers!$C$1:$C$1001,,0)=0,"",_xlfn.XLOOKUP(C285,customers!$A$1:$A$1001,customers!$C$1:$C$1001,,0))</f>
        <v/>
      </c>
      <c r="H285" s="2">
        <f>_xlfn.XLOOKUP(C285,customers!$A$1:$A$1001,customers!$G$1:$G$1001,,0)</f>
        <v/>
      </c>
      <c r="I285">
        <f>INDEX(products!$A$1:$G$49,MATCH(orders!$D285,products!$A$1:$A$49,0),MATCH(orders!I$1,products!$A$1:$G$1,0))</f>
        <v/>
      </c>
      <c r="J285">
        <f>INDEX(products!$A$1:$G$49,MATCH(orders!$D285,products!$A$1:$A$49,0),MATCH(orders!J$1,products!$A$1:$G$1,0))</f>
        <v/>
      </c>
      <c r="K285" s="4">
        <f>INDEX(products!$A$1:$G$49,MATCH(orders!$D285,products!$A$1:$A$49,0),MATCH(orders!K$1,products!$A$1:$G$1,0))</f>
        <v/>
      </c>
      <c r="L285" s="5">
        <f>INDEX(products!$A$1:$G$49,MATCH(orders!$D285,products!$A$1:$A$49,0),MATCH(orders!L$1,products!$A$1:$G$1,0))</f>
        <v/>
      </c>
      <c r="M285" s="5">
        <f>L285*E285</f>
        <v/>
      </c>
      <c r="N285">
        <f>IF(I285="Rob","Robusta",IF(I285="Exc","Excelsa",IF(I285="Ara","Arabica",IF(I285="Lib","Liberica",""))))</f>
        <v/>
      </c>
      <c r="O285">
        <f>IF(J285="M","Medium",IF(J285="L","Light",IF(J285="D","Dark","")))</f>
        <v/>
      </c>
      <c r="P285">
        <f>_xlfn.XLOOKUP(Orders[[#This Row],[Customer ID]],customers!$A$1:$A$1001,customers!$I$1:$I$1001,,0)</f>
        <v/>
      </c>
    </row>
    <row r="286">
      <c r="A286" s="2" t="inlineStr">
        <is>
          <t>O8174</t>
        </is>
      </c>
      <c r="B286" s="3" t="inlineStr">
        <is>
          <t>2024-12-21</t>
        </is>
      </c>
      <c r="C286" s="2" t="inlineStr">
        <is>
          <t>O7930</t>
        </is>
      </c>
      <c r="D286" t="inlineStr">
        <is>
          <t>O2960</t>
        </is>
      </c>
      <c r="E286" s="2" t="n">
        <v>367</v>
      </c>
      <c r="F286" s="2">
        <f>_xlfn.XLOOKUP(C286,customers!$A$1:$A$1001,customers!$B$1:$B$1001,,0)</f>
        <v/>
      </c>
      <c r="G286" s="2">
        <f>IF(_xlfn.XLOOKUP(C286,customers!$A$1:$A$1001,customers!$C$1:$C$1001,,0)=0,"",_xlfn.XLOOKUP(C286,customers!$A$1:$A$1001,customers!$C$1:$C$1001,,0))</f>
        <v/>
      </c>
      <c r="H286" s="2">
        <f>_xlfn.XLOOKUP(C286,customers!$A$1:$A$1001,customers!$G$1:$G$1001,,0)</f>
        <v/>
      </c>
      <c r="I286">
        <f>INDEX(products!$A$1:$G$49,MATCH(orders!$D286,products!$A$1:$A$49,0),MATCH(orders!I$1,products!$A$1:$G$1,0))</f>
        <v/>
      </c>
      <c r="J286">
        <f>INDEX(products!$A$1:$G$49,MATCH(orders!$D286,products!$A$1:$A$49,0),MATCH(orders!J$1,products!$A$1:$G$1,0))</f>
        <v/>
      </c>
      <c r="K286" s="4">
        <f>INDEX(products!$A$1:$G$49,MATCH(orders!$D286,products!$A$1:$A$49,0),MATCH(orders!K$1,products!$A$1:$G$1,0))</f>
        <v/>
      </c>
      <c r="L286" s="5">
        <f>INDEX(products!$A$1:$G$49,MATCH(orders!$D286,products!$A$1:$A$49,0),MATCH(orders!L$1,products!$A$1:$G$1,0))</f>
        <v/>
      </c>
      <c r="M286" s="5">
        <f>L286*E286</f>
        <v/>
      </c>
      <c r="N286">
        <f>IF(I286="Rob","Robusta",IF(I286="Exc","Excelsa",IF(I286="Ara","Arabica",IF(I286="Lib","Liberica",""))))</f>
        <v/>
      </c>
      <c r="O286">
        <f>IF(J286="M","Medium",IF(J286="L","Light",IF(J286="D","Dark","")))</f>
        <v/>
      </c>
      <c r="P286">
        <f>_xlfn.XLOOKUP(Orders[[#This Row],[Customer ID]],customers!$A$1:$A$1001,customers!$I$1:$I$1001,,0)</f>
        <v/>
      </c>
    </row>
    <row r="287">
      <c r="A287" s="2" t="inlineStr">
        <is>
          <t>O6438</t>
        </is>
      </c>
      <c r="B287" s="3" t="inlineStr">
        <is>
          <t>2025-02-11</t>
        </is>
      </c>
      <c r="C287" s="2" t="inlineStr">
        <is>
          <t>O4552</t>
        </is>
      </c>
      <c r="D287" t="inlineStr">
        <is>
          <t>O2720</t>
        </is>
      </c>
      <c r="E287" s="2" t="n">
        <v>17</v>
      </c>
      <c r="F287" s="2">
        <f>_xlfn.XLOOKUP(C287,customers!$A$1:$A$1001,customers!$B$1:$B$1001,,0)</f>
        <v/>
      </c>
      <c r="G287" s="2">
        <f>IF(_xlfn.XLOOKUP(C287,customers!$A$1:$A$1001,customers!$C$1:$C$1001,,0)=0,"",_xlfn.XLOOKUP(C287,customers!$A$1:$A$1001,customers!$C$1:$C$1001,,0))</f>
        <v/>
      </c>
      <c r="H287" s="2">
        <f>_xlfn.XLOOKUP(C287,customers!$A$1:$A$1001,customers!$G$1:$G$1001,,0)</f>
        <v/>
      </c>
      <c r="I287">
        <f>INDEX(products!$A$1:$G$49,MATCH(orders!$D287,products!$A$1:$A$49,0),MATCH(orders!I$1,products!$A$1:$G$1,0))</f>
        <v/>
      </c>
      <c r="J287">
        <f>INDEX(products!$A$1:$G$49,MATCH(orders!$D287,products!$A$1:$A$49,0),MATCH(orders!J$1,products!$A$1:$G$1,0))</f>
        <v/>
      </c>
      <c r="K287" s="4">
        <f>INDEX(products!$A$1:$G$49,MATCH(orders!$D287,products!$A$1:$A$49,0),MATCH(orders!K$1,products!$A$1:$G$1,0))</f>
        <v/>
      </c>
      <c r="L287" s="5">
        <f>INDEX(products!$A$1:$G$49,MATCH(orders!$D287,products!$A$1:$A$49,0),MATCH(orders!L$1,products!$A$1:$G$1,0))</f>
        <v/>
      </c>
      <c r="M287" s="5">
        <f>L287*E287</f>
        <v/>
      </c>
      <c r="N287">
        <f>IF(I287="Rob","Robusta",IF(I287="Exc","Excelsa",IF(I287="Ara","Arabica",IF(I287="Lib","Liberica",""))))</f>
        <v/>
      </c>
      <c r="O287">
        <f>IF(J287="M","Medium",IF(J287="L","Light",IF(J287="D","Dark","")))</f>
        <v/>
      </c>
      <c r="P287">
        <f>_xlfn.XLOOKUP(Orders[[#This Row],[Customer ID]],customers!$A$1:$A$1001,customers!$I$1:$I$1001,,0)</f>
        <v/>
      </c>
    </row>
    <row r="288">
      <c r="A288" s="2" t="inlineStr">
        <is>
          <t>O4611</t>
        </is>
      </c>
      <c r="B288" s="3" t="inlineStr">
        <is>
          <t>2020-07-25</t>
        </is>
      </c>
      <c r="C288" s="2" t="inlineStr">
        <is>
          <t>O4599</t>
        </is>
      </c>
      <c r="D288" t="inlineStr">
        <is>
          <t>O5320</t>
        </is>
      </c>
      <c r="E288" s="2" t="n">
        <v>424</v>
      </c>
      <c r="F288" s="2">
        <f>_xlfn.XLOOKUP(C288,customers!$A$1:$A$1001,customers!$B$1:$B$1001,,0)</f>
        <v/>
      </c>
      <c r="G288" s="2">
        <f>IF(_xlfn.XLOOKUP(C288,customers!$A$1:$A$1001,customers!$C$1:$C$1001,,0)=0,"",_xlfn.XLOOKUP(C288,customers!$A$1:$A$1001,customers!$C$1:$C$1001,,0))</f>
        <v/>
      </c>
      <c r="H288" s="2">
        <f>_xlfn.XLOOKUP(C288,customers!$A$1:$A$1001,customers!$G$1:$G$1001,,0)</f>
        <v/>
      </c>
      <c r="I288">
        <f>INDEX(products!$A$1:$G$49,MATCH(orders!$D288,products!$A$1:$A$49,0),MATCH(orders!I$1,products!$A$1:$G$1,0))</f>
        <v/>
      </c>
      <c r="J288">
        <f>INDEX(products!$A$1:$G$49,MATCH(orders!$D288,products!$A$1:$A$49,0),MATCH(orders!J$1,products!$A$1:$G$1,0))</f>
        <v/>
      </c>
      <c r="K288" s="4">
        <f>INDEX(products!$A$1:$G$49,MATCH(orders!$D288,products!$A$1:$A$49,0),MATCH(orders!K$1,products!$A$1:$G$1,0))</f>
        <v/>
      </c>
      <c r="L288" s="5">
        <f>INDEX(products!$A$1:$G$49,MATCH(orders!$D288,products!$A$1:$A$49,0),MATCH(orders!L$1,products!$A$1:$G$1,0))</f>
        <v/>
      </c>
      <c r="M288" s="5">
        <f>L288*E288</f>
        <v/>
      </c>
      <c r="N288">
        <f>IF(I288="Rob","Robusta",IF(I288="Exc","Excelsa",IF(I288="Ara","Arabica",IF(I288="Lib","Liberica",""))))</f>
        <v/>
      </c>
      <c r="O288">
        <f>IF(J288="M","Medium",IF(J288="L","Light",IF(J288="D","Dark","")))</f>
        <v/>
      </c>
      <c r="P288">
        <f>_xlfn.XLOOKUP(Orders[[#This Row],[Customer ID]],customers!$A$1:$A$1001,customers!$I$1:$I$1001,,0)</f>
        <v/>
      </c>
    </row>
    <row r="289">
      <c r="A289" s="2" t="inlineStr">
        <is>
          <t>O6300</t>
        </is>
      </c>
      <c r="B289" s="3" t="inlineStr">
        <is>
          <t>2023-02-26</t>
        </is>
      </c>
      <c r="C289" s="2" t="inlineStr">
        <is>
          <t>O1919</t>
        </is>
      </c>
      <c r="D289" t="inlineStr">
        <is>
          <t>O7378</t>
        </is>
      </c>
      <c r="E289" s="2" t="n">
        <v>54</v>
      </c>
      <c r="F289" s="2">
        <f>_xlfn.XLOOKUP(C289,customers!$A$1:$A$1001,customers!$B$1:$B$1001,,0)</f>
        <v/>
      </c>
      <c r="G289" s="2">
        <f>IF(_xlfn.XLOOKUP(C289,customers!$A$1:$A$1001,customers!$C$1:$C$1001,,0)=0,"",_xlfn.XLOOKUP(C289,customers!$A$1:$A$1001,customers!$C$1:$C$1001,,0))</f>
        <v/>
      </c>
      <c r="H289" s="2">
        <f>_xlfn.XLOOKUP(C289,customers!$A$1:$A$1001,customers!$G$1:$G$1001,,0)</f>
        <v/>
      </c>
      <c r="I289">
        <f>INDEX(products!$A$1:$G$49,MATCH(orders!$D289,products!$A$1:$A$49,0),MATCH(orders!I$1,products!$A$1:$G$1,0))</f>
        <v/>
      </c>
      <c r="J289">
        <f>INDEX(products!$A$1:$G$49,MATCH(orders!$D289,products!$A$1:$A$49,0),MATCH(orders!J$1,products!$A$1:$G$1,0))</f>
        <v/>
      </c>
      <c r="K289" s="4">
        <f>INDEX(products!$A$1:$G$49,MATCH(orders!$D289,products!$A$1:$A$49,0),MATCH(orders!K$1,products!$A$1:$G$1,0))</f>
        <v/>
      </c>
      <c r="L289" s="5">
        <f>INDEX(products!$A$1:$G$49,MATCH(orders!$D289,products!$A$1:$A$49,0),MATCH(orders!L$1,products!$A$1:$G$1,0))</f>
        <v/>
      </c>
      <c r="M289" s="5">
        <f>L289*E289</f>
        <v/>
      </c>
      <c r="N289">
        <f>IF(I289="Rob","Robusta",IF(I289="Exc","Excelsa",IF(I289="Ara","Arabica",IF(I289="Lib","Liberica",""))))</f>
        <v/>
      </c>
      <c r="O289">
        <f>IF(J289="M","Medium",IF(J289="L","Light",IF(J289="D","Dark","")))</f>
        <v/>
      </c>
      <c r="P289">
        <f>_xlfn.XLOOKUP(Orders[[#This Row],[Customer ID]],customers!$A$1:$A$1001,customers!$I$1:$I$1001,,0)</f>
        <v/>
      </c>
    </row>
    <row r="290">
      <c r="A290" s="2" t="inlineStr">
        <is>
          <t>O3007</t>
        </is>
      </c>
      <c r="B290" s="3" t="inlineStr">
        <is>
          <t>2023-08-18</t>
        </is>
      </c>
      <c r="C290" s="2" t="inlineStr">
        <is>
          <t>O6199</t>
        </is>
      </c>
      <c r="D290" t="inlineStr">
        <is>
          <t>O5256</t>
        </is>
      </c>
      <c r="E290" s="2" t="n">
        <v>401</v>
      </c>
      <c r="F290" s="2">
        <f>_xlfn.XLOOKUP(C290,customers!$A$1:$A$1001,customers!$B$1:$B$1001,,0)</f>
        <v/>
      </c>
      <c r="G290" s="2">
        <f>IF(_xlfn.XLOOKUP(C290,customers!$A$1:$A$1001,customers!$C$1:$C$1001,,0)=0,"",_xlfn.XLOOKUP(C290,customers!$A$1:$A$1001,customers!$C$1:$C$1001,,0))</f>
        <v/>
      </c>
      <c r="H290" s="2">
        <f>_xlfn.XLOOKUP(C290,customers!$A$1:$A$1001,customers!$G$1:$G$1001,,0)</f>
        <v/>
      </c>
      <c r="I290">
        <f>INDEX(products!$A$1:$G$49,MATCH(orders!$D290,products!$A$1:$A$49,0),MATCH(orders!I$1,products!$A$1:$G$1,0))</f>
        <v/>
      </c>
      <c r="J290">
        <f>INDEX(products!$A$1:$G$49,MATCH(orders!$D290,products!$A$1:$A$49,0),MATCH(orders!J$1,products!$A$1:$G$1,0))</f>
        <v/>
      </c>
      <c r="K290" s="4">
        <f>INDEX(products!$A$1:$G$49,MATCH(orders!$D290,products!$A$1:$A$49,0),MATCH(orders!K$1,products!$A$1:$G$1,0))</f>
        <v/>
      </c>
      <c r="L290" s="5">
        <f>INDEX(products!$A$1:$G$49,MATCH(orders!$D290,products!$A$1:$A$49,0),MATCH(orders!L$1,products!$A$1:$G$1,0))</f>
        <v/>
      </c>
      <c r="M290" s="5">
        <f>L290*E290</f>
        <v/>
      </c>
      <c r="N290">
        <f>IF(I290="Rob","Robusta",IF(I290="Exc","Excelsa",IF(I290="Ara","Arabica",IF(I290="Lib","Liberica",""))))</f>
        <v/>
      </c>
      <c r="O290">
        <f>IF(J290="M","Medium",IF(J290="L","Light",IF(J290="D","Dark","")))</f>
        <v/>
      </c>
      <c r="P290">
        <f>_xlfn.XLOOKUP(Orders[[#This Row],[Customer ID]],customers!$A$1:$A$1001,customers!$I$1:$I$1001,,0)</f>
        <v/>
      </c>
    </row>
    <row r="291">
      <c r="A291" s="2" t="inlineStr">
        <is>
          <t>O4757</t>
        </is>
      </c>
      <c r="B291" s="3" t="inlineStr">
        <is>
          <t>2024-12-31</t>
        </is>
      </c>
      <c r="C291" s="2" t="inlineStr">
        <is>
          <t>O8802</t>
        </is>
      </c>
      <c r="D291" t="inlineStr">
        <is>
          <t>O7526</t>
        </is>
      </c>
      <c r="E291" s="2" t="n">
        <v>323</v>
      </c>
      <c r="F291" s="2">
        <f>_xlfn.XLOOKUP(C291,customers!$A$1:$A$1001,customers!$B$1:$B$1001,,0)</f>
        <v/>
      </c>
      <c r="G291" s="2">
        <f>IF(_xlfn.XLOOKUP(C291,customers!$A$1:$A$1001,customers!$C$1:$C$1001,,0)=0,"",_xlfn.XLOOKUP(C291,customers!$A$1:$A$1001,customers!$C$1:$C$1001,,0))</f>
        <v/>
      </c>
      <c r="H291" s="2">
        <f>_xlfn.XLOOKUP(C291,customers!$A$1:$A$1001,customers!$G$1:$G$1001,,0)</f>
        <v/>
      </c>
      <c r="I291">
        <f>INDEX(products!$A$1:$G$49,MATCH(orders!$D291,products!$A$1:$A$49,0),MATCH(orders!I$1,products!$A$1:$G$1,0))</f>
        <v/>
      </c>
      <c r="J291">
        <f>INDEX(products!$A$1:$G$49,MATCH(orders!$D291,products!$A$1:$A$49,0),MATCH(orders!J$1,products!$A$1:$G$1,0))</f>
        <v/>
      </c>
      <c r="K291" s="4">
        <f>INDEX(products!$A$1:$G$49,MATCH(orders!$D291,products!$A$1:$A$49,0),MATCH(orders!K$1,products!$A$1:$G$1,0))</f>
        <v/>
      </c>
      <c r="L291" s="5">
        <f>INDEX(products!$A$1:$G$49,MATCH(orders!$D291,products!$A$1:$A$49,0),MATCH(orders!L$1,products!$A$1:$G$1,0))</f>
        <v/>
      </c>
      <c r="M291" s="5">
        <f>L291*E291</f>
        <v/>
      </c>
      <c r="N291">
        <f>IF(I291="Rob","Robusta",IF(I291="Exc","Excelsa",IF(I291="Ara","Arabica",IF(I291="Lib","Liberica",""))))</f>
        <v/>
      </c>
      <c r="O291">
        <f>IF(J291="M","Medium",IF(J291="L","Light",IF(J291="D","Dark","")))</f>
        <v/>
      </c>
      <c r="P291">
        <f>_xlfn.XLOOKUP(Orders[[#This Row],[Customer ID]],customers!$A$1:$A$1001,customers!$I$1:$I$1001,,0)</f>
        <v/>
      </c>
    </row>
    <row r="292">
      <c r="A292" s="2" t="inlineStr">
        <is>
          <t>O2110</t>
        </is>
      </c>
      <c r="B292" s="3" t="inlineStr">
        <is>
          <t>2024-05-10</t>
        </is>
      </c>
      <c r="C292" s="2" t="inlineStr">
        <is>
          <t>O5216</t>
        </is>
      </c>
      <c r="D292" t="inlineStr">
        <is>
          <t>O9478</t>
        </is>
      </c>
      <c r="E292" s="2" t="n">
        <v>357</v>
      </c>
      <c r="F292" s="2">
        <f>_xlfn.XLOOKUP(C292,customers!$A$1:$A$1001,customers!$B$1:$B$1001,,0)</f>
        <v/>
      </c>
      <c r="G292" s="2">
        <f>IF(_xlfn.XLOOKUP(C292,customers!$A$1:$A$1001,customers!$C$1:$C$1001,,0)=0,"",_xlfn.XLOOKUP(C292,customers!$A$1:$A$1001,customers!$C$1:$C$1001,,0))</f>
        <v/>
      </c>
      <c r="H292" s="2">
        <f>_xlfn.XLOOKUP(C292,customers!$A$1:$A$1001,customers!$G$1:$G$1001,,0)</f>
        <v/>
      </c>
      <c r="I292">
        <f>INDEX(products!$A$1:$G$49,MATCH(orders!$D292,products!$A$1:$A$49,0),MATCH(orders!I$1,products!$A$1:$G$1,0))</f>
        <v/>
      </c>
      <c r="J292">
        <f>INDEX(products!$A$1:$G$49,MATCH(orders!$D292,products!$A$1:$A$49,0),MATCH(orders!J$1,products!$A$1:$G$1,0))</f>
        <v/>
      </c>
      <c r="K292" s="4">
        <f>INDEX(products!$A$1:$G$49,MATCH(orders!$D292,products!$A$1:$A$49,0),MATCH(orders!K$1,products!$A$1:$G$1,0))</f>
        <v/>
      </c>
      <c r="L292" s="5">
        <f>INDEX(products!$A$1:$G$49,MATCH(orders!$D292,products!$A$1:$A$49,0),MATCH(orders!L$1,products!$A$1:$G$1,0))</f>
        <v/>
      </c>
      <c r="M292" s="5">
        <f>L292*E292</f>
        <v/>
      </c>
      <c r="N292">
        <f>IF(I292="Rob","Robusta",IF(I292="Exc","Excelsa",IF(I292="Ara","Arabica",IF(I292="Lib","Liberica",""))))</f>
        <v/>
      </c>
      <c r="O292">
        <f>IF(J292="M","Medium",IF(J292="L","Light",IF(J292="D","Dark","")))</f>
        <v/>
      </c>
      <c r="P292">
        <f>_xlfn.XLOOKUP(Orders[[#This Row],[Customer ID]],customers!$A$1:$A$1001,customers!$I$1:$I$1001,,0)</f>
        <v/>
      </c>
    </row>
    <row r="293">
      <c r="A293" s="2" t="inlineStr">
        <is>
          <t>O7281</t>
        </is>
      </c>
      <c r="B293" s="3" t="inlineStr">
        <is>
          <t>2024-09-21</t>
        </is>
      </c>
      <c r="C293" s="2" t="inlineStr">
        <is>
          <t>O6378</t>
        </is>
      </c>
      <c r="D293" t="inlineStr">
        <is>
          <t>O5329</t>
        </is>
      </c>
      <c r="E293" s="2" t="n">
        <v>429</v>
      </c>
      <c r="F293" s="2">
        <f>_xlfn.XLOOKUP(C293,customers!$A$1:$A$1001,customers!$B$1:$B$1001,,0)</f>
        <v/>
      </c>
      <c r="G293" s="2">
        <f>IF(_xlfn.XLOOKUP(C293,customers!$A$1:$A$1001,customers!$C$1:$C$1001,,0)=0,"",_xlfn.XLOOKUP(C293,customers!$A$1:$A$1001,customers!$C$1:$C$1001,,0))</f>
        <v/>
      </c>
      <c r="H293" s="2">
        <f>_xlfn.XLOOKUP(C293,customers!$A$1:$A$1001,customers!$G$1:$G$1001,,0)</f>
        <v/>
      </c>
      <c r="I293">
        <f>INDEX(products!$A$1:$G$49,MATCH(orders!$D293,products!$A$1:$A$49,0),MATCH(orders!I$1,products!$A$1:$G$1,0))</f>
        <v/>
      </c>
      <c r="J293">
        <f>INDEX(products!$A$1:$G$49,MATCH(orders!$D293,products!$A$1:$A$49,0),MATCH(orders!J$1,products!$A$1:$G$1,0))</f>
        <v/>
      </c>
      <c r="K293" s="4">
        <f>INDEX(products!$A$1:$G$49,MATCH(orders!$D293,products!$A$1:$A$49,0),MATCH(orders!K$1,products!$A$1:$G$1,0))</f>
        <v/>
      </c>
      <c r="L293" s="5">
        <f>INDEX(products!$A$1:$G$49,MATCH(orders!$D293,products!$A$1:$A$49,0),MATCH(orders!L$1,products!$A$1:$G$1,0))</f>
        <v/>
      </c>
      <c r="M293" s="5">
        <f>L293*E293</f>
        <v/>
      </c>
      <c r="N293">
        <f>IF(I293="Rob","Robusta",IF(I293="Exc","Excelsa",IF(I293="Ara","Arabica",IF(I293="Lib","Liberica",""))))</f>
        <v/>
      </c>
      <c r="O293">
        <f>IF(J293="M","Medium",IF(J293="L","Light",IF(J293="D","Dark","")))</f>
        <v/>
      </c>
      <c r="P293">
        <f>_xlfn.XLOOKUP(Orders[[#This Row],[Customer ID]],customers!$A$1:$A$1001,customers!$I$1:$I$1001,,0)</f>
        <v/>
      </c>
    </row>
    <row r="294">
      <c r="A294" s="2" t="inlineStr">
        <is>
          <t>O8543</t>
        </is>
      </c>
      <c r="B294" s="3" t="inlineStr">
        <is>
          <t>2025-02-11</t>
        </is>
      </c>
      <c r="C294" s="2" t="inlineStr">
        <is>
          <t>O6939</t>
        </is>
      </c>
      <c r="D294" t="inlineStr">
        <is>
          <t>O1574</t>
        </is>
      </c>
      <c r="E294" s="2" t="n">
        <v>393</v>
      </c>
      <c r="F294" s="2">
        <f>_xlfn.XLOOKUP(C294,customers!$A$1:$A$1001,customers!$B$1:$B$1001,,0)</f>
        <v/>
      </c>
      <c r="G294" s="2">
        <f>IF(_xlfn.XLOOKUP(C294,customers!$A$1:$A$1001,customers!$C$1:$C$1001,,0)=0,"",_xlfn.XLOOKUP(C294,customers!$A$1:$A$1001,customers!$C$1:$C$1001,,0))</f>
        <v/>
      </c>
      <c r="H294" s="2">
        <f>_xlfn.XLOOKUP(C294,customers!$A$1:$A$1001,customers!$G$1:$G$1001,,0)</f>
        <v/>
      </c>
      <c r="I294">
        <f>INDEX(products!$A$1:$G$49,MATCH(orders!$D294,products!$A$1:$A$49,0),MATCH(orders!I$1,products!$A$1:$G$1,0))</f>
        <v/>
      </c>
      <c r="J294">
        <f>INDEX(products!$A$1:$G$49,MATCH(orders!$D294,products!$A$1:$A$49,0),MATCH(orders!J$1,products!$A$1:$G$1,0))</f>
        <v/>
      </c>
      <c r="K294" s="4">
        <f>INDEX(products!$A$1:$G$49,MATCH(orders!$D294,products!$A$1:$A$49,0),MATCH(orders!K$1,products!$A$1:$G$1,0))</f>
        <v/>
      </c>
      <c r="L294" s="5">
        <f>INDEX(products!$A$1:$G$49,MATCH(orders!$D294,products!$A$1:$A$49,0),MATCH(orders!L$1,products!$A$1:$G$1,0))</f>
        <v/>
      </c>
      <c r="M294" s="5">
        <f>L294*E294</f>
        <v/>
      </c>
      <c r="N294">
        <f>IF(I294="Rob","Robusta",IF(I294="Exc","Excelsa",IF(I294="Ara","Arabica",IF(I294="Lib","Liberica",""))))</f>
        <v/>
      </c>
      <c r="O294">
        <f>IF(J294="M","Medium",IF(J294="L","Light",IF(J294="D","Dark","")))</f>
        <v/>
      </c>
      <c r="P294">
        <f>_xlfn.XLOOKUP(Orders[[#This Row],[Customer ID]],customers!$A$1:$A$1001,customers!$I$1:$I$1001,,0)</f>
        <v/>
      </c>
    </row>
    <row r="295">
      <c r="A295" s="2" t="inlineStr">
        <is>
          <t>O7224</t>
        </is>
      </c>
      <c r="B295" s="3" t="inlineStr">
        <is>
          <t>2023-02-06</t>
        </is>
      </c>
      <c r="C295" s="2" t="inlineStr">
        <is>
          <t>O9341</t>
        </is>
      </c>
      <c r="D295" t="inlineStr">
        <is>
          <t>O1318</t>
        </is>
      </c>
      <c r="E295" s="2" t="n">
        <v>222</v>
      </c>
      <c r="F295" s="2">
        <f>_xlfn.XLOOKUP(C295,customers!$A$1:$A$1001,customers!$B$1:$B$1001,,0)</f>
        <v/>
      </c>
      <c r="G295" s="2">
        <f>IF(_xlfn.XLOOKUP(C295,customers!$A$1:$A$1001,customers!$C$1:$C$1001,,0)=0,"",_xlfn.XLOOKUP(C295,customers!$A$1:$A$1001,customers!$C$1:$C$1001,,0))</f>
        <v/>
      </c>
      <c r="H295" s="2">
        <f>_xlfn.XLOOKUP(C295,customers!$A$1:$A$1001,customers!$G$1:$G$1001,,0)</f>
        <v/>
      </c>
      <c r="I295">
        <f>INDEX(products!$A$1:$G$49,MATCH(orders!$D295,products!$A$1:$A$49,0),MATCH(orders!I$1,products!$A$1:$G$1,0))</f>
        <v/>
      </c>
      <c r="J295">
        <f>INDEX(products!$A$1:$G$49,MATCH(orders!$D295,products!$A$1:$A$49,0),MATCH(orders!J$1,products!$A$1:$G$1,0))</f>
        <v/>
      </c>
      <c r="K295" s="4">
        <f>INDEX(products!$A$1:$G$49,MATCH(orders!$D295,products!$A$1:$A$49,0),MATCH(orders!K$1,products!$A$1:$G$1,0))</f>
        <v/>
      </c>
      <c r="L295" s="5">
        <f>INDEX(products!$A$1:$G$49,MATCH(orders!$D295,products!$A$1:$A$49,0),MATCH(orders!L$1,products!$A$1:$G$1,0))</f>
        <v/>
      </c>
      <c r="M295" s="5">
        <f>L295*E295</f>
        <v/>
      </c>
      <c r="N295">
        <f>IF(I295="Rob","Robusta",IF(I295="Exc","Excelsa",IF(I295="Ara","Arabica",IF(I295="Lib","Liberica",""))))</f>
        <v/>
      </c>
      <c r="O295">
        <f>IF(J295="M","Medium",IF(J295="L","Light",IF(J295="D","Dark","")))</f>
        <v/>
      </c>
      <c r="P295">
        <f>_xlfn.XLOOKUP(Orders[[#This Row],[Customer ID]],customers!$A$1:$A$1001,customers!$I$1:$I$1001,,0)</f>
        <v/>
      </c>
    </row>
    <row r="296">
      <c r="A296" s="2" t="inlineStr">
        <is>
          <t>O2081</t>
        </is>
      </c>
      <c r="B296" s="3" t="inlineStr">
        <is>
          <t>2023-05-18</t>
        </is>
      </c>
      <c r="C296" s="2" t="inlineStr">
        <is>
          <t>O1827</t>
        </is>
      </c>
      <c r="D296" t="inlineStr">
        <is>
          <t>O6403</t>
        </is>
      </c>
      <c r="E296" s="2" t="n">
        <v>59</v>
      </c>
      <c r="F296" s="2">
        <f>_xlfn.XLOOKUP(C296,customers!$A$1:$A$1001,customers!$B$1:$B$1001,,0)</f>
        <v/>
      </c>
      <c r="G296" s="2">
        <f>IF(_xlfn.XLOOKUP(C296,customers!$A$1:$A$1001,customers!$C$1:$C$1001,,0)=0,"",_xlfn.XLOOKUP(C296,customers!$A$1:$A$1001,customers!$C$1:$C$1001,,0))</f>
        <v/>
      </c>
      <c r="H296" s="2">
        <f>_xlfn.XLOOKUP(C296,customers!$A$1:$A$1001,customers!$G$1:$G$1001,,0)</f>
        <v/>
      </c>
      <c r="I296">
        <f>INDEX(products!$A$1:$G$49,MATCH(orders!$D296,products!$A$1:$A$49,0),MATCH(orders!I$1,products!$A$1:$G$1,0))</f>
        <v/>
      </c>
      <c r="J296">
        <f>INDEX(products!$A$1:$G$49,MATCH(orders!$D296,products!$A$1:$A$49,0),MATCH(orders!J$1,products!$A$1:$G$1,0))</f>
        <v/>
      </c>
      <c r="K296" s="4">
        <f>INDEX(products!$A$1:$G$49,MATCH(orders!$D296,products!$A$1:$A$49,0),MATCH(orders!K$1,products!$A$1:$G$1,0))</f>
        <v/>
      </c>
      <c r="L296" s="5">
        <f>INDEX(products!$A$1:$G$49,MATCH(orders!$D296,products!$A$1:$A$49,0),MATCH(orders!L$1,products!$A$1:$G$1,0))</f>
        <v/>
      </c>
      <c r="M296" s="5">
        <f>L296*E296</f>
        <v/>
      </c>
      <c r="N296">
        <f>IF(I296="Rob","Robusta",IF(I296="Exc","Excelsa",IF(I296="Ara","Arabica",IF(I296="Lib","Liberica",""))))</f>
        <v/>
      </c>
      <c r="O296">
        <f>IF(J296="M","Medium",IF(J296="L","Light",IF(J296="D","Dark","")))</f>
        <v/>
      </c>
      <c r="P296">
        <f>_xlfn.XLOOKUP(Orders[[#This Row],[Customer ID]],customers!$A$1:$A$1001,customers!$I$1:$I$1001,,0)</f>
        <v/>
      </c>
    </row>
    <row r="297">
      <c r="A297" s="2" t="inlineStr">
        <is>
          <t>O4287</t>
        </is>
      </c>
      <c r="B297" s="3" t="inlineStr">
        <is>
          <t>2024-10-20</t>
        </is>
      </c>
      <c r="C297" s="2" t="inlineStr">
        <is>
          <t>O9341</t>
        </is>
      </c>
      <c r="D297" t="inlineStr">
        <is>
          <t>O1838</t>
        </is>
      </c>
      <c r="E297" s="2" t="n">
        <v>124</v>
      </c>
      <c r="F297" s="2">
        <f>_xlfn.XLOOKUP(C297,customers!$A$1:$A$1001,customers!$B$1:$B$1001,,0)</f>
        <v/>
      </c>
      <c r="G297" s="2">
        <f>IF(_xlfn.XLOOKUP(C297,customers!$A$1:$A$1001,customers!$C$1:$C$1001,,0)=0,"",_xlfn.XLOOKUP(C297,customers!$A$1:$A$1001,customers!$C$1:$C$1001,,0))</f>
        <v/>
      </c>
      <c r="H297" s="2">
        <f>_xlfn.XLOOKUP(C297,customers!$A$1:$A$1001,customers!$G$1:$G$1001,,0)</f>
        <v/>
      </c>
      <c r="I297">
        <f>INDEX(products!$A$1:$G$49,MATCH(orders!$D297,products!$A$1:$A$49,0),MATCH(orders!I$1,products!$A$1:$G$1,0))</f>
        <v/>
      </c>
      <c r="J297">
        <f>INDEX(products!$A$1:$G$49,MATCH(orders!$D297,products!$A$1:$A$49,0),MATCH(orders!J$1,products!$A$1:$G$1,0))</f>
        <v/>
      </c>
      <c r="K297" s="4">
        <f>INDEX(products!$A$1:$G$49,MATCH(orders!$D297,products!$A$1:$A$49,0),MATCH(orders!K$1,products!$A$1:$G$1,0))</f>
        <v/>
      </c>
      <c r="L297" s="5">
        <f>INDEX(products!$A$1:$G$49,MATCH(orders!$D297,products!$A$1:$A$49,0),MATCH(orders!L$1,products!$A$1:$G$1,0))</f>
        <v/>
      </c>
      <c r="M297" s="5">
        <f>L297*E297</f>
        <v/>
      </c>
      <c r="N297">
        <f>IF(I297="Rob","Robusta",IF(I297="Exc","Excelsa",IF(I297="Ara","Arabica",IF(I297="Lib","Liberica",""))))</f>
        <v/>
      </c>
      <c r="O297">
        <f>IF(J297="M","Medium",IF(J297="L","Light",IF(J297="D","Dark","")))</f>
        <v/>
      </c>
      <c r="P297">
        <f>_xlfn.XLOOKUP(Orders[[#This Row],[Customer ID]],customers!$A$1:$A$1001,customers!$I$1:$I$1001,,0)</f>
        <v/>
      </c>
    </row>
    <row r="298">
      <c r="A298" s="2" t="inlineStr">
        <is>
          <t>O6772</t>
        </is>
      </c>
      <c r="B298" s="3" t="inlineStr">
        <is>
          <t>2022-05-25</t>
        </is>
      </c>
      <c r="C298" s="2" t="inlineStr">
        <is>
          <t>O8603</t>
        </is>
      </c>
      <c r="D298" t="inlineStr">
        <is>
          <t>O5272</t>
        </is>
      </c>
      <c r="E298" s="2" t="n">
        <v>273</v>
      </c>
      <c r="F298" s="2">
        <f>_xlfn.XLOOKUP(C298,customers!$A$1:$A$1001,customers!$B$1:$B$1001,,0)</f>
        <v/>
      </c>
      <c r="G298" s="2">
        <f>IF(_xlfn.XLOOKUP(C298,customers!$A$1:$A$1001,customers!$C$1:$C$1001,,0)=0,"",_xlfn.XLOOKUP(C298,customers!$A$1:$A$1001,customers!$C$1:$C$1001,,0))</f>
        <v/>
      </c>
      <c r="H298" s="2">
        <f>_xlfn.XLOOKUP(C298,customers!$A$1:$A$1001,customers!$G$1:$G$1001,,0)</f>
        <v/>
      </c>
      <c r="I298">
        <f>INDEX(products!$A$1:$G$49,MATCH(orders!$D298,products!$A$1:$A$49,0),MATCH(orders!I$1,products!$A$1:$G$1,0))</f>
        <v/>
      </c>
      <c r="J298">
        <f>INDEX(products!$A$1:$G$49,MATCH(orders!$D298,products!$A$1:$A$49,0),MATCH(orders!J$1,products!$A$1:$G$1,0))</f>
        <v/>
      </c>
      <c r="K298" s="4">
        <f>INDEX(products!$A$1:$G$49,MATCH(orders!$D298,products!$A$1:$A$49,0),MATCH(orders!K$1,products!$A$1:$G$1,0))</f>
        <v/>
      </c>
      <c r="L298" s="5">
        <f>INDEX(products!$A$1:$G$49,MATCH(orders!$D298,products!$A$1:$A$49,0),MATCH(orders!L$1,products!$A$1:$G$1,0))</f>
        <v/>
      </c>
      <c r="M298" s="5">
        <f>L298*E298</f>
        <v/>
      </c>
      <c r="N298">
        <f>IF(I298="Rob","Robusta",IF(I298="Exc","Excelsa",IF(I298="Ara","Arabica",IF(I298="Lib","Liberica",""))))</f>
        <v/>
      </c>
      <c r="O298">
        <f>IF(J298="M","Medium",IF(J298="L","Light",IF(J298="D","Dark","")))</f>
        <v/>
      </c>
      <c r="P298">
        <f>_xlfn.XLOOKUP(Orders[[#This Row],[Customer ID]],customers!$A$1:$A$1001,customers!$I$1:$I$1001,,0)</f>
        <v/>
      </c>
    </row>
    <row r="299">
      <c r="A299" s="2" t="inlineStr">
        <is>
          <t>O2825</t>
        </is>
      </c>
      <c r="B299" s="3" t="inlineStr">
        <is>
          <t>2021-05-23</t>
        </is>
      </c>
      <c r="C299" s="2" t="inlineStr">
        <is>
          <t>O6011</t>
        </is>
      </c>
      <c r="D299" t="inlineStr">
        <is>
          <t>O1629</t>
        </is>
      </c>
      <c r="E299" s="2" t="n">
        <v>337</v>
      </c>
      <c r="F299" s="2">
        <f>_xlfn.XLOOKUP(C299,customers!$A$1:$A$1001,customers!$B$1:$B$1001,,0)</f>
        <v/>
      </c>
      <c r="G299" s="2">
        <f>IF(_xlfn.XLOOKUP(C299,customers!$A$1:$A$1001,customers!$C$1:$C$1001,,0)=0,"",_xlfn.XLOOKUP(C299,customers!$A$1:$A$1001,customers!$C$1:$C$1001,,0))</f>
        <v/>
      </c>
      <c r="H299" s="2">
        <f>_xlfn.XLOOKUP(C299,customers!$A$1:$A$1001,customers!$G$1:$G$1001,,0)</f>
        <v/>
      </c>
      <c r="I299">
        <f>INDEX(products!$A$1:$G$49,MATCH(orders!$D299,products!$A$1:$A$49,0),MATCH(orders!I$1,products!$A$1:$G$1,0))</f>
        <v/>
      </c>
      <c r="J299">
        <f>INDEX(products!$A$1:$G$49,MATCH(orders!$D299,products!$A$1:$A$49,0),MATCH(orders!J$1,products!$A$1:$G$1,0))</f>
        <v/>
      </c>
      <c r="K299" s="4">
        <f>INDEX(products!$A$1:$G$49,MATCH(orders!$D299,products!$A$1:$A$49,0),MATCH(orders!K$1,products!$A$1:$G$1,0))</f>
        <v/>
      </c>
      <c r="L299" s="5">
        <f>INDEX(products!$A$1:$G$49,MATCH(orders!$D299,products!$A$1:$A$49,0),MATCH(orders!L$1,products!$A$1:$G$1,0))</f>
        <v/>
      </c>
      <c r="M299" s="5">
        <f>L299*E299</f>
        <v/>
      </c>
      <c r="N299">
        <f>IF(I299="Rob","Robusta",IF(I299="Exc","Excelsa",IF(I299="Ara","Arabica",IF(I299="Lib","Liberica",""))))</f>
        <v/>
      </c>
      <c r="O299">
        <f>IF(J299="M","Medium",IF(J299="L","Light",IF(J299="D","Dark","")))</f>
        <v/>
      </c>
      <c r="P299">
        <f>_xlfn.XLOOKUP(Orders[[#This Row],[Customer ID]],customers!$A$1:$A$1001,customers!$I$1:$I$1001,,0)</f>
        <v/>
      </c>
    </row>
    <row r="300">
      <c r="A300" s="2" t="inlineStr">
        <is>
          <t>O6552</t>
        </is>
      </c>
      <c r="B300" s="3" t="inlineStr">
        <is>
          <t>2020-09-20</t>
        </is>
      </c>
      <c r="C300" s="2" t="inlineStr">
        <is>
          <t>O2098</t>
        </is>
      </c>
      <c r="D300" t="inlineStr">
        <is>
          <t>O8080</t>
        </is>
      </c>
      <c r="E300" s="2" t="n">
        <v>462</v>
      </c>
      <c r="F300" s="2">
        <f>_xlfn.XLOOKUP(C300,customers!$A$1:$A$1001,customers!$B$1:$B$1001,,0)</f>
        <v/>
      </c>
      <c r="G300" s="2">
        <f>IF(_xlfn.XLOOKUP(C300,customers!$A$1:$A$1001,customers!$C$1:$C$1001,,0)=0,"",_xlfn.XLOOKUP(C300,customers!$A$1:$A$1001,customers!$C$1:$C$1001,,0))</f>
        <v/>
      </c>
      <c r="H300" s="2">
        <f>_xlfn.XLOOKUP(C300,customers!$A$1:$A$1001,customers!$G$1:$G$1001,,0)</f>
        <v/>
      </c>
      <c r="I300">
        <f>INDEX(products!$A$1:$G$49,MATCH(orders!$D300,products!$A$1:$A$49,0),MATCH(orders!I$1,products!$A$1:$G$1,0))</f>
        <v/>
      </c>
      <c r="J300">
        <f>INDEX(products!$A$1:$G$49,MATCH(orders!$D300,products!$A$1:$A$49,0),MATCH(orders!J$1,products!$A$1:$G$1,0))</f>
        <v/>
      </c>
      <c r="K300" s="4">
        <f>INDEX(products!$A$1:$G$49,MATCH(orders!$D300,products!$A$1:$A$49,0),MATCH(orders!K$1,products!$A$1:$G$1,0))</f>
        <v/>
      </c>
      <c r="L300" s="5">
        <f>INDEX(products!$A$1:$G$49,MATCH(orders!$D300,products!$A$1:$A$49,0),MATCH(orders!L$1,products!$A$1:$G$1,0))</f>
        <v/>
      </c>
      <c r="M300" s="5">
        <f>L300*E300</f>
        <v/>
      </c>
      <c r="N300">
        <f>IF(I300="Rob","Robusta",IF(I300="Exc","Excelsa",IF(I300="Ara","Arabica",IF(I300="Lib","Liberica",""))))</f>
        <v/>
      </c>
      <c r="O300">
        <f>IF(J300="M","Medium",IF(J300="L","Light",IF(J300="D","Dark","")))</f>
        <v/>
      </c>
      <c r="P300">
        <f>_xlfn.XLOOKUP(Orders[[#This Row],[Customer ID]],customers!$A$1:$A$1001,customers!$I$1:$I$1001,,0)</f>
        <v/>
      </c>
    </row>
    <row r="301">
      <c r="A301" s="2" t="inlineStr">
        <is>
          <t>O3062</t>
        </is>
      </c>
      <c r="B301" s="3" t="inlineStr">
        <is>
          <t>2022-09-30</t>
        </is>
      </c>
      <c r="C301" s="2" t="inlineStr">
        <is>
          <t>O5769</t>
        </is>
      </c>
      <c r="D301" t="inlineStr">
        <is>
          <t>O2775</t>
        </is>
      </c>
      <c r="E301" s="2" t="n">
        <v>32</v>
      </c>
      <c r="F301" s="2">
        <f>_xlfn.XLOOKUP(C301,customers!$A$1:$A$1001,customers!$B$1:$B$1001,,0)</f>
        <v/>
      </c>
      <c r="G301" s="2">
        <f>IF(_xlfn.XLOOKUP(C301,customers!$A$1:$A$1001,customers!$C$1:$C$1001,,0)=0,"",_xlfn.XLOOKUP(C301,customers!$A$1:$A$1001,customers!$C$1:$C$1001,,0))</f>
        <v/>
      </c>
      <c r="H301" s="2">
        <f>_xlfn.XLOOKUP(C301,customers!$A$1:$A$1001,customers!$G$1:$G$1001,,0)</f>
        <v/>
      </c>
      <c r="I301">
        <f>INDEX(products!$A$1:$G$49,MATCH(orders!$D301,products!$A$1:$A$49,0),MATCH(orders!I$1,products!$A$1:$G$1,0))</f>
        <v/>
      </c>
      <c r="J301">
        <f>INDEX(products!$A$1:$G$49,MATCH(orders!$D301,products!$A$1:$A$49,0),MATCH(orders!J$1,products!$A$1:$G$1,0))</f>
        <v/>
      </c>
      <c r="K301" s="4">
        <f>INDEX(products!$A$1:$G$49,MATCH(orders!$D301,products!$A$1:$A$49,0),MATCH(orders!K$1,products!$A$1:$G$1,0))</f>
        <v/>
      </c>
      <c r="L301" s="5">
        <f>INDEX(products!$A$1:$G$49,MATCH(orders!$D301,products!$A$1:$A$49,0),MATCH(orders!L$1,products!$A$1:$G$1,0))</f>
        <v/>
      </c>
      <c r="M301" s="5">
        <f>L301*E301</f>
        <v/>
      </c>
      <c r="N301">
        <f>IF(I301="Rob","Robusta",IF(I301="Exc","Excelsa",IF(I301="Ara","Arabica",IF(I301="Lib","Liberica",""))))</f>
        <v/>
      </c>
      <c r="O301">
        <f>IF(J301="M","Medium",IF(J301="L","Light",IF(J301="D","Dark","")))</f>
        <v/>
      </c>
      <c r="P301">
        <f>_xlfn.XLOOKUP(Orders[[#This Row],[Customer ID]],customers!$A$1:$A$1001,customers!$I$1:$I$1001,,0)</f>
        <v/>
      </c>
    </row>
    <row r="302">
      <c r="A302" s="2" t="inlineStr">
        <is>
          <t>O3106</t>
        </is>
      </c>
      <c r="B302" s="3" t="inlineStr">
        <is>
          <t>2020-06-20</t>
        </is>
      </c>
      <c r="C302" s="2" t="inlineStr">
        <is>
          <t>O2173</t>
        </is>
      </c>
      <c r="D302" t="inlineStr">
        <is>
          <t>O8731</t>
        </is>
      </c>
      <c r="E302" s="2" t="n">
        <v>359</v>
      </c>
      <c r="F302" s="2">
        <f>_xlfn.XLOOKUP(C302,customers!$A$1:$A$1001,customers!$B$1:$B$1001,,0)</f>
        <v/>
      </c>
      <c r="G302" s="2">
        <f>IF(_xlfn.XLOOKUP(C302,customers!$A$1:$A$1001,customers!$C$1:$C$1001,,0)=0,"",_xlfn.XLOOKUP(C302,customers!$A$1:$A$1001,customers!$C$1:$C$1001,,0))</f>
        <v/>
      </c>
      <c r="H302" s="2">
        <f>_xlfn.XLOOKUP(C302,customers!$A$1:$A$1001,customers!$G$1:$G$1001,,0)</f>
        <v/>
      </c>
      <c r="I302">
        <f>INDEX(products!$A$1:$G$49,MATCH(orders!$D302,products!$A$1:$A$49,0),MATCH(orders!I$1,products!$A$1:$G$1,0))</f>
        <v/>
      </c>
      <c r="J302">
        <f>INDEX(products!$A$1:$G$49,MATCH(orders!$D302,products!$A$1:$A$49,0),MATCH(orders!J$1,products!$A$1:$G$1,0))</f>
        <v/>
      </c>
      <c r="K302" s="4">
        <f>INDEX(products!$A$1:$G$49,MATCH(orders!$D302,products!$A$1:$A$49,0),MATCH(orders!K$1,products!$A$1:$G$1,0))</f>
        <v/>
      </c>
      <c r="L302" s="5">
        <f>INDEX(products!$A$1:$G$49,MATCH(orders!$D302,products!$A$1:$A$49,0),MATCH(orders!L$1,products!$A$1:$G$1,0))</f>
        <v/>
      </c>
      <c r="M302" s="5">
        <f>L302*E302</f>
        <v/>
      </c>
      <c r="N302">
        <f>IF(I302="Rob","Robusta",IF(I302="Exc","Excelsa",IF(I302="Ara","Arabica",IF(I302="Lib","Liberica",""))))</f>
        <v/>
      </c>
      <c r="O302">
        <f>IF(J302="M","Medium",IF(J302="L","Light",IF(J302="D","Dark","")))</f>
        <v/>
      </c>
      <c r="P302">
        <f>_xlfn.XLOOKUP(Orders[[#This Row],[Customer ID]],customers!$A$1:$A$1001,customers!$I$1:$I$1001,,0)</f>
        <v/>
      </c>
    </row>
    <row r="303">
      <c r="A303" s="2" t="inlineStr">
        <is>
          <t>O7105</t>
        </is>
      </c>
      <c r="B303" s="3" t="inlineStr">
        <is>
          <t>2023-06-14</t>
        </is>
      </c>
      <c r="C303" s="2" t="inlineStr">
        <is>
          <t>O4366</t>
        </is>
      </c>
      <c r="D303" t="inlineStr">
        <is>
          <t>O1939</t>
        </is>
      </c>
      <c r="E303" s="2" t="n">
        <v>476</v>
      </c>
      <c r="F303" s="2">
        <f>_xlfn.XLOOKUP(C303,customers!$A$1:$A$1001,customers!$B$1:$B$1001,,0)</f>
        <v/>
      </c>
      <c r="G303" s="2">
        <f>IF(_xlfn.XLOOKUP(C303,customers!$A$1:$A$1001,customers!$C$1:$C$1001,,0)=0,"",_xlfn.XLOOKUP(C303,customers!$A$1:$A$1001,customers!$C$1:$C$1001,,0))</f>
        <v/>
      </c>
      <c r="H303" s="2">
        <f>_xlfn.XLOOKUP(C303,customers!$A$1:$A$1001,customers!$G$1:$G$1001,,0)</f>
        <v/>
      </c>
      <c r="I303">
        <f>INDEX(products!$A$1:$G$49,MATCH(orders!$D303,products!$A$1:$A$49,0),MATCH(orders!I$1,products!$A$1:$G$1,0))</f>
        <v/>
      </c>
      <c r="J303">
        <f>INDEX(products!$A$1:$G$49,MATCH(orders!$D303,products!$A$1:$A$49,0),MATCH(orders!J$1,products!$A$1:$G$1,0))</f>
        <v/>
      </c>
      <c r="K303" s="4">
        <f>INDEX(products!$A$1:$G$49,MATCH(orders!$D303,products!$A$1:$A$49,0),MATCH(orders!K$1,products!$A$1:$G$1,0))</f>
        <v/>
      </c>
      <c r="L303" s="5">
        <f>INDEX(products!$A$1:$G$49,MATCH(orders!$D303,products!$A$1:$A$49,0),MATCH(orders!L$1,products!$A$1:$G$1,0))</f>
        <v/>
      </c>
      <c r="M303" s="5">
        <f>L303*E303</f>
        <v/>
      </c>
      <c r="N303">
        <f>IF(I303="Rob","Robusta",IF(I303="Exc","Excelsa",IF(I303="Ara","Arabica",IF(I303="Lib","Liberica",""))))</f>
        <v/>
      </c>
      <c r="O303">
        <f>IF(J303="M","Medium",IF(J303="L","Light",IF(J303="D","Dark","")))</f>
        <v/>
      </c>
      <c r="P303">
        <f>_xlfn.XLOOKUP(Orders[[#This Row],[Customer ID]],customers!$A$1:$A$1001,customers!$I$1:$I$1001,,0)</f>
        <v/>
      </c>
    </row>
    <row r="304">
      <c r="A304" s="2" t="inlineStr">
        <is>
          <t>O5356</t>
        </is>
      </c>
      <c r="B304" s="3" t="inlineStr">
        <is>
          <t>2020-10-07</t>
        </is>
      </c>
      <c r="C304" s="2" t="inlineStr">
        <is>
          <t>O9006</t>
        </is>
      </c>
      <c r="D304" t="inlineStr">
        <is>
          <t>O8899</t>
        </is>
      </c>
      <c r="E304" s="2" t="n">
        <v>389</v>
      </c>
      <c r="F304" s="2">
        <f>_xlfn.XLOOKUP(C304,customers!$A$1:$A$1001,customers!$B$1:$B$1001,,0)</f>
        <v/>
      </c>
      <c r="G304" s="2">
        <f>IF(_xlfn.XLOOKUP(C304,customers!$A$1:$A$1001,customers!$C$1:$C$1001,,0)=0,"",_xlfn.XLOOKUP(C304,customers!$A$1:$A$1001,customers!$C$1:$C$1001,,0))</f>
        <v/>
      </c>
      <c r="H304" s="2">
        <f>_xlfn.XLOOKUP(C304,customers!$A$1:$A$1001,customers!$G$1:$G$1001,,0)</f>
        <v/>
      </c>
      <c r="I304">
        <f>INDEX(products!$A$1:$G$49,MATCH(orders!$D304,products!$A$1:$A$49,0),MATCH(orders!I$1,products!$A$1:$G$1,0))</f>
        <v/>
      </c>
      <c r="J304">
        <f>INDEX(products!$A$1:$G$49,MATCH(orders!$D304,products!$A$1:$A$49,0),MATCH(orders!J$1,products!$A$1:$G$1,0))</f>
        <v/>
      </c>
      <c r="K304" s="4">
        <f>INDEX(products!$A$1:$G$49,MATCH(orders!$D304,products!$A$1:$A$49,0),MATCH(orders!K$1,products!$A$1:$G$1,0))</f>
        <v/>
      </c>
      <c r="L304" s="5">
        <f>INDEX(products!$A$1:$G$49,MATCH(orders!$D304,products!$A$1:$A$49,0),MATCH(orders!L$1,products!$A$1:$G$1,0))</f>
        <v/>
      </c>
      <c r="M304" s="5">
        <f>L304*E304</f>
        <v/>
      </c>
      <c r="N304">
        <f>IF(I304="Rob","Robusta",IF(I304="Exc","Excelsa",IF(I304="Ara","Arabica",IF(I304="Lib","Liberica",""))))</f>
        <v/>
      </c>
      <c r="O304">
        <f>IF(J304="M","Medium",IF(J304="L","Light",IF(J304="D","Dark","")))</f>
        <v/>
      </c>
      <c r="P304">
        <f>_xlfn.XLOOKUP(Orders[[#This Row],[Customer ID]],customers!$A$1:$A$1001,customers!$I$1:$I$1001,,0)</f>
        <v/>
      </c>
    </row>
    <row r="305">
      <c r="A305" s="2" t="inlineStr">
        <is>
          <t>O2403</t>
        </is>
      </c>
      <c r="B305" s="3" t="inlineStr">
        <is>
          <t>2020-10-17</t>
        </is>
      </c>
      <c r="C305" s="2" t="inlineStr">
        <is>
          <t>O5327</t>
        </is>
      </c>
      <c r="D305" t="inlineStr">
        <is>
          <t>O5039</t>
        </is>
      </c>
      <c r="E305" s="2" t="n">
        <v>44</v>
      </c>
      <c r="F305" s="2">
        <f>_xlfn.XLOOKUP(C305,customers!$A$1:$A$1001,customers!$B$1:$B$1001,,0)</f>
        <v/>
      </c>
      <c r="G305" s="2">
        <f>IF(_xlfn.XLOOKUP(C305,customers!$A$1:$A$1001,customers!$C$1:$C$1001,,0)=0,"",_xlfn.XLOOKUP(C305,customers!$A$1:$A$1001,customers!$C$1:$C$1001,,0))</f>
        <v/>
      </c>
      <c r="H305" s="2">
        <f>_xlfn.XLOOKUP(C305,customers!$A$1:$A$1001,customers!$G$1:$G$1001,,0)</f>
        <v/>
      </c>
      <c r="I305">
        <f>INDEX(products!$A$1:$G$49,MATCH(orders!$D305,products!$A$1:$A$49,0),MATCH(orders!I$1,products!$A$1:$G$1,0))</f>
        <v/>
      </c>
      <c r="J305">
        <f>INDEX(products!$A$1:$G$49,MATCH(orders!$D305,products!$A$1:$A$49,0),MATCH(orders!J$1,products!$A$1:$G$1,0))</f>
        <v/>
      </c>
      <c r="K305" s="4">
        <f>INDEX(products!$A$1:$G$49,MATCH(orders!$D305,products!$A$1:$A$49,0),MATCH(orders!K$1,products!$A$1:$G$1,0))</f>
        <v/>
      </c>
      <c r="L305" s="5">
        <f>INDEX(products!$A$1:$G$49,MATCH(orders!$D305,products!$A$1:$A$49,0),MATCH(orders!L$1,products!$A$1:$G$1,0))</f>
        <v/>
      </c>
      <c r="M305" s="5">
        <f>L305*E305</f>
        <v/>
      </c>
      <c r="N305">
        <f>IF(I305="Rob","Robusta",IF(I305="Exc","Excelsa",IF(I305="Ara","Arabica",IF(I305="Lib","Liberica",""))))</f>
        <v/>
      </c>
      <c r="O305">
        <f>IF(J305="M","Medium",IF(J305="L","Light",IF(J305="D","Dark","")))</f>
        <v/>
      </c>
      <c r="P305">
        <f>_xlfn.XLOOKUP(Orders[[#This Row],[Customer ID]],customers!$A$1:$A$1001,customers!$I$1:$I$1001,,0)</f>
        <v/>
      </c>
    </row>
    <row r="306">
      <c r="A306" s="2" t="inlineStr">
        <is>
          <t>O3815</t>
        </is>
      </c>
      <c r="B306" s="3" t="inlineStr">
        <is>
          <t>2020-05-20</t>
        </is>
      </c>
      <c r="C306" s="2" t="inlineStr">
        <is>
          <t>O6572</t>
        </is>
      </c>
      <c r="D306" t="inlineStr">
        <is>
          <t>O9080</t>
        </is>
      </c>
      <c r="E306" s="2" t="n">
        <v>364</v>
      </c>
      <c r="F306" s="2">
        <f>_xlfn.XLOOKUP(C306,customers!$A$1:$A$1001,customers!$B$1:$B$1001,,0)</f>
        <v/>
      </c>
      <c r="G306" s="2">
        <f>IF(_xlfn.XLOOKUP(C306,customers!$A$1:$A$1001,customers!$C$1:$C$1001,,0)=0,"",_xlfn.XLOOKUP(C306,customers!$A$1:$A$1001,customers!$C$1:$C$1001,,0))</f>
        <v/>
      </c>
      <c r="H306" s="2">
        <f>_xlfn.XLOOKUP(C306,customers!$A$1:$A$1001,customers!$G$1:$G$1001,,0)</f>
        <v/>
      </c>
      <c r="I306">
        <f>INDEX(products!$A$1:$G$49,MATCH(orders!$D306,products!$A$1:$A$49,0),MATCH(orders!I$1,products!$A$1:$G$1,0))</f>
        <v/>
      </c>
      <c r="J306">
        <f>INDEX(products!$A$1:$G$49,MATCH(orders!$D306,products!$A$1:$A$49,0),MATCH(orders!J$1,products!$A$1:$G$1,0))</f>
        <v/>
      </c>
      <c r="K306" s="4">
        <f>INDEX(products!$A$1:$G$49,MATCH(orders!$D306,products!$A$1:$A$49,0),MATCH(orders!K$1,products!$A$1:$G$1,0))</f>
        <v/>
      </c>
      <c r="L306" s="5">
        <f>INDEX(products!$A$1:$G$49,MATCH(orders!$D306,products!$A$1:$A$49,0),MATCH(orders!L$1,products!$A$1:$G$1,0))</f>
        <v/>
      </c>
      <c r="M306" s="5">
        <f>L306*E306</f>
        <v/>
      </c>
      <c r="N306">
        <f>IF(I306="Rob","Robusta",IF(I306="Exc","Excelsa",IF(I306="Ara","Arabica",IF(I306="Lib","Liberica",""))))</f>
        <v/>
      </c>
      <c r="O306">
        <f>IF(J306="M","Medium",IF(J306="L","Light",IF(J306="D","Dark","")))</f>
        <v/>
      </c>
      <c r="P306">
        <f>_xlfn.XLOOKUP(Orders[[#This Row],[Customer ID]],customers!$A$1:$A$1001,customers!$I$1:$I$1001,,0)</f>
        <v/>
      </c>
    </row>
    <row r="307">
      <c r="A307" s="2" t="inlineStr">
        <is>
          <t>O6799</t>
        </is>
      </c>
      <c r="B307" s="3" t="inlineStr">
        <is>
          <t>2020-06-27</t>
        </is>
      </c>
      <c r="C307" s="2" t="inlineStr">
        <is>
          <t>O6082</t>
        </is>
      </c>
      <c r="D307" t="inlineStr">
        <is>
          <t>O2625</t>
        </is>
      </c>
      <c r="E307" s="2" t="n">
        <v>337</v>
      </c>
      <c r="F307" s="2">
        <f>_xlfn.XLOOKUP(C307,customers!$A$1:$A$1001,customers!$B$1:$B$1001,,0)</f>
        <v/>
      </c>
      <c r="G307" s="2">
        <f>IF(_xlfn.XLOOKUP(C307,customers!$A$1:$A$1001,customers!$C$1:$C$1001,,0)=0,"",_xlfn.XLOOKUP(C307,customers!$A$1:$A$1001,customers!$C$1:$C$1001,,0))</f>
        <v/>
      </c>
      <c r="H307" s="2">
        <f>_xlfn.XLOOKUP(C307,customers!$A$1:$A$1001,customers!$G$1:$G$1001,,0)</f>
        <v/>
      </c>
      <c r="I307">
        <f>INDEX(products!$A$1:$G$49,MATCH(orders!$D307,products!$A$1:$A$49,0),MATCH(orders!I$1,products!$A$1:$G$1,0))</f>
        <v/>
      </c>
      <c r="J307">
        <f>INDEX(products!$A$1:$G$49,MATCH(orders!$D307,products!$A$1:$A$49,0),MATCH(orders!J$1,products!$A$1:$G$1,0))</f>
        <v/>
      </c>
      <c r="K307" s="4">
        <f>INDEX(products!$A$1:$G$49,MATCH(orders!$D307,products!$A$1:$A$49,0),MATCH(orders!K$1,products!$A$1:$G$1,0))</f>
        <v/>
      </c>
      <c r="L307" s="5">
        <f>INDEX(products!$A$1:$G$49,MATCH(orders!$D307,products!$A$1:$A$49,0),MATCH(orders!L$1,products!$A$1:$G$1,0))</f>
        <v/>
      </c>
      <c r="M307" s="5">
        <f>L307*E307</f>
        <v/>
      </c>
      <c r="N307">
        <f>IF(I307="Rob","Robusta",IF(I307="Exc","Excelsa",IF(I307="Ara","Arabica",IF(I307="Lib","Liberica",""))))</f>
        <v/>
      </c>
      <c r="O307">
        <f>IF(J307="M","Medium",IF(J307="L","Light",IF(J307="D","Dark","")))</f>
        <v/>
      </c>
      <c r="P307">
        <f>_xlfn.XLOOKUP(Orders[[#This Row],[Customer ID]],customers!$A$1:$A$1001,customers!$I$1:$I$1001,,0)</f>
        <v/>
      </c>
    </row>
    <row r="308">
      <c r="A308" s="2" t="inlineStr">
        <is>
          <t>O4411</t>
        </is>
      </c>
      <c r="B308" s="3" t="inlineStr">
        <is>
          <t>2020-10-03</t>
        </is>
      </c>
      <c r="C308" s="2" t="inlineStr">
        <is>
          <t>O7848</t>
        </is>
      </c>
      <c r="D308" t="inlineStr">
        <is>
          <t>O6953</t>
        </is>
      </c>
      <c r="E308" s="2" t="n">
        <v>186</v>
      </c>
      <c r="F308" s="2">
        <f>_xlfn.XLOOKUP(C308,customers!$A$1:$A$1001,customers!$B$1:$B$1001,,0)</f>
        <v/>
      </c>
      <c r="G308" s="2">
        <f>IF(_xlfn.XLOOKUP(C308,customers!$A$1:$A$1001,customers!$C$1:$C$1001,,0)=0,"",_xlfn.XLOOKUP(C308,customers!$A$1:$A$1001,customers!$C$1:$C$1001,,0))</f>
        <v/>
      </c>
      <c r="H308" s="2">
        <f>_xlfn.XLOOKUP(C308,customers!$A$1:$A$1001,customers!$G$1:$G$1001,,0)</f>
        <v/>
      </c>
      <c r="I308">
        <f>INDEX(products!$A$1:$G$49,MATCH(orders!$D308,products!$A$1:$A$49,0),MATCH(orders!I$1,products!$A$1:$G$1,0))</f>
        <v/>
      </c>
      <c r="J308">
        <f>INDEX(products!$A$1:$G$49,MATCH(orders!$D308,products!$A$1:$A$49,0),MATCH(orders!J$1,products!$A$1:$G$1,0))</f>
        <v/>
      </c>
      <c r="K308" s="4">
        <f>INDEX(products!$A$1:$G$49,MATCH(orders!$D308,products!$A$1:$A$49,0),MATCH(orders!K$1,products!$A$1:$G$1,0))</f>
        <v/>
      </c>
      <c r="L308" s="5">
        <f>INDEX(products!$A$1:$G$49,MATCH(orders!$D308,products!$A$1:$A$49,0),MATCH(orders!L$1,products!$A$1:$G$1,0))</f>
        <v/>
      </c>
      <c r="M308" s="5">
        <f>L308*E308</f>
        <v/>
      </c>
      <c r="N308">
        <f>IF(I308="Rob","Robusta",IF(I308="Exc","Excelsa",IF(I308="Ara","Arabica",IF(I308="Lib","Liberica",""))))</f>
        <v/>
      </c>
      <c r="O308">
        <f>IF(J308="M","Medium",IF(J308="L","Light",IF(J308="D","Dark","")))</f>
        <v/>
      </c>
      <c r="P308">
        <f>_xlfn.XLOOKUP(Orders[[#This Row],[Customer ID]],customers!$A$1:$A$1001,customers!$I$1:$I$1001,,0)</f>
        <v/>
      </c>
    </row>
    <row r="309">
      <c r="A309" s="2" t="inlineStr">
        <is>
          <t>O3923</t>
        </is>
      </c>
      <c r="B309" s="3" t="inlineStr">
        <is>
          <t>2023-02-08</t>
        </is>
      </c>
      <c r="C309" s="2" t="inlineStr">
        <is>
          <t>O9027</t>
        </is>
      </c>
      <c r="D309" t="inlineStr">
        <is>
          <t>O9092</t>
        </is>
      </c>
      <c r="E309" s="2" t="n">
        <v>89</v>
      </c>
      <c r="F309" s="2">
        <f>_xlfn.XLOOKUP(C309,customers!$A$1:$A$1001,customers!$B$1:$B$1001,,0)</f>
        <v/>
      </c>
      <c r="G309" s="2">
        <f>IF(_xlfn.XLOOKUP(C309,customers!$A$1:$A$1001,customers!$C$1:$C$1001,,0)=0,"",_xlfn.XLOOKUP(C309,customers!$A$1:$A$1001,customers!$C$1:$C$1001,,0))</f>
        <v/>
      </c>
      <c r="H309" s="2">
        <f>_xlfn.XLOOKUP(C309,customers!$A$1:$A$1001,customers!$G$1:$G$1001,,0)</f>
        <v/>
      </c>
      <c r="I309">
        <f>INDEX(products!$A$1:$G$49,MATCH(orders!$D309,products!$A$1:$A$49,0),MATCH(orders!I$1,products!$A$1:$G$1,0))</f>
        <v/>
      </c>
      <c r="J309">
        <f>INDEX(products!$A$1:$G$49,MATCH(orders!$D309,products!$A$1:$A$49,0),MATCH(orders!J$1,products!$A$1:$G$1,0))</f>
        <v/>
      </c>
      <c r="K309" s="4">
        <f>INDEX(products!$A$1:$G$49,MATCH(orders!$D309,products!$A$1:$A$49,0),MATCH(orders!K$1,products!$A$1:$G$1,0))</f>
        <v/>
      </c>
      <c r="L309" s="5">
        <f>INDEX(products!$A$1:$G$49,MATCH(orders!$D309,products!$A$1:$A$49,0),MATCH(orders!L$1,products!$A$1:$G$1,0))</f>
        <v/>
      </c>
      <c r="M309" s="5">
        <f>L309*E309</f>
        <v/>
      </c>
      <c r="N309">
        <f>IF(I309="Rob","Robusta",IF(I309="Exc","Excelsa",IF(I309="Ara","Arabica",IF(I309="Lib","Liberica",""))))</f>
        <v/>
      </c>
      <c r="O309">
        <f>IF(J309="M","Medium",IF(J309="L","Light",IF(J309="D","Dark","")))</f>
        <v/>
      </c>
      <c r="P309">
        <f>_xlfn.XLOOKUP(Orders[[#This Row],[Customer ID]],customers!$A$1:$A$1001,customers!$I$1:$I$1001,,0)</f>
        <v/>
      </c>
    </row>
    <row r="310">
      <c r="A310" s="2" t="inlineStr">
        <is>
          <t>O8151</t>
        </is>
      </c>
      <c r="B310" s="3" t="inlineStr">
        <is>
          <t>2022-02-14</t>
        </is>
      </c>
      <c r="C310" s="2" t="inlineStr">
        <is>
          <t>O3101</t>
        </is>
      </c>
      <c r="D310" t="inlineStr">
        <is>
          <t>O9148</t>
        </is>
      </c>
      <c r="E310" s="2" t="n">
        <v>194</v>
      </c>
      <c r="F310" s="2">
        <f>_xlfn.XLOOKUP(C310,customers!$A$1:$A$1001,customers!$B$1:$B$1001,,0)</f>
        <v/>
      </c>
      <c r="G310" s="2">
        <f>IF(_xlfn.XLOOKUP(C310,customers!$A$1:$A$1001,customers!$C$1:$C$1001,,0)=0,"",_xlfn.XLOOKUP(C310,customers!$A$1:$A$1001,customers!$C$1:$C$1001,,0))</f>
        <v/>
      </c>
      <c r="H310" s="2">
        <f>_xlfn.XLOOKUP(C310,customers!$A$1:$A$1001,customers!$G$1:$G$1001,,0)</f>
        <v/>
      </c>
      <c r="I310">
        <f>INDEX(products!$A$1:$G$49,MATCH(orders!$D310,products!$A$1:$A$49,0),MATCH(orders!I$1,products!$A$1:$G$1,0))</f>
        <v/>
      </c>
      <c r="J310">
        <f>INDEX(products!$A$1:$G$49,MATCH(orders!$D310,products!$A$1:$A$49,0),MATCH(orders!J$1,products!$A$1:$G$1,0))</f>
        <v/>
      </c>
      <c r="K310" s="4">
        <f>INDEX(products!$A$1:$G$49,MATCH(orders!$D310,products!$A$1:$A$49,0),MATCH(orders!K$1,products!$A$1:$G$1,0))</f>
        <v/>
      </c>
      <c r="L310" s="5">
        <f>INDEX(products!$A$1:$G$49,MATCH(orders!$D310,products!$A$1:$A$49,0),MATCH(orders!L$1,products!$A$1:$G$1,0))</f>
        <v/>
      </c>
      <c r="M310" s="5">
        <f>L310*E310</f>
        <v/>
      </c>
      <c r="N310">
        <f>IF(I310="Rob","Robusta",IF(I310="Exc","Excelsa",IF(I310="Ara","Arabica",IF(I310="Lib","Liberica",""))))</f>
        <v/>
      </c>
      <c r="O310">
        <f>IF(J310="M","Medium",IF(J310="L","Light",IF(J310="D","Dark","")))</f>
        <v/>
      </c>
      <c r="P310">
        <f>_xlfn.XLOOKUP(Orders[[#This Row],[Customer ID]],customers!$A$1:$A$1001,customers!$I$1:$I$1001,,0)</f>
        <v/>
      </c>
    </row>
    <row r="311">
      <c r="A311" s="2" t="inlineStr">
        <is>
          <t>O5371</t>
        </is>
      </c>
      <c r="B311" s="3" t="inlineStr">
        <is>
          <t>2020-06-02</t>
        </is>
      </c>
      <c r="C311" s="2" t="inlineStr">
        <is>
          <t>O2771</t>
        </is>
      </c>
      <c r="D311" t="inlineStr">
        <is>
          <t>O5544</t>
        </is>
      </c>
      <c r="E311" s="2" t="n">
        <v>327</v>
      </c>
      <c r="F311" s="2">
        <f>_xlfn.XLOOKUP(C311,customers!$A$1:$A$1001,customers!$B$1:$B$1001,,0)</f>
        <v/>
      </c>
      <c r="G311" s="2">
        <f>IF(_xlfn.XLOOKUP(C311,customers!$A$1:$A$1001,customers!$C$1:$C$1001,,0)=0,"",_xlfn.XLOOKUP(C311,customers!$A$1:$A$1001,customers!$C$1:$C$1001,,0))</f>
        <v/>
      </c>
      <c r="H311" s="2">
        <f>_xlfn.XLOOKUP(C311,customers!$A$1:$A$1001,customers!$G$1:$G$1001,,0)</f>
        <v/>
      </c>
      <c r="I311">
        <f>INDEX(products!$A$1:$G$49,MATCH(orders!$D311,products!$A$1:$A$49,0),MATCH(orders!I$1,products!$A$1:$G$1,0))</f>
        <v/>
      </c>
      <c r="J311">
        <f>INDEX(products!$A$1:$G$49,MATCH(orders!$D311,products!$A$1:$A$49,0),MATCH(orders!J$1,products!$A$1:$G$1,0))</f>
        <v/>
      </c>
      <c r="K311" s="4">
        <f>INDEX(products!$A$1:$G$49,MATCH(orders!$D311,products!$A$1:$A$49,0),MATCH(orders!K$1,products!$A$1:$G$1,0))</f>
        <v/>
      </c>
      <c r="L311" s="5">
        <f>INDEX(products!$A$1:$G$49,MATCH(orders!$D311,products!$A$1:$A$49,0),MATCH(orders!L$1,products!$A$1:$G$1,0))</f>
        <v/>
      </c>
      <c r="M311" s="5">
        <f>L311*E311</f>
        <v/>
      </c>
      <c r="N311">
        <f>IF(I311="Rob","Robusta",IF(I311="Exc","Excelsa",IF(I311="Ara","Arabica",IF(I311="Lib","Liberica",""))))</f>
        <v/>
      </c>
      <c r="O311">
        <f>IF(J311="M","Medium",IF(J311="L","Light",IF(J311="D","Dark","")))</f>
        <v/>
      </c>
      <c r="P311">
        <f>_xlfn.XLOOKUP(Orders[[#This Row],[Customer ID]],customers!$A$1:$A$1001,customers!$I$1:$I$1001,,0)</f>
        <v/>
      </c>
    </row>
    <row r="312">
      <c r="A312" s="2" t="inlineStr">
        <is>
          <t>O6253</t>
        </is>
      </c>
      <c r="B312" s="3" t="inlineStr">
        <is>
          <t>2022-05-22</t>
        </is>
      </c>
      <c r="C312" s="2" t="inlineStr">
        <is>
          <t>O6934</t>
        </is>
      </c>
      <c r="D312" t="inlineStr">
        <is>
          <t>O2712</t>
        </is>
      </c>
      <c r="E312" s="2" t="n">
        <v>203</v>
      </c>
      <c r="F312" s="2">
        <f>_xlfn.XLOOKUP(C312,customers!$A$1:$A$1001,customers!$B$1:$B$1001,,0)</f>
        <v/>
      </c>
      <c r="G312" s="2">
        <f>IF(_xlfn.XLOOKUP(C312,customers!$A$1:$A$1001,customers!$C$1:$C$1001,,0)=0,"",_xlfn.XLOOKUP(C312,customers!$A$1:$A$1001,customers!$C$1:$C$1001,,0))</f>
        <v/>
      </c>
      <c r="H312" s="2">
        <f>_xlfn.XLOOKUP(C312,customers!$A$1:$A$1001,customers!$G$1:$G$1001,,0)</f>
        <v/>
      </c>
      <c r="I312">
        <f>INDEX(products!$A$1:$G$49,MATCH(orders!$D312,products!$A$1:$A$49,0),MATCH(orders!I$1,products!$A$1:$G$1,0))</f>
        <v/>
      </c>
      <c r="J312">
        <f>INDEX(products!$A$1:$G$49,MATCH(orders!$D312,products!$A$1:$A$49,0),MATCH(orders!J$1,products!$A$1:$G$1,0))</f>
        <v/>
      </c>
      <c r="K312" s="4">
        <f>INDEX(products!$A$1:$G$49,MATCH(orders!$D312,products!$A$1:$A$49,0),MATCH(orders!K$1,products!$A$1:$G$1,0))</f>
        <v/>
      </c>
      <c r="L312" s="5">
        <f>INDEX(products!$A$1:$G$49,MATCH(orders!$D312,products!$A$1:$A$49,0),MATCH(orders!L$1,products!$A$1:$G$1,0))</f>
        <v/>
      </c>
      <c r="M312" s="5">
        <f>L312*E312</f>
        <v/>
      </c>
      <c r="N312">
        <f>IF(I312="Rob","Robusta",IF(I312="Exc","Excelsa",IF(I312="Ara","Arabica",IF(I312="Lib","Liberica",""))))</f>
        <v/>
      </c>
      <c r="O312">
        <f>IF(J312="M","Medium",IF(J312="L","Light",IF(J312="D","Dark","")))</f>
        <v/>
      </c>
      <c r="P312">
        <f>_xlfn.XLOOKUP(Orders[[#This Row],[Customer ID]],customers!$A$1:$A$1001,customers!$I$1:$I$1001,,0)</f>
        <v/>
      </c>
    </row>
    <row r="313">
      <c r="A313" s="2" t="inlineStr">
        <is>
          <t>O1833</t>
        </is>
      </c>
      <c r="B313" s="3" t="inlineStr">
        <is>
          <t>2021-03-24</t>
        </is>
      </c>
      <c r="C313" s="2" t="inlineStr">
        <is>
          <t>O7326</t>
        </is>
      </c>
      <c r="D313" t="inlineStr">
        <is>
          <t>O6045</t>
        </is>
      </c>
      <c r="E313" s="2" t="n">
        <v>297</v>
      </c>
      <c r="F313" s="2">
        <f>_xlfn.XLOOKUP(C313,customers!$A$1:$A$1001,customers!$B$1:$B$1001,,0)</f>
        <v/>
      </c>
      <c r="G313" s="2">
        <f>IF(_xlfn.XLOOKUP(C313,customers!$A$1:$A$1001,customers!$C$1:$C$1001,,0)=0,"",_xlfn.XLOOKUP(C313,customers!$A$1:$A$1001,customers!$C$1:$C$1001,,0))</f>
        <v/>
      </c>
      <c r="H313" s="2">
        <f>_xlfn.XLOOKUP(C313,customers!$A$1:$A$1001,customers!$G$1:$G$1001,,0)</f>
        <v/>
      </c>
      <c r="I313">
        <f>INDEX(products!$A$1:$G$49,MATCH(orders!$D313,products!$A$1:$A$49,0),MATCH(orders!I$1,products!$A$1:$G$1,0))</f>
        <v/>
      </c>
      <c r="J313">
        <f>INDEX(products!$A$1:$G$49,MATCH(orders!$D313,products!$A$1:$A$49,0),MATCH(orders!J$1,products!$A$1:$G$1,0))</f>
        <v/>
      </c>
      <c r="K313" s="4">
        <f>INDEX(products!$A$1:$G$49,MATCH(orders!$D313,products!$A$1:$A$49,0),MATCH(orders!K$1,products!$A$1:$G$1,0))</f>
        <v/>
      </c>
      <c r="L313" s="5">
        <f>INDEX(products!$A$1:$G$49,MATCH(orders!$D313,products!$A$1:$A$49,0),MATCH(orders!L$1,products!$A$1:$G$1,0))</f>
        <v/>
      </c>
      <c r="M313" s="5">
        <f>L313*E313</f>
        <v/>
      </c>
      <c r="N313">
        <f>IF(I313="Rob","Robusta",IF(I313="Exc","Excelsa",IF(I313="Ara","Arabica",IF(I313="Lib","Liberica",""))))</f>
        <v/>
      </c>
      <c r="O313">
        <f>IF(J313="M","Medium",IF(J313="L","Light",IF(J313="D","Dark","")))</f>
        <v/>
      </c>
      <c r="P313">
        <f>_xlfn.XLOOKUP(Orders[[#This Row],[Customer ID]],customers!$A$1:$A$1001,customers!$I$1:$I$1001,,0)</f>
        <v/>
      </c>
    </row>
    <row r="314">
      <c r="A314" s="2" t="inlineStr">
        <is>
          <t>O6673</t>
        </is>
      </c>
      <c r="B314" s="3" t="inlineStr">
        <is>
          <t>2024-02-05</t>
        </is>
      </c>
      <c r="C314" s="2" t="inlineStr">
        <is>
          <t>O8665</t>
        </is>
      </c>
      <c r="D314" t="inlineStr">
        <is>
          <t>O1590</t>
        </is>
      </c>
      <c r="E314" s="2" t="n">
        <v>45</v>
      </c>
      <c r="F314" s="2">
        <f>_xlfn.XLOOKUP(C314,customers!$A$1:$A$1001,customers!$B$1:$B$1001,,0)</f>
        <v/>
      </c>
      <c r="G314" s="2">
        <f>IF(_xlfn.XLOOKUP(C314,customers!$A$1:$A$1001,customers!$C$1:$C$1001,,0)=0,"",_xlfn.XLOOKUP(C314,customers!$A$1:$A$1001,customers!$C$1:$C$1001,,0))</f>
        <v/>
      </c>
      <c r="H314" s="2">
        <f>_xlfn.XLOOKUP(C314,customers!$A$1:$A$1001,customers!$G$1:$G$1001,,0)</f>
        <v/>
      </c>
      <c r="I314">
        <f>INDEX(products!$A$1:$G$49,MATCH(orders!$D314,products!$A$1:$A$49,0),MATCH(orders!I$1,products!$A$1:$G$1,0))</f>
        <v/>
      </c>
      <c r="J314">
        <f>INDEX(products!$A$1:$G$49,MATCH(orders!$D314,products!$A$1:$A$49,0),MATCH(orders!J$1,products!$A$1:$G$1,0))</f>
        <v/>
      </c>
      <c r="K314" s="4">
        <f>INDEX(products!$A$1:$G$49,MATCH(orders!$D314,products!$A$1:$A$49,0),MATCH(orders!K$1,products!$A$1:$G$1,0))</f>
        <v/>
      </c>
      <c r="L314" s="5">
        <f>INDEX(products!$A$1:$G$49,MATCH(orders!$D314,products!$A$1:$A$49,0),MATCH(orders!L$1,products!$A$1:$G$1,0))</f>
        <v/>
      </c>
      <c r="M314" s="5">
        <f>L314*E314</f>
        <v/>
      </c>
      <c r="N314">
        <f>IF(I314="Rob","Robusta",IF(I314="Exc","Excelsa",IF(I314="Ara","Arabica",IF(I314="Lib","Liberica",""))))</f>
        <v/>
      </c>
      <c r="O314">
        <f>IF(J314="M","Medium",IF(J314="L","Light",IF(J314="D","Dark","")))</f>
        <v/>
      </c>
      <c r="P314">
        <f>_xlfn.XLOOKUP(Orders[[#This Row],[Customer ID]],customers!$A$1:$A$1001,customers!$I$1:$I$1001,,0)</f>
        <v/>
      </c>
    </row>
    <row r="315">
      <c r="A315" s="2" t="inlineStr">
        <is>
          <t>O4509</t>
        </is>
      </c>
      <c r="B315" s="3" t="inlineStr">
        <is>
          <t>2025-01-03</t>
        </is>
      </c>
      <c r="C315" s="2" t="inlineStr">
        <is>
          <t>O3881</t>
        </is>
      </c>
      <c r="D315" t="inlineStr">
        <is>
          <t>O2236</t>
        </is>
      </c>
      <c r="E315" s="2" t="n">
        <v>3</v>
      </c>
      <c r="F315" s="2">
        <f>_xlfn.XLOOKUP(C315,customers!$A$1:$A$1001,customers!$B$1:$B$1001,,0)</f>
        <v/>
      </c>
      <c r="G315" s="2">
        <f>IF(_xlfn.XLOOKUP(C315,customers!$A$1:$A$1001,customers!$C$1:$C$1001,,0)=0,"",_xlfn.XLOOKUP(C315,customers!$A$1:$A$1001,customers!$C$1:$C$1001,,0))</f>
        <v/>
      </c>
      <c r="H315" s="2">
        <f>_xlfn.XLOOKUP(C315,customers!$A$1:$A$1001,customers!$G$1:$G$1001,,0)</f>
        <v/>
      </c>
      <c r="I315">
        <f>INDEX(products!$A$1:$G$49,MATCH(orders!$D315,products!$A$1:$A$49,0),MATCH(orders!I$1,products!$A$1:$G$1,0))</f>
        <v/>
      </c>
      <c r="J315">
        <f>INDEX(products!$A$1:$G$49,MATCH(orders!$D315,products!$A$1:$A$49,0),MATCH(orders!J$1,products!$A$1:$G$1,0))</f>
        <v/>
      </c>
      <c r="K315" s="4">
        <f>INDEX(products!$A$1:$G$49,MATCH(orders!$D315,products!$A$1:$A$49,0),MATCH(orders!K$1,products!$A$1:$G$1,0))</f>
        <v/>
      </c>
      <c r="L315" s="5">
        <f>INDEX(products!$A$1:$G$49,MATCH(orders!$D315,products!$A$1:$A$49,0),MATCH(orders!L$1,products!$A$1:$G$1,0))</f>
        <v/>
      </c>
      <c r="M315" s="5">
        <f>L315*E315</f>
        <v/>
      </c>
      <c r="N315">
        <f>IF(I315="Rob","Robusta",IF(I315="Exc","Excelsa",IF(I315="Ara","Arabica",IF(I315="Lib","Liberica",""))))</f>
        <v/>
      </c>
      <c r="O315">
        <f>IF(J315="M","Medium",IF(J315="L","Light",IF(J315="D","Dark","")))</f>
        <v/>
      </c>
      <c r="P315">
        <f>_xlfn.XLOOKUP(Orders[[#This Row],[Customer ID]],customers!$A$1:$A$1001,customers!$I$1:$I$1001,,0)</f>
        <v/>
      </c>
    </row>
    <row r="316">
      <c r="A316" s="2" t="inlineStr">
        <is>
          <t>O3347</t>
        </is>
      </c>
      <c r="B316" s="3" t="inlineStr">
        <is>
          <t>2024-08-24</t>
        </is>
      </c>
      <c r="C316" s="2" t="inlineStr">
        <is>
          <t>O7946</t>
        </is>
      </c>
      <c r="D316" t="inlineStr">
        <is>
          <t>O5040</t>
        </is>
      </c>
      <c r="E316" s="2" t="n">
        <v>167</v>
      </c>
      <c r="F316" s="2">
        <f>_xlfn.XLOOKUP(C316,customers!$A$1:$A$1001,customers!$B$1:$B$1001,,0)</f>
        <v/>
      </c>
      <c r="G316" s="2">
        <f>IF(_xlfn.XLOOKUP(C316,customers!$A$1:$A$1001,customers!$C$1:$C$1001,,0)=0,"",_xlfn.XLOOKUP(C316,customers!$A$1:$A$1001,customers!$C$1:$C$1001,,0))</f>
        <v/>
      </c>
      <c r="H316" s="2">
        <f>_xlfn.XLOOKUP(C316,customers!$A$1:$A$1001,customers!$G$1:$G$1001,,0)</f>
        <v/>
      </c>
      <c r="I316">
        <f>INDEX(products!$A$1:$G$49,MATCH(orders!$D316,products!$A$1:$A$49,0),MATCH(orders!I$1,products!$A$1:$G$1,0))</f>
        <v/>
      </c>
      <c r="J316">
        <f>INDEX(products!$A$1:$G$49,MATCH(orders!$D316,products!$A$1:$A$49,0),MATCH(orders!J$1,products!$A$1:$G$1,0))</f>
        <v/>
      </c>
      <c r="K316" s="4">
        <f>INDEX(products!$A$1:$G$49,MATCH(orders!$D316,products!$A$1:$A$49,0),MATCH(orders!K$1,products!$A$1:$G$1,0))</f>
        <v/>
      </c>
      <c r="L316" s="5">
        <f>INDEX(products!$A$1:$G$49,MATCH(orders!$D316,products!$A$1:$A$49,0),MATCH(orders!L$1,products!$A$1:$G$1,0))</f>
        <v/>
      </c>
      <c r="M316" s="5">
        <f>L316*E316</f>
        <v/>
      </c>
      <c r="N316">
        <f>IF(I316="Rob","Robusta",IF(I316="Exc","Excelsa",IF(I316="Ara","Arabica",IF(I316="Lib","Liberica",""))))</f>
        <v/>
      </c>
      <c r="O316">
        <f>IF(J316="M","Medium",IF(J316="L","Light",IF(J316="D","Dark","")))</f>
        <v/>
      </c>
      <c r="P316">
        <f>_xlfn.XLOOKUP(Orders[[#This Row],[Customer ID]],customers!$A$1:$A$1001,customers!$I$1:$I$1001,,0)</f>
        <v/>
      </c>
    </row>
    <row r="317">
      <c r="A317" s="2" t="inlineStr">
        <is>
          <t>O9974</t>
        </is>
      </c>
      <c r="B317" s="3" t="inlineStr">
        <is>
          <t>2021-06-07</t>
        </is>
      </c>
      <c r="C317" s="2" t="inlineStr">
        <is>
          <t>O8291</t>
        </is>
      </c>
      <c r="D317" t="inlineStr">
        <is>
          <t>O2611</t>
        </is>
      </c>
      <c r="E317" s="2" t="n">
        <v>480</v>
      </c>
      <c r="F317" s="2">
        <f>_xlfn.XLOOKUP(C317,customers!$A$1:$A$1001,customers!$B$1:$B$1001,,0)</f>
        <v/>
      </c>
      <c r="G317" s="2">
        <f>IF(_xlfn.XLOOKUP(C317,customers!$A$1:$A$1001,customers!$C$1:$C$1001,,0)=0,"",_xlfn.XLOOKUP(C317,customers!$A$1:$A$1001,customers!$C$1:$C$1001,,0))</f>
        <v/>
      </c>
      <c r="H317" s="2">
        <f>_xlfn.XLOOKUP(C317,customers!$A$1:$A$1001,customers!$G$1:$G$1001,,0)</f>
        <v/>
      </c>
      <c r="I317">
        <f>INDEX(products!$A$1:$G$49,MATCH(orders!$D317,products!$A$1:$A$49,0),MATCH(orders!I$1,products!$A$1:$G$1,0))</f>
        <v/>
      </c>
      <c r="J317">
        <f>INDEX(products!$A$1:$G$49,MATCH(orders!$D317,products!$A$1:$A$49,0),MATCH(orders!J$1,products!$A$1:$G$1,0))</f>
        <v/>
      </c>
      <c r="K317" s="4">
        <f>INDEX(products!$A$1:$G$49,MATCH(orders!$D317,products!$A$1:$A$49,0),MATCH(orders!K$1,products!$A$1:$G$1,0))</f>
        <v/>
      </c>
      <c r="L317" s="5">
        <f>INDEX(products!$A$1:$G$49,MATCH(orders!$D317,products!$A$1:$A$49,0),MATCH(orders!L$1,products!$A$1:$G$1,0))</f>
        <v/>
      </c>
      <c r="M317" s="5">
        <f>L317*E317</f>
        <v/>
      </c>
      <c r="N317">
        <f>IF(I317="Rob","Robusta",IF(I317="Exc","Excelsa",IF(I317="Ara","Arabica",IF(I317="Lib","Liberica",""))))</f>
        <v/>
      </c>
      <c r="O317">
        <f>IF(J317="M","Medium",IF(J317="L","Light",IF(J317="D","Dark","")))</f>
        <v/>
      </c>
      <c r="P317">
        <f>_xlfn.XLOOKUP(Orders[[#This Row],[Customer ID]],customers!$A$1:$A$1001,customers!$I$1:$I$1001,,0)</f>
        <v/>
      </c>
    </row>
    <row r="318">
      <c r="A318" s="2" t="inlineStr">
        <is>
          <t>O4959</t>
        </is>
      </c>
      <c r="B318" s="3" t="inlineStr">
        <is>
          <t>2021-12-18</t>
        </is>
      </c>
      <c r="C318" s="2" t="inlineStr">
        <is>
          <t>O4875</t>
        </is>
      </c>
      <c r="D318" t="inlineStr">
        <is>
          <t>O2355</t>
        </is>
      </c>
      <c r="E318" s="2" t="n">
        <v>449</v>
      </c>
      <c r="F318" s="2">
        <f>_xlfn.XLOOKUP(C318,customers!$A$1:$A$1001,customers!$B$1:$B$1001,,0)</f>
        <v/>
      </c>
      <c r="G318" s="2">
        <f>IF(_xlfn.XLOOKUP(C318,customers!$A$1:$A$1001,customers!$C$1:$C$1001,,0)=0,"",_xlfn.XLOOKUP(C318,customers!$A$1:$A$1001,customers!$C$1:$C$1001,,0))</f>
        <v/>
      </c>
      <c r="H318" s="2">
        <f>_xlfn.XLOOKUP(C318,customers!$A$1:$A$1001,customers!$G$1:$G$1001,,0)</f>
        <v/>
      </c>
      <c r="I318">
        <f>INDEX(products!$A$1:$G$49,MATCH(orders!$D318,products!$A$1:$A$49,0),MATCH(orders!I$1,products!$A$1:$G$1,0))</f>
        <v/>
      </c>
      <c r="J318">
        <f>INDEX(products!$A$1:$G$49,MATCH(orders!$D318,products!$A$1:$A$49,0),MATCH(orders!J$1,products!$A$1:$G$1,0))</f>
        <v/>
      </c>
      <c r="K318" s="4">
        <f>INDEX(products!$A$1:$G$49,MATCH(orders!$D318,products!$A$1:$A$49,0),MATCH(orders!K$1,products!$A$1:$G$1,0))</f>
        <v/>
      </c>
      <c r="L318" s="5">
        <f>INDEX(products!$A$1:$G$49,MATCH(orders!$D318,products!$A$1:$A$49,0),MATCH(orders!L$1,products!$A$1:$G$1,0))</f>
        <v/>
      </c>
      <c r="M318" s="5">
        <f>L318*E318</f>
        <v/>
      </c>
      <c r="N318">
        <f>IF(I318="Rob","Robusta",IF(I318="Exc","Excelsa",IF(I318="Ara","Arabica",IF(I318="Lib","Liberica",""))))</f>
        <v/>
      </c>
      <c r="O318">
        <f>IF(J318="M","Medium",IF(J318="L","Light",IF(J318="D","Dark","")))</f>
        <v/>
      </c>
      <c r="P318">
        <f>_xlfn.XLOOKUP(Orders[[#This Row],[Customer ID]],customers!$A$1:$A$1001,customers!$I$1:$I$1001,,0)</f>
        <v/>
      </c>
    </row>
    <row r="319">
      <c r="A319" s="2" t="inlineStr">
        <is>
          <t>O2009</t>
        </is>
      </c>
      <c r="B319" s="3" t="inlineStr">
        <is>
          <t>2020-12-04</t>
        </is>
      </c>
      <c r="C319" s="2" t="inlineStr">
        <is>
          <t>O7508</t>
        </is>
      </c>
      <c r="D319" t="inlineStr">
        <is>
          <t>O7013</t>
        </is>
      </c>
      <c r="E319" s="2" t="n">
        <v>409</v>
      </c>
      <c r="F319" s="2">
        <f>_xlfn.XLOOKUP(C319,customers!$A$1:$A$1001,customers!$B$1:$B$1001,,0)</f>
        <v/>
      </c>
      <c r="G319" s="2">
        <f>IF(_xlfn.XLOOKUP(C319,customers!$A$1:$A$1001,customers!$C$1:$C$1001,,0)=0,"",_xlfn.XLOOKUP(C319,customers!$A$1:$A$1001,customers!$C$1:$C$1001,,0))</f>
        <v/>
      </c>
      <c r="H319" s="2">
        <f>_xlfn.XLOOKUP(C319,customers!$A$1:$A$1001,customers!$G$1:$G$1001,,0)</f>
        <v/>
      </c>
      <c r="I319">
        <f>INDEX(products!$A$1:$G$49,MATCH(orders!$D319,products!$A$1:$A$49,0),MATCH(orders!I$1,products!$A$1:$G$1,0))</f>
        <v/>
      </c>
      <c r="J319">
        <f>INDEX(products!$A$1:$G$49,MATCH(orders!$D319,products!$A$1:$A$49,0),MATCH(orders!J$1,products!$A$1:$G$1,0))</f>
        <v/>
      </c>
      <c r="K319" s="4">
        <f>INDEX(products!$A$1:$G$49,MATCH(orders!$D319,products!$A$1:$A$49,0),MATCH(orders!K$1,products!$A$1:$G$1,0))</f>
        <v/>
      </c>
      <c r="L319" s="5">
        <f>INDEX(products!$A$1:$G$49,MATCH(orders!$D319,products!$A$1:$A$49,0),MATCH(orders!L$1,products!$A$1:$G$1,0))</f>
        <v/>
      </c>
      <c r="M319" s="5">
        <f>L319*E319</f>
        <v/>
      </c>
      <c r="N319">
        <f>IF(I319="Rob","Robusta",IF(I319="Exc","Excelsa",IF(I319="Ara","Arabica",IF(I319="Lib","Liberica",""))))</f>
        <v/>
      </c>
      <c r="O319">
        <f>IF(J319="M","Medium",IF(J319="L","Light",IF(J319="D","Dark","")))</f>
        <v/>
      </c>
      <c r="P319">
        <f>_xlfn.XLOOKUP(Orders[[#This Row],[Customer ID]],customers!$A$1:$A$1001,customers!$I$1:$I$1001,,0)</f>
        <v/>
      </c>
    </row>
    <row r="320">
      <c r="A320" s="2" t="inlineStr">
        <is>
          <t>O8067</t>
        </is>
      </c>
      <c r="B320" s="3" t="inlineStr">
        <is>
          <t>2020-11-15</t>
        </is>
      </c>
      <c r="C320" s="2" t="inlineStr">
        <is>
          <t>O6868</t>
        </is>
      </c>
      <c r="D320" t="inlineStr">
        <is>
          <t>O9957</t>
        </is>
      </c>
      <c r="E320" s="2" t="n">
        <v>60</v>
      </c>
      <c r="F320" s="2">
        <f>_xlfn.XLOOKUP(C320,customers!$A$1:$A$1001,customers!$B$1:$B$1001,,0)</f>
        <v/>
      </c>
      <c r="G320" s="2">
        <f>IF(_xlfn.XLOOKUP(C320,customers!$A$1:$A$1001,customers!$C$1:$C$1001,,0)=0,"",_xlfn.XLOOKUP(C320,customers!$A$1:$A$1001,customers!$C$1:$C$1001,,0))</f>
        <v/>
      </c>
      <c r="H320" s="2">
        <f>_xlfn.XLOOKUP(C320,customers!$A$1:$A$1001,customers!$G$1:$G$1001,,0)</f>
        <v/>
      </c>
      <c r="I320">
        <f>INDEX(products!$A$1:$G$49,MATCH(orders!$D320,products!$A$1:$A$49,0),MATCH(orders!I$1,products!$A$1:$G$1,0))</f>
        <v/>
      </c>
      <c r="J320">
        <f>INDEX(products!$A$1:$G$49,MATCH(orders!$D320,products!$A$1:$A$49,0),MATCH(orders!J$1,products!$A$1:$G$1,0))</f>
        <v/>
      </c>
      <c r="K320" s="4">
        <f>INDEX(products!$A$1:$G$49,MATCH(orders!$D320,products!$A$1:$A$49,0),MATCH(orders!K$1,products!$A$1:$G$1,0))</f>
        <v/>
      </c>
      <c r="L320" s="5">
        <f>INDEX(products!$A$1:$G$49,MATCH(orders!$D320,products!$A$1:$A$49,0),MATCH(orders!L$1,products!$A$1:$G$1,0))</f>
        <v/>
      </c>
      <c r="M320" s="5">
        <f>L320*E320</f>
        <v/>
      </c>
      <c r="N320">
        <f>IF(I320="Rob","Robusta",IF(I320="Exc","Excelsa",IF(I320="Ara","Arabica",IF(I320="Lib","Liberica",""))))</f>
        <v/>
      </c>
      <c r="O320">
        <f>IF(J320="M","Medium",IF(J320="L","Light",IF(J320="D","Dark","")))</f>
        <v/>
      </c>
      <c r="P320">
        <f>_xlfn.XLOOKUP(Orders[[#This Row],[Customer ID]],customers!$A$1:$A$1001,customers!$I$1:$I$1001,,0)</f>
        <v/>
      </c>
    </row>
    <row r="321">
      <c r="A321" s="2" t="inlineStr">
        <is>
          <t>O8838</t>
        </is>
      </c>
      <c r="B321" s="3" t="inlineStr">
        <is>
          <t>2021-03-31</t>
        </is>
      </c>
      <c r="C321" s="2" t="inlineStr">
        <is>
          <t>O3744</t>
        </is>
      </c>
      <c r="D321" t="inlineStr">
        <is>
          <t>O2896</t>
        </is>
      </c>
      <c r="E321" s="2" t="n">
        <v>63</v>
      </c>
      <c r="F321" s="2">
        <f>_xlfn.XLOOKUP(C321,customers!$A$1:$A$1001,customers!$B$1:$B$1001,,0)</f>
        <v/>
      </c>
      <c r="G321" s="2">
        <f>IF(_xlfn.XLOOKUP(C321,customers!$A$1:$A$1001,customers!$C$1:$C$1001,,0)=0,"",_xlfn.XLOOKUP(C321,customers!$A$1:$A$1001,customers!$C$1:$C$1001,,0))</f>
        <v/>
      </c>
      <c r="H321" s="2">
        <f>_xlfn.XLOOKUP(C321,customers!$A$1:$A$1001,customers!$G$1:$G$1001,,0)</f>
        <v/>
      </c>
      <c r="I321">
        <f>INDEX(products!$A$1:$G$49,MATCH(orders!$D321,products!$A$1:$A$49,0),MATCH(orders!I$1,products!$A$1:$G$1,0))</f>
        <v/>
      </c>
      <c r="J321">
        <f>INDEX(products!$A$1:$G$49,MATCH(orders!$D321,products!$A$1:$A$49,0),MATCH(orders!J$1,products!$A$1:$G$1,0))</f>
        <v/>
      </c>
      <c r="K321" s="4">
        <f>INDEX(products!$A$1:$G$49,MATCH(orders!$D321,products!$A$1:$A$49,0),MATCH(orders!K$1,products!$A$1:$G$1,0))</f>
        <v/>
      </c>
      <c r="L321" s="5">
        <f>INDEX(products!$A$1:$G$49,MATCH(orders!$D321,products!$A$1:$A$49,0),MATCH(orders!L$1,products!$A$1:$G$1,0))</f>
        <v/>
      </c>
      <c r="M321" s="5">
        <f>L321*E321</f>
        <v/>
      </c>
      <c r="N321">
        <f>IF(I321="Rob","Robusta",IF(I321="Exc","Excelsa",IF(I321="Ara","Arabica",IF(I321="Lib","Liberica",""))))</f>
        <v/>
      </c>
      <c r="O321">
        <f>IF(J321="M","Medium",IF(J321="L","Light",IF(J321="D","Dark","")))</f>
        <v/>
      </c>
      <c r="P321">
        <f>_xlfn.XLOOKUP(Orders[[#This Row],[Customer ID]],customers!$A$1:$A$1001,customers!$I$1:$I$1001,,0)</f>
        <v/>
      </c>
    </row>
    <row r="322">
      <c r="A322" s="2" t="inlineStr">
        <is>
          <t>O7121</t>
        </is>
      </c>
      <c r="B322" s="3" t="inlineStr">
        <is>
          <t>2023-08-05</t>
        </is>
      </c>
      <c r="C322" s="2" t="inlineStr">
        <is>
          <t>O8669</t>
        </is>
      </c>
      <c r="D322" t="inlineStr">
        <is>
          <t>O9874</t>
        </is>
      </c>
      <c r="E322" s="2" t="n">
        <v>481</v>
      </c>
      <c r="F322" s="2">
        <f>_xlfn.XLOOKUP(C322,customers!$A$1:$A$1001,customers!$B$1:$B$1001,,0)</f>
        <v/>
      </c>
      <c r="G322" s="2">
        <f>IF(_xlfn.XLOOKUP(C322,customers!$A$1:$A$1001,customers!$C$1:$C$1001,,0)=0,"",_xlfn.XLOOKUP(C322,customers!$A$1:$A$1001,customers!$C$1:$C$1001,,0))</f>
        <v/>
      </c>
      <c r="H322" s="2">
        <f>_xlfn.XLOOKUP(C322,customers!$A$1:$A$1001,customers!$G$1:$G$1001,,0)</f>
        <v/>
      </c>
      <c r="I322">
        <f>INDEX(products!$A$1:$G$49,MATCH(orders!$D322,products!$A$1:$A$49,0),MATCH(orders!I$1,products!$A$1:$G$1,0))</f>
        <v/>
      </c>
      <c r="J322">
        <f>INDEX(products!$A$1:$G$49,MATCH(orders!$D322,products!$A$1:$A$49,0),MATCH(orders!J$1,products!$A$1:$G$1,0))</f>
        <v/>
      </c>
      <c r="K322" s="4">
        <f>INDEX(products!$A$1:$G$49,MATCH(orders!$D322,products!$A$1:$A$49,0),MATCH(orders!K$1,products!$A$1:$G$1,0))</f>
        <v/>
      </c>
      <c r="L322" s="5">
        <f>INDEX(products!$A$1:$G$49,MATCH(orders!$D322,products!$A$1:$A$49,0),MATCH(orders!L$1,products!$A$1:$G$1,0))</f>
        <v/>
      </c>
      <c r="M322" s="5">
        <f>L322*E322</f>
        <v/>
      </c>
      <c r="N322">
        <f>IF(I322="Rob","Robusta",IF(I322="Exc","Excelsa",IF(I322="Ara","Arabica",IF(I322="Lib","Liberica",""))))</f>
        <v/>
      </c>
      <c r="O322">
        <f>IF(J322="M","Medium",IF(J322="L","Light",IF(J322="D","Dark","")))</f>
        <v/>
      </c>
      <c r="P322">
        <f>_xlfn.XLOOKUP(Orders[[#This Row],[Customer ID]],customers!$A$1:$A$1001,customers!$I$1:$I$1001,,0)</f>
        <v/>
      </c>
    </row>
    <row r="323">
      <c r="A323" s="2" t="inlineStr">
        <is>
          <t>O4166</t>
        </is>
      </c>
      <c r="B323" s="3" t="inlineStr">
        <is>
          <t>2022-02-18</t>
        </is>
      </c>
      <c r="C323" s="2" t="inlineStr">
        <is>
          <t>O1162</t>
        </is>
      </c>
      <c r="D323" t="inlineStr">
        <is>
          <t>O6743</t>
        </is>
      </c>
      <c r="E323" s="2" t="n">
        <v>35</v>
      </c>
      <c r="F323" s="2">
        <f>_xlfn.XLOOKUP(C323,customers!$A$1:$A$1001,customers!$B$1:$B$1001,,0)</f>
        <v/>
      </c>
      <c r="G323" s="2">
        <f>IF(_xlfn.XLOOKUP(C323,customers!$A$1:$A$1001,customers!$C$1:$C$1001,,0)=0,"",_xlfn.XLOOKUP(C323,customers!$A$1:$A$1001,customers!$C$1:$C$1001,,0))</f>
        <v/>
      </c>
      <c r="H323" s="2">
        <f>_xlfn.XLOOKUP(C323,customers!$A$1:$A$1001,customers!$G$1:$G$1001,,0)</f>
        <v/>
      </c>
      <c r="I323">
        <f>INDEX(products!$A$1:$G$49,MATCH(orders!$D323,products!$A$1:$A$49,0),MATCH(orders!I$1,products!$A$1:$G$1,0))</f>
        <v/>
      </c>
      <c r="J323">
        <f>INDEX(products!$A$1:$G$49,MATCH(orders!$D323,products!$A$1:$A$49,0),MATCH(orders!J$1,products!$A$1:$G$1,0))</f>
        <v/>
      </c>
      <c r="K323" s="4">
        <f>INDEX(products!$A$1:$G$49,MATCH(orders!$D323,products!$A$1:$A$49,0),MATCH(orders!K$1,products!$A$1:$G$1,0))</f>
        <v/>
      </c>
      <c r="L323" s="5">
        <f>INDEX(products!$A$1:$G$49,MATCH(orders!$D323,products!$A$1:$A$49,0),MATCH(orders!L$1,products!$A$1:$G$1,0))</f>
        <v/>
      </c>
      <c r="M323" s="5">
        <f>L323*E323</f>
        <v/>
      </c>
      <c r="N323">
        <f>IF(I323="Rob","Robusta",IF(I323="Exc","Excelsa",IF(I323="Ara","Arabica",IF(I323="Lib","Liberica",""))))</f>
        <v/>
      </c>
      <c r="O323">
        <f>IF(J323="M","Medium",IF(J323="L","Light",IF(J323="D","Dark","")))</f>
        <v/>
      </c>
      <c r="P323">
        <f>_xlfn.XLOOKUP(Orders[[#This Row],[Customer ID]],customers!$A$1:$A$1001,customers!$I$1:$I$1001,,0)</f>
        <v/>
      </c>
    </row>
    <row r="324">
      <c r="A324" s="2" t="inlineStr">
        <is>
          <t>O8169</t>
        </is>
      </c>
      <c r="B324" s="3" t="inlineStr">
        <is>
          <t>2025-09-17</t>
        </is>
      </c>
      <c r="C324" s="2" t="inlineStr">
        <is>
          <t>O5780</t>
        </is>
      </c>
      <c r="D324" t="inlineStr">
        <is>
          <t>O5974</t>
        </is>
      </c>
      <c r="E324" s="2" t="n">
        <v>129</v>
      </c>
      <c r="F324" s="2">
        <f>_xlfn.XLOOKUP(C324,customers!$A$1:$A$1001,customers!$B$1:$B$1001,,0)</f>
        <v/>
      </c>
      <c r="G324" s="2">
        <f>IF(_xlfn.XLOOKUP(C324,customers!$A$1:$A$1001,customers!$C$1:$C$1001,,0)=0,"",_xlfn.XLOOKUP(C324,customers!$A$1:$A$1001,customers!$C$1:$C$1001,,0))</f>
        <v/>
      </c>
      <c r="H324" s="2">
        <f>_xlfn.XLOOKUP(C324,customers!$A$1:$A$1001,customers!$G$1:$G$1001,,0)</f>
        <v/>
      </c>
      <c r="I324">
        <f>INDEX(products!$A$1:$G$49,MATCH(orders!$D324,products!$A$1:$A$49,0),MATCH(orders!I$1,products!$A$1:$G$1,0))</f>
        <v/>
      </c>
      <c r="J324">
        <f>INDEX(products!$A$1:$G$49,MATCH(orders!$D324,products!$A$1:$A$49,0),MATCH(orders!J$1,products!$A$1:$G$1,0))</f>
        <v/>
      </c>
      <c r="K324" s="4">
        <f>INDEX(products!$A$1:$G$49,MATCH(orders!$D324,products!$A$1:$A$49,0),MATCH(orders!K$1,products!$A$1:$G$1,0))</f>
        <v/>
      </c>
      <c r="L324" s="5">
        <f>INDEX(products!$A$1:$G$49,MATCH(orders!$D324,products!$A$1:$A$49,0),MATCH(orders!L$1,products!$A$1:$G$1,0))</f>
        <v/>
      </c>
      <c r="M324" s="5">
        <f>L324*E324</f>
        <v/>
      </c>
      <c r="N324">
        <f>IF(I324="Rob","Robusta",IF(I324="Exc","Excelsa",IF(I324="Ara","Arabica",IF(I324="Lib","Liberica",""))))</f>
        <v/>
      </c>
      <c r="O324">
        <f>IF(J324="M","Medium",IF(J324="L","Light",IF(J324="D","Dark","")))</f>
        <v/>
      </c>
      <c r="P324">
        <f>_xlfn.XLOOKUP(Orders[[#This Row],[Customer ID]],customers!$A$1:$A$1001,customers!$I$1:$I$1001,,0)</f>
        <v/>
      </c>
    </row>
    <row r="325">
      <c r="A325" s="2" t="inlineStr">
        <is>
          <t>O2096</t>
        </is>
      </c>
      <c r="B325" s="3" t="inlineStr">
        <is>
          <t>2023-02-24</t>
        </is>
      </c>
      <c r="C325" s="2" t="inlineStr">
        <is>
          <t>O9152</t>
        </is>
      </c>
      <c r="D325" t="inlineStr">
        <is>
          <t>O8390</t>
        </is>
      </c>
      <c r="E325" s="2" t="n">
        <v>121</v>
      </c>
      <c r="F325" s="2">
        <f>_xlfn.XLOOKUP(C325,customers!$A$1:$A$1001,customers!$B$1:$B$1001,,0)</f>
        <v/>
      </c>
      <c r="G325" s="2">
        <f>IF(_xlfn.XLOOKUP(C325,customers!$A$1:$A$1001,customers!$C$1:$C$1001,,0)=0,"",_xlfn.XLOOKUP(C325,customers!$A$1:$A$1001,customers!$C$1:$C$1001,,0))</f>
        <v/>
      </c>
      <c r="H325" s="2">
        <f>_xlfn.XLOOKUP(C325,customers!$A$1:$A$1001,customers!$G$1:$G$1001,,0)</f>
        <v/>
      </c>
      <c r="I325">
        <f>INDEX(products!$A$1:$G$49,MATCH(orders!$D325,products!$A$1:$A$49,0),MATCH(orders!I$1,products!$A$1:$G$1,0))</f>
        <v/>
      </c>
      <c r="J325">
        <f>INDEX(products!$A$1:$G$49,MATCH(orders!$D325,products!$A$1:$A$49,0),MATCH(orders!J$1,products!$A$1:$G$1,0))</f>
        <v/>
      </c>
      <c r="K325" s="4">
        <f>INDEX(products!$A$1:$G$49,MATCH(orders!$D325,products!$A$1:$A$49,0),MATCH(orders!K$1,products!$A$1:$G$1,0))</f>
        <v/>
      </c>
      <c r="L325" s="5">
        <f>INDEX(products!$A$1:$G$49,MATCH(orders!$D325,products!$A$1:$A$49,0),MATCH(orders!L$1,products!$A$1:$G$1,0))</f>
        <v/>
      </c>
      <c r="M325" s="5">
        <f>L325*E325</f>
        <v/>
      </c>
      <c r="N325">
        <f>IF(I325="Rob","Robusta",IF(I325="Exc","Excelsa",IF(I325="Ara","Arabica",IF(I325="Lib","Liberica",""))))</f>
        <v/>
      </c>
      <c r="O325">
        <f>IF(J325="M","Medium",IF(J325="L","Light",IF(J325="D","Dark","")))</f>
        <v/>
      </c>
      <c r="P325">
        <f>_xlfn.XLOOKUP(Orders[[#This Row],[Customer ID]],customers!$A$1:$A$1001,customers!$I$1:$I$1001,,0)</f>
        <v/>
      </c>
    </row>
    <row r="326">
      <c r="A326" s="2" t="inlineStr">
        <is>
          <t>O8326</t>
        </is>
      </c>
      <c r="B326" s="3" t="inlineStr">
        <is>
          <t>2022-02-23</t>
        </is>
      </c>
      <c r="C326" s="2" t="inlineStr">
        <is>
          <t>O5535</t>
        </is>
      </c>
      <c r="D326" t="inlineStr">
        <is>
          <t>O9005</t>
        </is>
      </c>
      <c r="E326" s="2" t="n">
        <v>174</v>
      </c>
      <c r="F326" s="2">
        <f>_xlfn.XLOOKUP(C326,customers!$A$1:$A$1001,customers!$B$1:$B$1001,,0)</f>
        <v/>
      </c>
      <c r="G326" s="2">
        <f>IF(_xlfn.XLOOKUP(C326,customers!$A$1:$A$1001,customers!$C$1:$C$1001,,0)=0,"",_xlfn.XLOOKUP(C326,customers!$A$1:$A$1001,customers!$C$1:$C$1001,,0))</f>
        <v/>
      </c>
      <c r="H326" s="2">
        <f>_xlfn.XLOOKUP(C326,customers!$A$1:$A$1001,customers!$G$1:$G$1001,,0)</f>
        <v/>
      </c>
      <c r="I326">
        <f>INDEX(products!$A$1:$G$49,MATCH(orders!$D326,products!$A$1:$A$49,0),MATCH(orders!I$1,products!$A$1:$G$1,0))</f>
        <v/>
      </c>
      <c r="J326">
        <f>INDEX(products!$A$1:$G$49,MATCH(orders!$D326,products!$A$1:$A$49,0),MATCH(orders!J$1,products!$A$1:$G$1,0))</f>
        <v/>
      </c>
      <c r="K326" s="4">
        <f>INDEX(products!$A$1:$G$49,MATCH(orders!$D326,products!$A$1:$A$49,0),MATCH(orders!K$1,products!$A$1:$G$1,0))</f>
        <v/>
      </c>
      <c r="L326" s="5">
        <f>INDEX(products!$A$1:$G$49,MATCH(orders!$D326,products!$A$1:$A$49,0),MATCH(orders!L$1,products!$A$1:$G$1,0))</f>
        <v/>
      </c>
      <c r="M326" s="5">
        <f>L326*E326</f>
        <v/>
      </c>
      <c r="N326">
        <f>IF(I326="Rob","Robusta",IF(I326="Exc","Excelsa",IF(I326="Ara","Arabica",IF(I326="Lib","Liberica",""))))</f>
        <v/>
      </c>
      <c r="O326">
        <f>IF(J326="M","Medium",IF(J326="L","Light",IF(J326="D","Dark","")))</f>
        <v/>
      </c>
      <c r="P326">
        <f>_xlfn.XLOOKUP(Orders[[#This Row],[Customer ID]],customers!$A$1:$A$1001,customers!$I$1:$I$1001,,0)</f>
        <v/>
      </c>
    </row>
    <row r="327">
      <c r="A327" s="2" t="inlineStr">
        <is>
          <t>O9993</t>
        </is>
      </c>
      <c r="B327" s="3" t="inlineStr">
        <is>
          <t>2020-11-11</t>
        </is>
      </c>
      <c r="C327" s="2" t="inlineStr">
        <is>
          <t>O6486</t>
        </is>
      </c>
      <c r="D327" t="inlineStr">
        <is>
          <t>O4092</t>
        </is>
      </c>
      <c r="E327" s="2" t="n">
        <v>77</v>
      </c>
      <c r="F327" s="2">
        <f>_xlfn.XLOOKUP(C327,customers!$A$1:$A$1001,customers!$B$1:$B$1001,,0)</f>
        <v/>
      </c>
      <c r="G327" s="2">
        <f>IF(_xlfn.XLOOKUP(C327,customers!$A$1:$A$1001,customers!$C$1:$C$1001,,0)=0,"",_xlfn.XLOOKUP(C327,customers!$A$1:$A$1001,customers!$C$1:$C$1001,,0))</f>
        <v/>
      </c>
      <c r="H327" s="2">
        <f>_xlfn.XLOOKUP(C327,customers!$A$1:$A$1001,customers!$G$1:$G$1001,,0)</f>
        <v/>
      </c>
      <c r="I327">
        <f>INDEX(products!$A$1:$G$49,MATCH(orders!$D327,products!$A$1:$A$49,0),MATCH(orders!I$1,products!$A$1:$G$1,0))</f>
        <v/>
      </c>
      <c r="J327">
        <f>INDEX(products!$A$1:$G$49,MATCH(orders!$D327,products!$A$1:$A$49,0),MATCH(orders!J$1,products!$A$1:$G$1,0))</f>
        <v/>
      </c>
      <c r="K327" s="4">
        <f>INDEX(products!$A$1:$G$49,MATCH(orders!$D327,products!$A$1:$A$49,0),MATCH(orders!K$1,products!$A$1:$G$1,0))</f>
        <v/>
      </c>
      <c r="L327" s="5">
        <f>INDEX(products!$A$1:$G$49,MATCH(orders!$D327,products!$A$1:$A$49,0),MATCH(orders!L$1,products!$A$1:$G$1,0))</f>
        <v/>
      </c>
      <c r="M327" s="5">
        <f>L327*E327</f>
        <v/>
      </c>
      <c r="N327">
        <f>IF(I327="Rob","Robusta",IF(I327="Exc","Excelsa",IF(I327="Ara","Arabica",IF(I327="Lib","Liberica",""))))</f>
        <v/>
      </c>
      <c r="O327">
        <f>IF(J327="M","Medium",IF(J327="L","Light",IF(J327="D","Dark","")))</f>
        <v/>
      </c>
      <c r="P327">
        <f>_xlfn.XLOOKUP(Orders[[#This Row],[Customer ID]],customers!$A$1:$A$1001,customers!$I$1:$I$1001,,0)</f>
        <v/>
      </c>
    </row>
    <row r="328">
      <c r="A328" s="2" t="inlineStr">
        <is>
          <t>O1135</t>
        </is>
      </c>
      <c r="B328" s="3" t="inlineStr">
        <is>
          <t>2022-05-25</t>
        </is>
      </c>
      <c r="C328" s="2" t="inlineStr">
        <is>
          <t>O3098</t>
        </is>
      </c>
      <c r="D328" t="inlineStr">
        <is>
          <t>O6190</t>
        </is>
      </c>
      <c r="E328" s="2" t="n">
        <v>232</v>
      </c>
      <c r="F328" s="2">
        <f>_xlfn.XLOOKUP(C328,customers!$A$1:$A$1001,customers!$B$1:$B$1001,,0)</f>
        <v/>
      </c>
      <c r="G328" s="2">
        <f>IF(_xlfn.XLOOKUP(C328,customers!$A$1:$A$1001,customers!$C$1:$C$1001,,0)=0,"",_xlfn.XLOOKUP(C328,customers!$A$1:$A$1001,customers!$C$1:$C$1001,,0))</f>
        <v/>
      </c>
      <c r="H328" s="2">
        <f>_xlfn.XLOOKUP(C328,customers!$A$1:$A$1001,customers!$G$1:$G$1001,,0)</f>
        <v/>
      </c>
      <c r="I328">
        <f>INDEX(products!$A$1:$G$49,MATCH(orders!$D328,products!$A$1:$A$49,0),MATCH(orders!I$1,products!$A$1:$G$1,0))</f>
        <v/>
      </c>
      <c r="J328">
        <f>INDEX(products!$A$1:$G$49,MATCH(orders!$D328,products!$A$1:$A$49,0),MATCH(orders!J$1,products!$A$1:$G$1,0))</f>
        <v/>
      </c>
      <c r="K328" s="4">
        <f>INDEX(products!$A$1:$G$49,MATCH(orders!$D328,products!$A$1:$A$49,0),MATCH(orders!K$1,products!$A$1:$G$1,0))</f>
        <v/>
      </c>
      <c r="L328" s="5">
        <f>INDEX(products!$A$1:$G$49,MATCH(orders!$D328,products!$A$1:$A$49,0),MATCH(orders!L$1,products!$A$1:$G$1,0))</f>
        <v/>
      </c>
      <c r="M328" s="5">
        <f>L328*E328</f>
        <v/>
      </c>
      <c r="N328">
        <f>IF(I328="Rob","Robusta",IF(I328="Exc","Excelsa",IF(I328="Ara","Arabica",IF(I328="Lib","Liberica",""))))</f>
        <v/>
      </c>
      <c r="O328">
        <f>IF(J328="M","Medium",IF(J328="L","Light",IF(J328="D","Dark","")))</f>
        <v/>
      </c>
      <c r="P328">
        <f>_xlfn.XLOOKUP(Orders[[#This Row],[Customer ID]],customers!$A$1:$A$1001,customers!$I$1:$I$1001,,0)</f>
        <v/>
      </c>
    </row>
    <row r="329">
      <c r="A329" s="2" t="inlineStr">
        <is>
          <t>O2481</t>
        </is>
      </c>
      <c r="B329" s="3" t="inlineStr">
        <is>
          <t>2023-08-01</t>
        </is>
      </c>
      <c r="C329" s="2" t="inlineStr">
        <is>
          <t>O7008</t>
        </is>
      </c>
      <c r="D329" t="inlineStr">
        <is>
          <t>O9605</t>
        </is>
      </c>
      <c r="E329" s="2" t="n">
        <v>156</v>
      </c>
      <c r="F329" s="2">
        <f>_xlfn.XLOOKUP(C329,customers!$A$1:$A$1001,customers!$B$1:$B$1001,,0)</f>
        <v/>
      </c>
      <c r="G329" s="2">
        <f>IF(_xlfn.XLOOKUP(C329,customers!$A$1:$A$1001,customers!$C$1:$C$1001,,0)=0,"",_xlfn.XLOOKUP(C329,customers!$A$1:$A$1001,customers!$C$1:$C$1001,,0))</f>
        <v/>
      </c>
      <c r="H329" s="2">
        <f>_xlfn.XLOOKUP(C329,customers!$A$1:$A$1001,customers!$G$1:$G$1001,,0)</f>
        <v/>
      </c>
      <c r="I329">
        <f>INDEX(products!$A$1:$G$49,MATCH(orders!$D329,products!$A$1:$A$49,0),MATCH(orders!I$1,products!$A$1:$G$1,0))</f>
        <v/>
      </c>
      <c r="J329">
        <f>INDEX(products!$A$1:$G$49,MATCH(orders!$D329,products!$A$1:$A$49,0),MATCH(orders!J$1,products!$A$1:$G$1,0))</f>
        <v/>
      </c>
      <c r="K329" s="4">
        <f>INDEX(products!$A$1:$G$49,MATCH(orders!$D329,products!$A$1:$A$49,0),MATCH(orders!K$1,products!$A$1:$G$1,0))</f>
        <v/>
      </c>
      <c r="L329" s="5">
        <f>INDEX(products!$A$1:$G$49,MATCH(orders!$D329,products!$A$1:$A$49,0),MATCH(orders!L$1,products!$A$1:$G$1,0))</f>
        <v/>
      </c>
      <c r="M329" s="5">
        <f>L329*E329</f>
        <v/>
      </c>
      <c r="N329">
        <f>IF(I329="Rob","Robusta",IF(I329="Exc","Excelsa",IF(I329="Ara","Arabica",IF(I329="Lib","Liberica",""))))</f>
        <v/>
      </c>
      <c r="O329">
        <f>IF(J329="M","Medium",IF(J329="L","Light",IF(J329="D","Dark","")))</f>
        <v/>
      </c>
      <c r="P329">
        <f>_xlfn.XLOOKUP(Orders[[#This Row],[Customer ID]],customers!$A$1:$A$1001,customers!$I$1:$I$1001,,0)</f>
        <v/>
      </c>
    </row>
    <row r="330">
      <c r="A330" s="2" t="inlineStr">
        <is>
          <t>O1488</t>
        </is>
      </c>
      <c r="B330" s="3" t="inlineStr">
        <is>
          <t>2020-02-09</t>
        </is>
      </c>
      <c r="C330" s="2" t="inlineStr">
        <is>
          <t>O7552</t>
        </is>
      </c>
      <c r="D330" t="inlineStr">
        <is>
          <t>O2395</t>
        </is>
      </c>
      <c r="E330" s="2" t="n">
        <v>411</v>
      </c>
      <c r="F330" s="2">
        <f>_xlfn.XLOOKUP(C330,customers!$A$1:$A$1001,customers!$B$1:$B$1001,,0)</f>
        <v/>
      </c>
      <c r="G330" s="2">
        <f>IF(_xlfn.XLOOKUP(C330,customers!$A$1:$A$1001,customers!$C$1:$C$1001,,0)=0,"",_xlfn.XLOOKUP(C330,customers!$A$1:$A$1001,customers!$C$1:$C$1001,,0))</f>
        <v/>
      </c>
      <c r="H330" s="2">
        <f>_xlfn.XLOOKUP(C330,customers!$A$1:$A$1001,customers!$G$1:$G$1001,,0)</f>
        <v/>
      </c>
      <c r="I330">
        <f>INDEX(products!$A$1:$G$49,MATCH(orders!$D330,products!$A$1:$A$49,0),MATCH(orders!I$1,products!$A$1:$G$1,0))</f>
        <v/>
      </c>
      <c r="J330">
        <f>INDEX(products!$A$1:$G$49,MATCH(orders!$D330,products!$A$1:$A$49,0),MATCH(orders!J$1,products!$A$1:$G$1,0))</f>
        <v/>
      </c>
      <c r="K330" s="4">
        <f>INDEX(products!$A$1:$G$49,MATCH(orders!$D330,products!$A$1:$A$49,0),MATCH(orders!K$1,products!$A$1:$G$1,0))</f>
        <v/>
      </c>
      <c r="L330" s="5">
        <f>INDEX(products!$A$1:$G$49,MATCH(orders!$D330,products!$A$1:$A$49,0),MATCH(orders!L$1,products!$A$1:$G$1,0))</f>
        <v/>
      </c>
      <c r="M330" s="5">
        <f>L330*E330</f>
        <v/>
      </c>
      <c r="N330">
        <f>IF(I330="Rob","Robusta",IF(I330="Exc","Excelsa",IF(I330="Ara","Arabica",IF(I330="Lib","Liberica",""))))</f>
        <v/>
      </c>
      <c r="O330">
        <f>IF(J330="M","Medium",IF(J330="L","Light",IF(J330="D","Dark","")))</f>
        <v/>
      </c>
      <c r="P330">
        <f>_xlfn.XLOOKUP(Orders[[#This Row],[Customer ID]],customers!$A$1:$A$1001,customers!$I$1:$I$1001,,0)</f>
        <v/>
      </c>
    </row>
    <row r="331">
      <c r="A331" s="2" t="inlineStr">
        <is>
          <t>O5208</t>
        </is>
      </c>
      <c r="B331" s="3" t="inlineStr">
        <is>
          <t>2021-12-28</t>
        </is>
      </c>
      <c r="C331" s="2" t="inlineStr">
        <is>
          <t>O9168</t>
        </is>
      </c>
      <c r="D331" t="inlineStr">
        <is>
          <t>O3874</t>
        </is>
      </c>
      <c r="E331" s="2" t="n">
        <v>431</v>
      </c>
      <c r="F331" s="2">
        <f>_xlfn.XLOOKUP(C331,customers!$A$1:$A$1001,customers!$B$1:$B$1001,,0)</f>
        <v/>
      </c>
      <c r="G331" s="2">
        <f>IF(_xlfn.XLOOKUP(C331,customers!$A$1:$A$1001,customers!$C$1:$C$1001,,0)=0,"",_xlfn.XLOOKUP(C331,customers!$A$1:$A$1001,customers!$C$1:$C$1001,,0))</f>
        <v/>
      </c>
      <c r="H331" s="2">
        <f>_xlfn.XLOOKUP(C331,customers!$A$1:$A$1001,customers!$G$1:$G$1001,,0)</f>
        <v/>
      </c>
      <c r="I331">
        <f>INDEX(products!$A$1:$G$49,MATCH(orders!$D331,products!$A$1:$A$49,0),MATCH(orders!I$1,products!$A$1:$G$1,0))</f>
        <v/>
      </c>
      <c r="J331">
        <f>INDEX(products!$A$1:$G$49,MATCH(orders!$D331,products!$A$1:$A$49,0),MATCH(orders!J$1,products!$A$1:$G$1,0))</f>
        <v/>
      </c>
      <c r="K331" s="4">
        <f>INDEX(products!$A$1:$G$49,MATCH(orders!$D331,products!$A$1:$A$49,0),MATCH(orders!K$1,products!$A$1:$G$1,0))</f>
        <v/>
      </c>
      <c r="L331" s="5">
        <f>INDEX(products!$A$1:$G$49,MATCH(orders!$D331,products!$A$1:$A$49,0),MATCH(orders!L$1,products!$A$1:$G$1,0))</f>
        <v/>
      </c>
      <c r="M331" s="5">
        <f>L331*E331</f>
        <v/>
      </c>
      <c r="N331">
        <f>IF(I331="Rob","Robusta",IF(I331="Exc","Excelsa",IF(I331="Ara","Arabica",IF(I331="Lib","Liberica",""))))</f>
        <v/>
      </c>
      <c r="O331">
        <f>IF(J331="M","Medium",IF(J331="L","Light",IF(J331="D","Dark","")))</f>
        <v/>
      </c>
      <c r="P331">
        <f>_xlfn.XLOOKUP(Orders[[#This Row],[Customer ID]],customers!$A$1:$A$1001,customers!$I$1:$I$1001,,0)</f>
        <v/>
      </c>
    </row>
    <row r="332">
      <c r="A332" s="2" t="inlineStr">
        <is>
          <t>O6459</t>
        </is>
      </c>
      <c r="B332" s="3" t="inlineStr">
        <is>
          <t>2020-09-22</t>
        </is>
      </c>
      <c r="C332" s="2" t="inlineStr">
        <is>
          <t>O3442</t>
        </is>
      </c>
      <c r="D332" t="inlineStr">
        <is>
          <t>O4461</t>
        </is>
      </c>
      <c r="E332" s="2" t="n">
        <v>352</v>
      </c>
      <c r="F332" s="2">
        <f>_xlfn.XLOOKUP(C332,customers!$A$1:$A$1001,customers!$B$1:$B$1001,,0)</f>
        <v/>
      </c>
      <c r="G332" s="2">
        <f>IF(_xlfn.XLOOKUP(C332,customers!$A$1:$A$1001,customers!$C$1:$C$1001,,0)=0,"",_xlfn.XLOOKUP(C332,customers!$A$1:$A$1001,customers!$C$1:$C$1001,,0))</f>
        <v/>
      </c>
      <c r="H332" s="2">
        <f>_xlfn.XLOOKUP(C332,customers!$A$1:$A$1001,customers!$G$1:$G$1001,,0)</f>
        <v/>
      </c>
      <c r="I332">
        <f>INDEX(products!$A$1:$G$49,MATCH(orders!$D332,products!$A$1:$A$49,0),MATCH(orders!I$1,products!$A$1:$G$1,0))</f>
        <v/>
      </c>
      <c r="J332">
        <f>INDEX(products!$A$1:$G$49,MATCH(orders!$D332,products!$A$1:$A$49,0),MATCH(orders!J$1,products!$A$1:$G$1,0))</f>
        <v/>
      </c>
      <c r="K332" s="4">
        <f>INDEX(products!$A$1:$G$49,MATCH(orders!$D332,products!$A$1:$A$49,0),MATCH(orders!K$1,products!$A$1:$G$1,0))</f>
        <v/>
      </c>
      <c r="L332" s="5">
        <f>INDEX(products!$A$1:$G$49,MATCH(orders!$D332,products!$A$1:$A$49,0),MATCH(orders!L$1,products!$A$1:$G$1,0))</f>
        <v/>
      </c>
      <c r="M332" s="5">
        <f>L332*E332</f>
        <v/>
      </c>
      <c r="N332">
        <f>IF(I332="Rob","Robusta",IF(I332="Exc","Excelsa",IF(I332="Ara","Arabica",IF(I332="Lib","Liberica",""))))</f>
        <v/>
      </c>
      <c r="O332">
        <f>IF(J332="M","Medium",IF(J332="L","Light",IF(J332="D","Dark","")))</f>
        <v/>
      </c>
      <c r="P332">
        <f>_xlfn.XLOOKUP(Orders[[#This Row],[Customer ID]],customers!$A$1:$A$1001,customers!$I$1:$I$1001,,0)</f>
        <v/>
      </c>
    </row>
    <row r="333">
      <c r="A333" s="2" t="inlineStr">
        <is>
          <t>O2161</t>
        </is>
      </c>
      <c r="B333" s="3" t="inlineStr">
        <is>
          <t>2020-06-25</t>
        </is>
      </c>
      <c r="C333" s="2" t="inlineStr">
        <is>
          <t>O4478</t>
        </is>
      </c>
      <c r="D333" t="inlineStr">
        <is>
          <t>O7899</t>
        </is>
      </c>
      <c r="E333" s="2" t="n">
        <v>339</v>
      </c>
      <c r="F333" s="2">
        <f>_xlfn.XLOOKUP(C333,customers!$A$1:$A$1001,customers!$B$1:$B$1001,,0)</f>
        <v/>
      </c>
      <c r="G333" s="2">
        <f>IF(_xlfn.XLOOKUP(C333,customers!$A$1:$A$1001,customers!$C$1:$C$1001,,0)=0,"",_xlfn.XLOOKUP(C333,customers!$A$1:$A$1001,customers!$C$1:$C$1001,,0))</f>
        <v/>
      </c>
      <c r="H333" s="2">
        <f>_xlfn.XLOOKUP(C333,customers!$A$1:$A$1001,customers!$G$1:$G$1001,,0)</f>
        <v/>
      </c>
      <c r="I333">
        <f>INDEX(products!$A$1:$G$49,MATCH(orders!$D333,products!$A$1:$A$49,0),MATCH(orders!I$1,products!$A$1:$G$1,0))</f>
        <v/>
      </c>
      <c r="J333">
        <f>INDEX(products!$A$1:$G$49,MATCH(orders!$D333,products!$A$1:$A$49,0),MATCH(orders!J$1,products!$A$1:$G$1,0))</f>
        <v/>
      </c>
      <c r="K333" s="4">
        <f>INDEX(products!$A$1:$G$49,MATCH(orders!$D333,products!$A$1:$A$49,0),MATCH(orders!K$1,products!$A$1:$G$1,0))</f>
        <v/>
      </c>
      <c r="L333" s="5">
        <f>INDEX(products!$A$1:$G$49,MATCH(orders!$D333,products!$A$1:$A$49,0),MATCH(orders!L$1,products!$A$1:$G$1,0))</f>
        <v/>
      </c>
      <c r="M333" s="5">
        <f>L333*E333</f>
        <v/>
      </c>
      <c r="N333">
        <f>IF(I333="Rob","Robusta",IF(I333="Exc","Excelsa",IF(I333="Ara","Arabica",IF(I333="Lib","Liberica",""))))</f>
        <v/>
      </c>
      <c r="O333">
        <f>IF(J333="M","Medium",IF(J333="L","Light",IF(J333="D","Dark","")))</f>
        <v/>
      </c>
      <c r="P333">
        <f>_xlfn.XLOOKUP(Orders[[#This Row],[Customer ID]],customers!$A$1:$A$1001,customers!$I$1:$I$1001,,0)</f>
        <v/>
      </c>
    </row>
    <row r="334">
      <c r="A334" s="2" t="inlineStr">
        <is>
          <t>O7862</t>
        </is>
      </c>
      <c r="B334" s="3" t="inlineStr">
        <is>
          <t>2023-06-10</t>
        </is>
      </c>
      <c r="C334" s="2" t="inlineStr">
        <is>
          <t>O5430</t>
        </is>
      </c>
      <c r="D334" t="inlineStr">
        <is>
          <t>O6615</t>
        </is>
      </c>
      <c r="E334" s="2" t="n">
        <v>129</v>
      </c>
      <c r="F334" s="2">
        <f>_xlfn.XLOOKUP(C334,customers!$A$1:$A$1001,customers!$B$1:$B$1001,,0)</f>
        <v/>
      </c>
      <c r="G334" s="2">
        <f>IF(_xlfn.XLOOKUP(C334,customers!$A$1:$A$1001,customers!$C$1:$C$1001,,0)=0,"",_xlfn.XLOOKUP(C334,customers!$A$1:$A$1001,customers!$C$1:$C$1001,,0))</f>
        <v/>
      </c>
      <c r="H334" s="2">
        <f>_xlfn.XLOOKUP(C334,customers!$A$1:$A$1001,customers!$G$1:$G$1001,,0)</f>
        <v/>
      </c>
      <c r="I334">
        <f>INDEX(products!$A$1:$G$49,MATCH(orders!$D334,products!$A$1:$A$49,0),MATCH(orders!I$1,products!$A$1:$G$1,0))</f>
        <v/>
      </c>
      <c r="J334">
        <f>INDEX(products!$A$1:$G$49,MATCH(orders!$D334,products!$A$1:$A$49,0),MATCH(orders!J$1,products!$A$1:$G$1,0))</f>
        <v/>
      </c>
      <c r="K334" s="4">
        <f>INDEX(products!$A$1:$G$49,MATCH(orders!$D334,products!$A$1:$A$49,0),MATCH(orders!K$1,products!$A$1:$G$1,0))</f>
        <v/>
      </c>
      <c r="L334" s="5">
        <f>INDEX(products!$A$1:$G$49,MATCH(orders!$D334,products!$A$1:$A$49,0),MATCH(orders!L$1,products!$A$1:$G$1,0))</f>
        <v/>
      </c>
      <c r="M334" s="5">
        <f>L334*E334</f>
        <v/>
      </c>
      <c r="N334">
        <f>IF(I334="Rob","Robusta",IF(I334="Exc","Excelsa",IF(I334="Ara","Arabica",IF(I334="Lib","Liberica",""))))</f>
        <v/>
      </c>
      <c r="O334">
        <f>IF(J334="M","Medium",IF(J334="L","Light",IF(J334="D","Dark","")))</f>
        <v/>
      </c>
      <c r="P334">
        <f>_xlfn.XLOOKUP(Orders[[#This Row],[Customer ID]],customers!$A$1:$A$1001,customers!$I$1:$I$1001,,0)</f>
        <v/>
      </c>
    </row>
    <row r="335">
      <c r="A335" s="2" t="inlineStr">
        <is>
          <t>O8650</t>
        </is>
      </c>
      <c r="B335" s="3" t="inlineStr">
        <is>
          <t>2025-09-16</t>
        </is>
      </c>
      <c r="C335" s="2" t="inlineStr">
        <is>
          <t>O5582</t>
        </is>
      </c>
      <c r="D335" t="inlineStr">
        <is>
          <t>O9356</t>
        </is>
      </c>
      <c r="E335" s="2" t="n">
        <v>286</v>
      </c>
      <c r="F335" s="2">
        <f>_xlfn.XLOOKUP(C335,customers!$A$1:$A$1001,customers!$B$1:$B$1001,,0)</f>
        <v/>
      </c>
      <c r="G335" s="2">
        <f>IF(_xlfn.XLOOKUP(C335,customers!$A$1:$A$1001,customers!$C$1:$C$1001,,0)=0,"",_xlfn.XLOOKUP(C335,customers!$A$1:$A$1001,customers!$C$1:$C$1001,,0))</f>
        <v/>
      </c>
      <c r="H335" s="2">
        <f>_xlfn.XLOOKUP(C335,customers!$A$1:$A$1001,customers!$G$1:$G$1001,,0)</f>
        <v/>
      </c>
      <c r="I335">
        <f>INDEX(products!$A$1:$G$49,MATCH(orders!$D335,products!$A$1:$A$49,0),MATCH(orders!I$1,products!$A$1:$G$1,0))</f>
        <v/>
      </c>
      <c r="J335">
        <f>INDEX(products!$A$1:$G$49,MATCH(orders!$D335,products!$A$1:$A$49,0),MATCH(orders!J$1,products!$A$1:$G$1,0))</f>
        <v/>
      </c>
      <c r="K335" s="4">
        <f>INDEX(products!$A$1:$G$49,MATCH(orders!$D335,products!$A$1:$A$49,0),MATCH(orders!K$1,products!$A$1:$G$1,0))</f>
        <v/>
      </c>
      <c r="L335" s="5">
        <f>INDEX(products!$A$1:$G$49,MATCH(orders!$D335,products!$A$1:$A$49,0),MATCH(orders!L$1,products!$A$1:$G$1,0))</f>
        <v/>
      </c>
      <c r="M335" s="5">
        <f>L335*E335</f>
        <v/>
      </c>
      <c r="N335">
        <f>IF(I335="Rob","Robusta",IF(I335="Exc","Excelsa",IF(I335="Ara","Arabica",IF(I335="Lib","Liberica",""))))</f>
        <v/>
      </c>
      <c r="O335">
        <f>IF(J335="M","Medium",IF(J335="L","Light",IF(J335="D","Dark","")))</f>
        <v/>
      </c>
      <c r="P335">
        <f>_xlfn.XLOOKUP(Orders[[#This Row],[Customer ID]],customers!$A$1:$A$1001,customers!$I$1:$I$1001,,0)</f>
        <v/>
      </c>
    </row>
    <row r="336">
      <c r="A336" s="2" t="inlineStr">
        <is>
          <t>O1431</t>
        </is>
      </c>
      <c r="B336" s="3" t="inlineStr">
        <is>
          <t>2021-09-07</t>
        </is>
      </c>
      <c r="C336" s="2" t="inlineStr">
        <is>
          <t>O7960</t>
        </is>
      </c>
      <c r="D336" t="inlineStr">
        <is>
          <t>O9399</t>
        </is>
      </c>
      <c r="E336" s="2" t="n">
        <v>434</v>
      </c>
      <c r="F336" s="2">
        <f>_xlfn.XLOOKUP(C336,customers!$A$1:$A$1001,customers!$B$1:$B$1001,,0)</f>
        <v/>
      </c>
      <c r="G336" s="2">
        <f>IF(_xlfn.XLOOKUP(C336,customers!$A$1:$A$1001,customers!$C$1:$C$1001,,0)=0,"",_xlfn.XLOOKUP(C336,customers!$A$1:$A$1001,customers!$C$1:$C$1001,,0))</f>
        <v/>
      </c>
      <c r="H336" s="2">
        <f>_xlfn.XLOOKUP(C336,customers!$A$1:$A$1001,customers!$G$1:$G$1001,,0)</f>
        <v/>
      </c>
      <c r="I336">
        <f>INDEX(products!$A$1:$G$49,MATCH(orders!$D336,products!$A$1:$A$49,0),MATCH(orders!I$1,products!$A$1:$G$1,0))</f>
        <v/>
      </c>
      <c r="J336">
        <f>INDEX(products!$A$1:$G$49,MATCH(orders!$D336,products!$A$1:$A$49,0),MATCH(orders!J$1,products!$A$1:$G$1,0))</f>
        <v/>
      </c>
      <c r="K336" s="4">
        <f>INDEX(products!$A$1:$G$49,MATCH(orders!$D336,products!$A$1:$A$49,0),MATCH(orders!K$1,products!$A$1:$G$1,0))</f>
        <v/>
      </c>
      <c r="L336" s="5">
        <f>INDEX(products!$A$1:$G$49,MATCH(orders!$D336,products!$A$1:$A$49,0),MATCH(orders!L$1,products!$A$1:$G$1,0))</f>
        <v/>
      </c>
      <c r="M336" s="5">
        <f>L336*E336</f>
        <v/>
      </c>
      <c r="N336">
        <f>IF(I336="Rob","Robusta",IF(I336="Exc","Excelsa",IF(I336="Ara","Arabica",IF(I336="Lib","Liberica",""))))</f>
        <v/>
      </c>
      <c r="O336">
        <f>IF(J336="M","Medium",IF(J336="L","Light",IF(J336="D","Dark","")))</f>
        <v/>
      </c>
      <c r="P336">
        <f>_xlfn.XLOOKUP(Orders[[#This Row],[Customer ID]],customers!$A$1:$A$1001,customers!$I$1:$I$1001,,0)</f>
        <v/>
      </c>
    </row>
    <row r="337">
      <c r="A337" s="2" t="inlineStr">
        <is>
          <t>O1016</t>
        </is>
      </c>
      <c r="B337" s="3" t="inlineStr">
        <is>
          <t>2020-10-17</t>
        </is>
      </c>
      <c r="C337" s="2" t="inlineStr">
        <is>
          <t>O9909</t>
        </is>
      </c>
      <c r="D337" t="inlineStr">
        <is>
          <t>O6560</t>
        </is>
      </c>
      <c r="E337" s="2" t="n">
        <v>234</v>
      </c>
      <c r="F337" s="2">
        <f>_xlfn.XLOOKUP(C337,customers!$A$1:$A$1001,customers!$B$1:$B$1001,,0)</f>
        <v/>
      </c>
      <c r="G337" s="2">
        <f>IF(_xlfn.XLOOKUP(C337,customers!$A$1:$A$1001,customers!$C$1:$C$1001,,0)=0,"",_xlfn.XLOOKUP(C337,customers!$A$1:$A$1001,customers!$C$1:$C$1001,,0))</f>
        <v/>
      </c>
      <c r="H337" s="2">
        <f>_xlfn.XLOOKUP(C337,customers!$A$1:$A$1001,customers!$G$1:$G$1001,,0)</f>
        <v/>
      </c>
      <c r="I337">
        <f>INDEX(products!$A$1:$G$49,MATCH(orders!$D337,products!$A$1:$A$49,0),MATCH(orders!I$1,products!$A$1:$G$1,0))</f>
        <v/>
      </c>
      <c r="J337">
        <f>INDEX(products!$A$1:$G$49,MATCH(orders!$D337,products!$A$1:$A$49,0),MATCH(orders!J$1,products!$A$1:$G$1,0))</f>
        <v/>
      </c>
      <c r="K337" s="4">
        <f>INDEX(products!$A$1:$G$49,MATCH(orders!$D337,products!$A$1:$A$49,0),MATCH(orders!K$1,products!$A$1:$G$1,0))</f>
        <v/>
      </c>
      <c r="L337" s="5">
        <f>INDEX(products!$A$1:$G$49,MATCH(orders!$D337,products!$A$1:$A$49,0),MATCH(orders!L$1,products!$A$1:$G$1,0))</f>
        <v/>
      </c>
      <c r="M337" s="5">
        <f>L337*E337</f>
        <v/>
      </c>
      <c r="N337">
        <f>IF(I337="Rob","Robusta",IF(I337="Exc","Excelsa",IF(I337="Ara","Arabica",IF(I337="Lib","Liberica",""))))</f>
        <v/>
      </c>
      <c r="O337">
        <f>IF(J337="M","Medium",IF(J337="L","Light",IF(J337="D","Dark","")))</f>
        <v/>
      </c>
      <c r="P337">
        <f>_xlfn.XLOOKUP(Orders[[#This Row],[Customer ID]],customers!$A$1:$A$1001,customers!$I$1:$I$1001,,0)</f>
        <v/>
      </c>
    </row>
    <row r="338">
      <c r="A338" s="2" t="inlineStr">
        <is>
          <t>O2372</t>
        </is>
      </c>
      <c r="B338" s="3" t="inlineStr">
        <is>
          <t>2021-12-14</t>
        </is>
      </c>
      <c r="C338" s="2" t="inlineStr">
        <is>
          <t>O7721</t>
        </is>
      </c>
      <c r="D338" t="inlineStr">
        <is>
          <t>O4304</t>
        </is>
      </c>
      <c r="E338" s="2" t="n">
        <v>364</v>
      </c>
      <c r="F338" s="2">
        <f>_xlfn.XLOOKUP(C338,customers!$A$1:$A$1001,customers!$B$1:$B$1001,,0)</f>
        <v/>
      </c>
      <c r="G338" s="2">
        <f>IF(_xlfn.XLOOKUP(C338,customers!$A$1:$A$1001,customers!$C$1:$C$1001,,0)=0,"",_xlfn.XLOOKUP(C338,customers!$A$1:$A$1001,customers!$C$1:$C$1001,,0))</f>
        <v/>
      </c>
      <c r="H338" s="2">
        <f>_xlfn.XLOOKUP(C338,customers!$A$1:$A$1001,customers!$G$1:$G$1001,,0)</f>
        <v/>
      </c>
      <c r="I338">
        <f>INDEX(products!$A$1:$G$49,MATCH(orders!$D338,products!$A$1:$A$49,0),MATCH(orders!I$1,products!$A$1:$G$1,0))</f>
        <v/>
      </c>
      <c r="J338">
        <f>INDEX(products!$A$1:$G$49,MATCH(orders!$D338,products!$A$1:$A$49,0),MATCH(orders!J$1,products!$A$1:$G$1,0))</f>
        <v/>
      </c>
      <c r="K338" s="4">
        <f>INDEX(products!$A$1:$G$49,MATCH(orders!$D338,products!$A$1:$A$49,0),MATCH(orders!K$1,products!$A$1:$G$1,0))</f>
        <v/>
      </c>
      <c r="L338" s="5">
        <f>INDEX(products!$A$1:$G$49,MATCH(orders!$D338,products!$A$1:$A$49,0),MATCH(orders!L$1,products!$A$1:$G$1,0))</f>
        <v/>
      </c>
      <c r="M338" s="5">
        <f>L338*E338</f>
        <v/>
      </c>
      <c r="N338">
        <f>IF(I338="Rob","Robusta",IF(I338="Exc","Excelsa",IF(I338="Ara","Arabica",IF(I338="Lib","Liberica",""))))</f>
        <v/>
      </c>
      <c r="O338">
        <f>IF(J338="M","Medium",IF(J338="L","Light",IF(J338="D","Dark","")))</f>
        <v/>
      </c>
      <c r="P338">
        <f>_xlfn.XLOOKUP(Orders[[#This Row],[Customer ID]],customers!$A$1:$A$1001,customers!$I$1:$I$1001,,0)</f>
        <v/>
      </c>
    </row>
    <row r="339">
      <c r="A339" s="2" t="inlineStr">
        <is>
          <t>O8204</t>
        </is>
      </c>
      <c r="B339" s="3" t="inlineStr">
        <is>
          <t>2024-03-19</t>
        </is>
      </c>
      <c r="C339" s="2" t="inlineStr">
        <is>
          <t>O6850</t>
        </is>
      </c>
      <c r="D339" t="inlineStr">
        <is>
          <t>O2824</t>
        </is>
      </c>
      <c r="E339" s="2" t="n">
        <v>392</v>
      </c>
      <c r="F339" s="2">
        <f>_xlfn.XLOOKUP(C339,customers!$A$1:$A$1001,customers!$B$1:$B$1001,,0)</f>
        <v/>
      </c>
      <c r="G339" s="2">
        <f>IF(_xlfn.XLOOKUP(C339,customers!$A$1:$A$1001,customers!$C$1:$C$1001,,0)=0,"",_xlfn.XLOOKUP(C339,customers!$A$1:$A$1001,customers!$C$1:$C$1001,,0))</f>
        <v/>
      </c>
      <c r="H339" s="2">
        <f>_xlfn.XLOOKUP(C339,customers!$A$1:$A$1001,customers!$G$1:$G$1001,,0)</f>
        <v/>
      </c>
      <c r="I339">
        <f>INDEX(products!$A$1:$G$49,MATCH(orders!$D339,products!$A$1:$A$49,0),MATCH(orders!I$1,products!$A$1:$G$1,0))</f>
        <v/>
      </c>
      <c r="J339">
        <f>INDEX(products!$A$1:$G$49,MATCH(orders!$D339,products!$A$1:$A$49,0),MATCH(orders!J$1,products!$A$1:$G$1,0))</f>
        <v/>
      </c>
      <c r="K339" s="4">
        <f>INDEX(products!$A$1:$G$49,MATCH(orders!$D339,products!$A$1:$A$49,0),MATCH(orders!K$1,products!$A$1:$G$1,0))</f>
        <v/>
      </c>
      <c r="L339" s="5">
        <f>INDEX(products!$A$1:$G$49,MATCH(orders!$D339,products!$A$1:$A$49,0),MATCH(orders!L$1,products!$A$1:$G$1,0))</f>
        <v/>
      </c>
      <c r="M339" s="5">
        <f>L339*E339</f>
        <v/>
      </c>
      <c r="N339">
        <f>IF(I339="Rob","Robusta",IF(I339="Exc","Excelsa",IF(I339="Ara","Arabica",IF(I339="Lib","Liberica",""))))</f>
        <v/>
      </c>
      <c r="O339">
        <f>IF(J339="M","Medium",IF(J339="L","Light",IF(J339="D","Dark","")))</f>
        <v/>
      </c>
      <c r="P339">
        <f>_xlfn.XLOOKUP(Orders[[#This Row],[Customer ID]],customers!$A$1:$A$1001,customers!$I$1:$I$1001,,0)</f>
        <v/>
      </c>
    </row>
    <row r="340">
      <c r="A340" s="2" t="inlineStr">
        <is>
          <t>O2123</t>
        </is>
      </c>
      <c r="B340" s="3" t="inlineStr">
        <is>
          <t>2023-01-08</t>
        </is>
      </c>
      <c r="C340" s="2" t="inlineStr">
        <is>
          <t>O3599</t>
        </is>
      </c>
      <c r="D340" t="inlineStr">
        <is>
          <t>O9129</t>
        </is>
      </c>
      <c r="E340" s="2" t="n">
        <v>248</v>
      </c>
      <c r="F340" s="2">
        <f>_xlfn.XLOOKUP(C340,customers!$A$1:$A$1001,customers!$B$1:$B$1001,,0)</f>
        <v/>
      </c>
      <c r="G340" s="2">
        <f>IF(_xlfn.XLOOKUP(C340,customers!$A$1:$A$1001,customers!$C$1:$C$1001,,0)=0,"",_xlfn.XLOOKUP(C340,customers!$A$1:$A$1001,customers!$C$1:$C$1001,,0))</f>
        <v/>
      </c>
      <c r="H340" s="2">
        <f>_xlfn.XLOOKUP(C340,customers!$A$1:$A$1001,customers!$G$1:$G$1001,,0)</f>
        <v/>
      </c>
      <c r="I340">
        <f>INDEX(products!$A$1:$G$49,MATCH(orders!$D340,products!$A$1:$A$49,0),MATCH(orders!I$1,products!$A$1:$G$1,0))</f>
        <v/>
      </c>
      <c r="J340">
        <f>INDEX(products!$A$1:$G$49,MATCH(orders!$D340,products!$A$1:$A$49,0),MATCH(orders!J$1,products!$A$1:$G$1,0))</f>
        <v/>
      </c>
      <c r="K340" s="4">
        <f>INDEX(products!$A$1:$G$49,MATCH(orders!$D340,products!$A$1:$A$49,0),MATCH(orders!K$1,products!$A$1:$G$1,0))</f>
        <v/>
      </c>
      <c r="L340" s="5">
        <f>INDEX(products!$A$1:$G$49,MATCH(orders!$D340,products!$A$1:$A$49,0),MATCH(orders!L$1,products!$A$1:$G$1,0))</f>
        <v/>
      </c>
      <c r="M340" s="5">
        <f>L340*E340</f>
        <v/>
      </c>
      <c r="N340">
        <f>IF(I340="Rob","Robusta",IF(I340="Exc","Excelsa",IF(I340="Ara","Arabica",IF(I340="Lib","Liberica",""))))</f>
        <v/>
      </c>
      <c r="O340">
        <f>IF(J340="M","Medium",IF(J340="L","Light",IF(J340="D","Dark","")))</f>
        <v/>
      </c>
      <c r="P340">
        <f>_xlfn.XLOOKUP(Orders[[#This Row],[Customer ID]],customers!$A$1:$A$1001,customers!$I$1:$I$1001,,0)</f>
        <v/>
      </c>
    </row>
    <row r="341">
      <c r="A341" s="2" t="inlineStr">
        <is>
          <t>O1024</t>
        </is>
      </c>
      <c r="B341" s="3" t="inlineStr">
        <is>
          <t>2025-01-17</t>
        </is>
      </c>
      <c r="C341" s="2" t="inlineStr">
        <is>
          <t>O5904</t>
        </is>
      </c>
      <c r="D341" t="inlineStr">
        <is>
          <t>O8546</t>
        </is>
      </c>
      <c r="E341" s="2" t="n">
        <v>54</v>
      </c>
      <c r="F341" s="2">
        <f>_xlfn.XLOOKUP(C341,customers!$A$1:$A$1001,customers!$B$1:$B$1001,,0)</f>
        <v/>
      </c>
      <c r="G341" s="2">
        <f>IF(_xlfn.XLOOKUP(C341,customers!$A$1:$A$1001,customers!$C$1:$C$1001,,0)=0,"",_xlfn.XLOOKUP(C341,customers!$A$1:$A$1001,customers!$C$1:$C$1001,,0))</f>
        <v/>
      </c>
      <c r="H341" s="2">
        <f>_xlfn.XLOOKUP(C341,customers!$A$1:$A$1001,customers!$G$1:$G$1001,,0)</f>
        <v/>
      </c>
      <c r="I341">
        <f>INDEX(products!$A$1:$G$49,MATCH(orders!$D341,products!$A$1:$A$49,0),MATCH(orders!I$1,products!$A$1:$G$1,0))</f>
        <v/>
      </c>
      <c r="J341">
        <f>INDEX(products!$A$1:$G$49,MATCH(orders!$D341,products!$A$1:$A$49,0),MATCH(orders!J$1,products!$A$1:$G$1,0))</f>
        <v/>
      </c>
      <c r="K341" s="4">
        <f>INDEX(products!$A$1:$G$49,MATCH(orders!$D341,products!$A$1:$A$49,0),MATCH(orders!K$1,products!$A$1:$G$1,0))</f>
        <v/>
      </c>
      <c r="L341" s="5">
        <f>INDEX(products!$A$1:$G$49,MATCH(orders!$D341,products!$A$1:$A$49,0),MATCH(orders!L$1,products!$A$1:$G$1,0))</f>
        <v/>
      </c>
      <c r="M341" s="5">
        <f>L341*E341</f>
        <v/>
      </c>
      <c r="N341">
        <f>IF(I341="Rob","Robusta",IF(I341="Exc","Excelsa",IF(I341="Ara","Arabica",IF(I341="Lib","Liberica",""))))</f>
        <v/>
      </c>
      <c r="O341">
        <f>IF(J341="M","Medium",IF(J341="L","Light",IF(J341="D","Dark","")))</f>
        <v/>
      </c>
      <c r="P341">
        <f>_xlfn.XLOOKUP(Orders[[#This Row],[Customer ID]],customers!$A$1:$A$1001,customers!$I$1:$I$1001,,0)</f>
        <v/>
      </c>
    </row>
    <row r="342">
      <c r="A342" s="2" t="inlineStr">
        <is>
          <t>O9100</t>
        </is>
      </c>
      <c r="B342" s="3" t="inlineStr">
        <is>
          <t>2024-01-16</t>
        </is>
      </c>
      <c r="C342" s="2" t="inlineStr">
        <is>
          <t>O8743</t>
        </is>
      </c>
      <c r="D342" t="inlineStr">
        <is>
          <t>O4990</t>
        </is>
      </c>
      <c r="E342" s="2" t="n">
        <v>209</v>
      </c>
      <c r="F342" s="2">
        <f>_xlfn.XLOOKUP(C342,customers!$A$1:$A$1001,customers!$B$1:$B$1001,,0)</f>
        <v/>
      </c>
      <c r="G342" s="2">
        <f>IF(_xlfn.XLOOKUP(C342,customers!$A$1:$A$1001,customers!$C$1:$C$1001,,0)=0,"",_xlfn.XLOOKUP(C342,customers!$A$1:$A$1001,customers!$C$1:$C$1001,,0))</f>
        <v/>
      </c>
      <c r="H342" s="2">
        <f>_xlfn.XLOOKUP(C342,customers!$A$1:$A$1001,customers!$G$1:$G$1001,,0)</f>
        <v/>
      </c>
      <c r="I342">
        <f>INDEX(products!$A$1:$G$49,MATCH(orders!$D342,products!$A$1:$A$49,0),MATCH(orders!I$1,products!$A$1:$G$1,0))</f>
        <v/>
      </c>
      <c r="J342">
        <f>INDEX(products!$A$1:$G$49,MATCH(orders!$D342,products!$A$1:$A$49,0),MATCH(orders!J$1,products!$A$1:$G$1,0))</f>
        <v/>
      </c>
      <c r="K342" s="4">
        <f>INDEX(products!$A$1:$G$49,MATCH(orders!$D342,products!$A$1:$A$49,0),MATCH(orders!K$1,products!$A$1:$G$1,0))</f>
        <v/>
      </c>
      <c r="L342" s="5">
        <f>INDEX(products!$A$1:$G$49,MATCH(orders!$D342,products!$A$1:$A$49,0),MATCH(orders!L$1,products!$A$1:$G$1,0))</f>
        <v/>
      </c>
      <c r="M342" s="5">
        <f>L342*E342</f>
        <v/>
      </c>
      <c r="N342">
        <f>IF(I342="Rob","Robusta",IF(I342="Exc","Excelsa",IF(I342="Ara","Arabica",IF(I342="Lib","Liberica",""))))</f>
        <v/>
      </c>
      <c r="O342">
        <f>IF(J342="M","Medium",IF(J342="L","Light",IF(J342="D","Dark","")))</f>
        <v/>
      </c>
      <c r="P342">
        <f>_xlfn.XLOOKUP(Orders[[#This Row],[Customer ID]],customers!$A$1:$A$1001,customers!$I$1:$I$1001,,0)</f>
        <v/>
      </c>
    </row>
    <row r="343">
      <c r="A343" s="2" t="inlineStr">
        <is>
          <t>O8694</t>
        </is>
      </c>
      <c r="B343" s="3" t="inlineStr">
        <is>
          <t>2025-06-23</t>
        </is>
      </c>
      <c r="C343" s="2" t="inlineStr">
        <is>
          <t>O6592</t>
        </is>
      </c>
      <c r="D343" t="inlineStr">
        <is>
          <t>O9323</t>
        </is>
      </c>
      <c r="E343" s="2" t="n">
        <v>464</v>
      </c>
      <c r="F343" s="2">
        <f>_xlfn.XLOOKUP(C343,customers!$A$1:$A$1001,customers!$B$1:$B$1001,,0)</f>
        <v/>
      </c>
      <c r="G343" s="2">
        <f>IF(_xlfn.XLOOKUP(C343,customers!$A$1:$A$1001,customers!$C$1:$C$1001,,0)=0,"",_xlfn.XLOOKUP(C343,customers!$A$1:$A$1001,customers!$C$1:$C$1001,,0))</f>
        <v/>
      </c>
      <c r="H343" s="2">
        <f>_xlfn.XLOOKUP(C343,customers!$A$1:$A$1001,customers!$G$1:$G$1001,,0)</f>
        <v/>
      </c>
      <c r="I343">
        <f>INDEX(products!$A$1:$G$49,MATCH(orders!$D343,products!$A$1:$A$49,0),MATCH(orders!I$1,products!$A$1:$G$1,0))</f>
        <v/>
      </c>
      <c r="J343">
        <f>INDEX(products!$A$1:$G$49,MATCH(orders!$D343,products!$A$1:$A$49,0),MATCH(orders!J$1,products!$A$1:$G$1,0))</f>
        <v/>
      </c>
      <c r="K343" s="4">
        <f>INDEX(products!$A$1:$G$49,MATCH(orders!$D343,products!$A$1:$A$49,0),MATCH(orders!K$1,products!$A$1:$G$1,0))</f>
        <v/>
      </c>
      <c r="L343" s="5">
        <f>INDEX(products!$A$1:$G$49,MATCH(orders!$D343,products!$A$1:$A$49,0),MATCH(orders!L$1,products!$A$1:$G$1,0))</f>
        <v/>
      </c>
      <c r="M343" s="5">
        <f>L343*E343</f>
        <v/>
      </c>
      <c r="N343">
        <f>IF(I343="Rob","Robusta",IF(I343="Exc","Excelsa",IF(I343="Ara","Arabica",IF(I343="Lib","Liberica",""))))</f>
        <v/>
      </c>
      <c r="O343">
        <f>IF(J343="M","Medium",IF(J343="L","Light",IF(J343="D","Dark","")))</f>
        <v/>
      </c>
      <c r="P343">
        <f>_xlfn.XLOOKUP(Orders[[#This Row],[Customer ID]],customers!$A$1:$A$1001,customers!$I$1:$I$1001,,0)</f>
        <v/>
      </c>
    </row>
    <row r="344">
      <c r="A344" s="2" t="inlineStr">
        <is>
          <t>O6252</t>
        </is>
      </c>
      <c r="B344" s="3" t="inlineStr">
        <is>
          <t>2025-04-29</t>
        </is>
      </c>
      <c r="C344" s="2" t="inlineStr">
        <is>
          <t>O1756</t>
        </is>
      </c>
      <c r="D344" t="inlineStr">
        <is>
          <t>O6763</t>
        </is>
      </c>
      <c r="E344" s="2" t="n">
        <v>231</v>
      </c>
      <c r="F344" s="2">
        <f>_xlfn.XLOOKUP(C344,customers!$A$1:$A$1001,customers!$B$1:$B$1001,,0)</f>
        <v/>
      </c>
      <c r="G344" s="2">
        <f>IF(_xlfn.XLOOKUP(C344,customers!$A$1:$A$1001,customers!$C$1:$C$1001,,0)=0,"",_xlfn.XLOOKUP(C344,customers!$A$1:$A$1001,customers!$C$1:$C$1001,,0))</f>
        <v/>
      </c>
      <c r="H344" s="2">
        <f>_xlfn.XLOOKUP(C344,customers!$A$1:$A$1001,customers!$G$1:$G$1001,,0)</f>
        <v/>
      </c>
      <c r="I344">
        <f>INDEX(products!$A$1:$G$49,MATCH(orders!$D344,products!$A$1:$A$49,0),MATCH(orders!I$1,products!$A$1:$G$1,0))</f>
        <v/>
      </c>
      <c r="J344">
        <f>INDEX(products!$A$1:$G$49,MATCH(orders!$D344,products!$A$1:$A$49,0),MATCH(orders!J$1,products!$A$1:$G$1,0))</f>
        <v/>
      </c>
      <c r="K344" s="4">
        <f>INDEX(products!$A$1:$G$49,MATCH(orders!$D344,products!$A$1:$A$49,0),MATCH(orders!K$1,products!$A$1:$G$1,0))</f>
        <v/>
      </c>
      <c r="L344" s="5">
        <f>INDEX(products!$A$1:$G$49,MATCH(orders!$D344,products!$A$1:$A$49,0),MATCH(orders!L$1,products!$A$1:$G$1,0))</f>
        <v/>
      </c>
      <c r="M344" s="5">
        <f>L344*E344</f>
        <v/>
      </c>
      <c r="N344">
        <f>IF(I344="Rob","Robusta",IF(I344="Exc","Excelsa",IF(I344="Ara","Arabica",IF(I344="Lib","Liberica",""))))</f>
        <v/>
      </c>
      <c r="O344">
        <f>IF(J344="M","Medium",IF(J344="L","Light",IF(J344="D","Dark","")))</f>
        <v/>
      </c>
      <c r="P344">
        <f>_xlfn.XLOOKUP(Orders[[#This Row],[Customer ID]],customers!$A$1:$A$1001,customers!$I$1:$I$1001,,0)</f>
        <v/>
      </c>
    </row>
    <row r="345">
      <c r="A345" s="2" t="inlineStr">
        <is>
          <t>O1740</t>
        </is>
      </c>
      <c r="B345" s="3" t="inlineStr">
        <is>
          <t>2021-01-14</t>
        </is>
      </c>
      <c r="C345" s="2" t="inlineStr">
        <is>
          <t>O5722</t>
        </is>
      </c>
      <c r="D345" t="inlineStr">
        <is>
          <t>O5120</t>
        </is>
      </c>
      <c r="E345" s="2" t="n">
        <v>361</v>
      </c>
      <c r="F345" s="2">
        <f>_xlfn.XLOOKUP(C345,customers!$A$1:$A$1001,customers!$B$1:$B$1001,,0)</f>
        <v/>
      </c>
      <c r="G345" s="2">
        <f>IF(_xlfn.XLOOKUP(C345,customers!$A$1:$A$1001,customers!$C$1:$C$1001,,0)=0,"",_xlfn.XLOOKUP(C345,customers!$A$1:$A$1001,customers!$C$1:$C$1001,,0))</f>
        <v/>
      </c>
      <c r="H345" s="2">
        <f>_xlfn.XLOOKUP(C345,customers!$A$1:$A$1001,customers!$G$1:$G$1001,,0)</f>
        <v/>
      </c>
      <c r="I345">
        <f>INDEX(products!$A$1:$G$49,MATCH(orders!$D345,products!$A$1:$A$49,0),MATCH(orders!I$1,products!$A$1:$G$1,0))</f>
        <v/>
      </c>
      <c r="J345">
        <f>INDEX(products!$A$1:$G$49,MATCH(orders!$D345,products!$A$1:$A$49,0),MATCH(orders!J$1,products!$A$1:$G$1,0))</f>
        <v/>
      </c>
      <c r="K345" s="4">
        <f>INDEX(products!$A$1:$G$49,MATCH(orders!$D345,products!$A$1:$A$49,0),MATCH(orders!K$1,products!$A$1:$G$1,0))</f>
        <v/>
      </c>
      <c r="L345" s="5">
        <f>INDEX(products!$A$1:$G$49,MATCH(orders!$D345,products!$A$1:$A$49,0),MATCH(orders!L$1,products!$A$1:$G$1,0))</f>
        <v/>
      </c>
      <c r="M345" s="5">
        <f>L345*E345</f>
        <v/>
      </c>
      <c r="N345">
        <f>IF(I345="Rob","Robusta",IF(I345="Exc","Excelsa",IF(I345="Ara","Arabica",IF(I345="Lib","Liberica",""))))</f>
        <v/>
      </c>
      <c r="O345">
        <f>IF(J345="M","Medium",IF(J345="L","Light",IF(J345="D","Dark","")))</f>
        <v/>
      </c>
      <c r="P345">
        <f>_xlfn.XLOOKUP(Orders[[#This Row],[Customer ID]],customers!$A$1:$A$1001,customers!$I$1:$I$1001,,0)</f>
        <v/>
      </c>
    </row>
    <row r="346">
      <c r="A346" s="2" t="inlineStr">
        <is>
          <t>O6342</t>
        </is>
      </c>
      <c r="B346" s="3" t="inlineStr">
        <is>
          <t>2025-08-26</t>
        </is>
      </c>
      <c r="C346" s="2" t="inlineStr">
        <is>
          <t>O5474</t>
        </is>
      </c>
      <c r="D346" t="inlineStr">
        <is>
          <t>O7389</t>
        </is>
      </c>
      <c r="E346" s="2" t="n">
        <v>404</v>
      </c>
      <c r="F346" s="2">
        <f>_xlfn.XLOOKUP(C346,customers!$A$1:$A$1001,customers!$B$1:$B$1001,,0)</f>
        <v/>
      </c>
      <c r="G346" s="2">
        <f>IF(_xlfn.XLOOKUP(C346,customers!$A$1:$A$1001,customers!$C$1:$C$1001,,0)=0,"",_xlfn.XLOOKUP(C346,customers!$A$1:$A$1001,customers!$C$1:$C$1001,,0))</f>
        <v/>
      </c>
      <c r="H346" s="2">
        <f>_xlfn.XLOOKUP(C346,customers!$A$1:$A$1001,customers!$G$1:$G$1001,,0)</f>
        <v/>
      </c>
      <c r="I346">
        <f>INDEX(products!$A$1:$G$49,MATCH(orders!$D346,products!$A$1:$A$49,0),MATCH(orders!I$1,products!$A$1:$G$1,0))</f>
        <v/>
      </c>
      <c r="J346">
        <f>INDEX(products!$A$1:$G$49,MATCH(orders!$D346,products!$A$1:$A$49,0),MATCH(orders!J$1,products!$A$1:$G$1,0))</f>
        <v/>
      </c>
      <c r="K346" s="4">
        <f>INDEX(products!$A$1:$G$49,MATCH(orders!$D346,products!$A$1:$A$49,0),MATCH(orders!K$1,products!$A$1:$G$1,0))</f>
        <v/>
      </c>
      <c r="L346" s="5">
        <f>INDEX(products!$A$1:$G$49,MATCH(orders!$D346,products!$A$1:$A$49,0),MATCH(orders!L$1,products!$A$1:$G$1,0))</f>
        <v/>
      </c>
      <c r="M346" s="5">
        <f>L346*E346</f>
        <v/>
      </c>
      <c r="N346">
        <f>IF(I346="Rob","Robusta",IF(I346="Exc","Excelsa",IF(I346="Ara","Arabica",IF(I346="Lib","Liberica",""))))</f>
        <v/>
      </c>
      <c r="O346">
        <f>IF(J346="M","Medium",IF(J346="L","Light",IF(J346="D","Dark","")))</f>
        <v/>
      </c>
      <c r="P346">
        <f>_xlfn.XLOOKUP(Orders[[#This Row],[Customer ID]],customers!$A$1:$A$1001,customers!$I$1:$I$1001,,0)</f>
        <v/>
      </c>
    </row>
    <row r="347">
      <c r="A347" s="2" t="inlineStr">
        <is>
          <t>O2193</t>
        </is>
      </c>
      <c r="B347" s="3" t="inlineStr">
        <is>
          <t>2020-03-30</t>
        </is>
      </c>
      <c r="C347" s="2" t="inlineStr">
        <is>
          <t>O5195</t>
        </is>
      </c>
      <c r="D347" t="inlineStr">
        <is>
          <t>O2916</t>
        </is>
      </c>
      <c r="E347" s="2" t="n">
        <v>123</v>
      </c>
      <c r="F347" s="2">
        <f>_xlfn.XLOOKUP(C347,customers!$A$1:$A$1001,customers!$B$1:$B$1001,,0)</f>
        <v/>
      </c>
      <c r="G347" s="2">
        <f>IF(_xlfn.XLOOKUP(C347,customers!$A$1:$A$1001,customers!$C$1:$C$1001,,0)=0,"",_xlfn.XLOOKUP(C347,customers!$A$1:$A$1001,customers!$C$1:$C$1001,,0))</f>
        <v/>
      </c>
      <c r="H347" s="2">
        <f>_xlfn.XLOOKUP(C347,customers!$A$1:$A$1001,customers!$G$1:$G$1001,,0)</f>
        <v/>
      </c>
      <c r="I347">
        <f>INDEX(products!$A$1:$G$49,MATCH(orders!$D347,products!$A$1:$A$49,0),MATCH(orders!I$1,products!$A$1:$G$1,0))</f>
        <v/>
      </c>
      <c r="J347">
        <f>INDEX(products!$A$1:$G$49,MATCH(orders!$D347,products!$A$1:$A$49,0),MATCH(orders!J$1,products!$A$1:$G$1,0))</f>
        <v/>
      </c>
      <c r="K347" s="4">
        <f>INDEX(products!$A$1:$G$49,MATCH(orders!$D347,products!$A$1:$A$49,0),MATCH(orders!K$1,products!$A$1:$G$1,0))</f>
        <v/>
      </c>
      <c r="L347" s="5">
        <f>INDEX(products!$A$1:$G$49,MATCH(orders!$D347,products!$A$1:$A$49,0),MATCH(orders!L$1,products!$A$1:$G$1,0))</f>
        <v/>
      </c>
      <c r="M347" s="5">
        <f>L347*E347</f>
        <v/>
      </c>
      <c r="N347">
        <f>IF(I347="Rob","Robusta",IF(I347="Exc","Excelsa",IF(I347="Ara","Arabica",IF(I347="Lib","Liberica",""))))</f>
        <v/>
      </c>
      <c r="O347">
        <f>IF(J347="M","Medium",IF(J347="L","Light",IF(J347="D","Dark","")))</f>
        <v/>
      </c>
      <c r="P347">
        <f>_xlfn.XLOOKUP(Orders[[#This Row],[Customer ID]],customers!$A$1:$A$1001,customers!$I$1:$I$1001,,0)</f>
        <v/>
      </c>
    </row>
    <row r="348">
      <c r="A348" s="2" t="inlineStr">
        <is>
          <t>O9343</t>
        </is>
      </c>
      <c r="B348" s="3" t="inlineStr">
        <is>
          <t>2024-04-20</t>
        </is>
      </c>
      <c r="C348" s="2" t="inlineStr">
        <is>
          <t>O2147</t>
        </is>
      </c>
      <c r="D348" t="inlineStr">
        <is>
          <t>O1515</t>
        </is>
      </c>
      <c r="E348" s="2" t="n">
        <v>82</v>
      </c>
      <c r="F348" s="2">
        <f>_xlfn.XLOOKUP(C348,customers!$A$1:$A$1001,customers!$B$1:$B$1001,,0)</f>
        <v/>
      </c>
      <c r="G348" s="2">
        <f>IF(_xlfn.XLOOKUP(C348,customers!$A$1:$A$1001,customers!$C$1:$C$1001,,0)=0,"",_xlfn.XLOOKUP(C348,customers!$A$1:$A$1001,customers!$C$1:$C$1001,,0))</f>
        <v/>
      </c>
      <c r="H348" s="2">
        <f>_xlfn.XLOOKUP(C348,customers!$A$1:$A$1001,customers!$G$1:$G$1001,,0)</f>
        <v/>
      </c>
      <c r="I348">
        <f>INDEX(products!$A$1:$G$49,MATCH(orders!$D348,products!$A$1:$A$49,0),MATCH(orders!I$1,products!$A$1:$G$1,0))</f>
        <v/>
      </c>
      <c r="J348">
        <f>INDEX(products!$A$1:$G$49,MATCH(orders!$D348,products!$A$1:$A$49,0),MATCH(orders!J$1,products!$A$1:$G$1,0))</f>
        <v/>
      </c>
      <c r="K348" s="4">
        <f>INDEX(products!$A$1:$G$49,MATCH(orders!$D348,products!$A$1:$A$49,0),MATCH(orders!K$1,products!$A$1:$G$1,0))</f>
        <v/>
      </c>
      <c r="L348" s="5">
        <f>INDEX(products!$A$1:$G$49,MATCH(orders!$D348,products!$A$1:$A$49,0),MATCH(orders!L$1,products!$A$1:$G$1,0))</f>
        <v/>
      </c>
      <c r="M348" s="5">
        <f>L348*E348</f>
        <v/>
      </c>
      <c r="N348">
        <f>IF(I348="Rob","Robusta",IF(I348="Exc","Excelsa",IF(I348="Ara","Arabica",IF(I348="Lib","Liberica",""))))</f>
        <v/>
      </c>
      <c r="O348">
        <f>IF(J348="M","Medium",IF(J348="L","Light",IF(J348="D","Dark","")))</f>
        <v/>
      </c>
      <c r="P348">
        <f>_xlfn.XLOOKUP(Orders[[#This Row],[Customer ID]],customers!$A$1:$A$1001,customers!$I$1:$I$1001,,0)</f>
        <v/>
      </c>
    </row>
    <row r="349">
      <c r="A349" s="2" t="inlineStr">
        <is>
          <t>O8958</t>
        </is>
      </c>
      <c r="B349" s="3" t="inlineStr">
        <is>
          <t>2024-09-09</t>
        </is>
      </c>
      <c r="C349" s="2" t="inlineStr">
        <is>
          <t>O7828</t>
        </is>
      </c>
      <c r="D349" t="inlineStr">
        <is>
          <t>O6951</t>
        </is>
      </c>
      <c r="E349" s="2" t="n">
        <v>169</v>
      </c>
      <c r="F349" s="2">
        <f>_xlfn.XLOOKUP(C349,customers!$A$1:$A$1001,customers!$B$1:$B$1001,,0)</f>
        <v/>
      </c>
      <c r="G349" s="2">
        <f>IF(_xlfn.XLOOKUP(C349,customers!$A$1:$A$1001,customers!$C$1:$C$1001,,0)=0,"",_xlfn.XLOOKUP(C349,customers!$A$1:$A$1001,customers!$C$1:$C$1001,,0))</f>
        <v/>
      </c>
      <c r="H349" s="2">
        <f>_xlfn.XLOOKUP(C349,customers!$A$1:$A$1001,customers!$G$1:$G$1001,,0)</f>
        <v/>
      </c>
      <c r="I349">
        <f>INDEX(products!$A$1:$G$49,MATCH(orders!$D349,products!$A$1:$A$49,0),MATCH(orders!I$1,products!$A$1:$G$1,0))</f>
        <v/>
      </c>
      <c r="J349">
        <f>INDEX(products!$A$1:$G$49,MATCH(orders!$D349,products!$A$1:$A$49,0),MATCH(orders!J$1,products!$A$1:$G$1,0))</f>
        <v/>
      </c>
      <c r="K349" s="4">
        <f>INDEX(products!$A$1:$G$49,MATCH(orders!$D349,products!$A$1:$A$49,0),MATCH(orders!K$1,products!$A$1:$G$1,0))</f>
        <v/>
      </c>
      <c r="L349" s="5">
        <f>INDEX(products!$A$1:$G$49,MATCH(orders!$D349,products!$A$1:$A$49,0),MATCH(orders!L$1,products!$A$1:$G$1,0))</f>
        <v/>
      </c>
      <c r="M349" s="5">
        <f>L349*E349</f>
        <v/>
      </c>
      <c r="N349">
        <f>IF(I349="Rob","Robusta",IF(I349="Exc","Excelsa",IF(I349="Ara","Arabica",IF(I349="Lib","Liberica",""))))</f>
        <v/>
      </c>
      <c r="O349">
        <f>IF(J349="M","Medium",IF(J349="L","Light",IF(J349="D","Dark","")))</f>
        <v/>
      </c>
      <c r="P349">
        <f>_xlfn.XLOOKUP(Orders[[#This Row],[Customer ID]],customers!$A$1:$A$1001,customers!$I$1:$I$1001,,0)</f>
        <v/>
      </c>
    </row>
    <row r="350">
      <c r="A350" s="2" t="inlineStr">
        <is>
          <t>O7678</t>
        </is>
      </c>
      <c r="B350" s="3" t="inlineStr">
        <is>
          <t>2025-09-28</t>
        </is>
      </c>
      <c r="C350" s="2" t="inlineStr">
        <is>
          <t>O3810</t>
        </is>
      </c>
      <c r="D350" t="inlineStr">
        <is>
          <t>O5256</t>
        </is>
      </c>
      <c r="E350" s="2" t="n">
        <v>198</v>
      </c>
      <c r="F350" s="2">
        <f>_xlfn.XLOOKUP(C350,customers!$A$1:$A$1001,customers!$B$1:$B$1001,,0)</f>
        <v/>
      </c>
      <c r="G350" s="2">
        <f>IF(_xlfn.XLOOKUP(C350,customers!$A$1:$A$1001,customers!$C$1:$C$1001,,0)=0,"",_xlfn.XLOOKUP(C350,customers!$A$1:$A$1001,customers!$C$1:$C$1001,,0))</f>
        <v/>
      </c>
      <c r="H350" s="2">
        <f>_xlfn.XLOOKUP(C350,customers!$A$1:$A$1001,customers!$G$1:$G$1001,,0)</f>
        <v/>
      </c>
      <c r="I350">
        <f>INDEX(products!$A$1:$G$49,MATCH(orders!$D350,products!$A$1:$A$49,0),MATCH(orders!I$1,products!$A$1:$G$1,0))</f>
        <v/>
      </c>
      <c r="J350">
        <f>INDEX(products!$A$1:$G$49,MATCH(orders!$D350,products!$A$1:$A$49,0),MATCH(orders!J$1,products!$A$1:$G$1,0))</f>
        <v/>
      </c>
      <c r="K350" s="4">
        <f>INDEX(products!$A$1:$G$49,MATCH(orders!$D350,products!$A$1:$A$49,0),MATCH(orders!K$1,products!$A$1:$G$1,0))</f>
        <v/>
      </c>
      <c r="L350" s="5">
        <f>INDEX(products!$A$1:$G$49,MATCH(orders!$D350,products!$A$1:$A$49,0),MATCH(orders!L$1,products!$A$1:$G$1,0))</f>
        <v/>
      </c>
      <c r="M350" s="5">
        <f>L350*E350</f>
        <v/>
      </c>
      <c r="N350">
        <f>IF(I350="Rob","Robusta",IF(I350="Exc","Excelsa",IF(I350="Ara","Arabica",IF(I350="Lib","Liberica",""))))</f>
        <v/>
      </c>
      <c r="O350">
        <f>IF(J350="M","Medium",IF(J350="L","Light",IF(J350="D","Dark","")))</f>
        <v/>
      </c>
      <c r="P350">
        <f>_xlfn.XLOOKUP(Orders[[#This Row],[Customer ID]],customers!$A$1:$A$1001,customers!$I$1:$I$1001,,0)</f>
        <v/>
      </c>
    </row>
    <row r="351">
      <c r="A351" s="2" t="inlineStr">
        <is>
          <t>O9528</t>
        </is>
      </c>
      <c r="B351" s="3" t="inlineStr">
        <is>
          <t>2024-03-21</t>
        </is>
      </c>
      <c r="C351" s="2" t="inlineStr">
        <is>
          <t>O6450</t>
        </is>
      </c>
      <c r="D351" t="inlineStr">
        <is>
          <t>O7006</t>
        </is>
      </c>
      <c r="E351" s="2" t="n">
        <v>44</v>
      </c>
      <c r="F351" s="2">
        <f>_xlfn.XLOOKUP(C351,customers!$A$1:$A$1001,customers!$B$1:$B$1001,,0)</f>
        <v/>
      </c>
      <c r="G351" s="2">
        <f>IF(_xlfn.XLOOKUP(C351,customers!$A$1:$A$1001,customers!$C$1:$C$1001,,0)=0,"",_xlfn.XLOOKUP(C351,customers!$A$1:$A$1001,customers!$C$1:$C$1001,,0))</f>
        <v/>
      </c>
      <c r="H351" s="2">
        <f>_xlfn.XLOOKUP(C351,customers!$A$1:$A$1001,customers!$G$1:$G$1001,,0)</f>
        <v/>
      </c>
      <c r="I351">
        <f>INDEX(products!$A$1:$G$49,MATCH(orders!$D351,products!$A$1:$A$49,0),MATCH(orders!I$1,products!$A$1:$G$1,0))</f>
        <v/>
      </c>
      <c r="J351">
        <f>INDEX(products!$A$1:$G$49,MATCH(orders!$D351,products!$A$1:$A$49,0),MATCH(orders!J$1,products!$A$1:$G$1,0))</f>
        <v/>
      </c>
      <c r="K351" s="4">
        <f>INDEX(products!$A$1:$G$49,MATCH(orders!$D351,products!$A$1:$A$49,0),MATCH(orders!K$1,products!$A$1:$G$1,0))</f>
        <v/>
      </c>
      <c r="L351" s="5">
        <f>INDEX(products!$A$1:$G$49,MATCH(orders!$D351,products!$A$1:$A$49,0),MATCH(orders!L$1,products!$A$1:$G$1,0))</f>
        <v/>
      </c>
      <c r="M351" s="5">
        <f>L351*E351</f>
        <v/>
      </c>
      <c r="N351">
        <f>IF(I351="Rob","Robusta",IF(I351="Exc","Excelsa",IF(I351="Ara","Arabica",IF(I351="Lib","Liberica",""))))</f>
        <v/>
      </c>
      <c r="O351">
        <f>IF(J351="M","Medium",IF(J351="L","Light",IF(J351="D","Dark","")))</f>
        <v/>
      </c>
      <c r="P351">
        <f>_xlfn.XLOOKUP(Orders[[#This Row],[Customer ID]],customers!$A$1:$A$1001,customers!$I$1:$I$1001,,0)</f>
        <v/>
      </c>
    </row>
    <row r="352">
      <c r="A352" s="2" t="inlineStr">
        <is>
          <t>O6614</t>
        </is>
      </c>
      <c r="B352" s="3" t="inlineStr">
        <is>
          <t>2024-04-20</t>
        </is>
      </c>
      <c r="C352" s="2" t="inlineStr">
        <is>
          <t>O3962</t>
        </is>
      </c>
      <c r="D352" t="inlineStr">
        <is>
          <t>O7443</t>
        </is>
      </c>
      <c r="E352" s="2" t="n">
        <v>307</v>
      </c>
      <c r="F352" s="2">
        <f>_xlfn.XLOOKUP(C352,customers!$A$1:$A$1001,customers!$B$1:$B$1001,,0)</f>
        <v/>
      </c>
      <c r="G352" s="2">
        <f>IF(_xlfn.XLOOKUP(C352,customers!$A$1:$A$1001,customers!$C$1:$C$1001,,0)=0,"",_xlfn.XLOOKUP(C352,customers!$A$1:$A$1001,customers!$C$1:$C$1001,,0))</f>
        <v/>
      </c>
      <c r="H352" s="2">
        <f>_xlfn.XLOOKUP(C352,customers!$A$1:$A$1001,customers!$G$1:$G$1001,,0)</f>
        <v/>
      </c>
      <c r="I352">
        <f>INDEX(products!$A$1:$G$49,MATCH(orders!$D352,products!$A$1:$A$49,0),MATCH(orders!I$1,products!$A$1:$G$1,0))</f>
        <v/>
      </c>
      <c r="J352">
        <f>INDEX(products!$A$1:$G$49,MATCH(orders!$D352,products!$A$1:$A$49,0),MATCH(orders!J$1,products!$A$1:$G$1,0))</f>
        <v/>
      </c>
      <c r="K352" s="4">
        <f>INDEX(products!$A$1:$G$49,MATCH(orders!$D352,products!$A$1:$A$49,0),MATCH(orders!K$1,products!$A$1:$G$1,0))</f>
        <v/>
      </c>
      <c r="L352" s="5">
        <f>INDEX(products!$A$1:$G$49,MATCH(orders!$D352,products!$A$1:$A$49,0),MATCH(orders!L$1,products!$A$1:$G$1,0))</f>
        <v/>
      </c>
      <c r="M352" s="5">
        <f>L352*E352</f>
        <v/>
      </c>
      <c r="N352">
        <f>IF(I352="Rob","Robusta",IF(I352="Exc","Excelsa",IF(I352="Ara","Arabica",IF(I352="Lib","Liberica",""))))</f>
        <v/>
      </c>
      <c r="O352">
        <f>IF(J352="M","Medium",IF(J352="L","Light",IF(J352="D","Dark","")))</f>
        <v/>
      </c>
      <c r="P352">
        <f>_xlfn.XLOOKUP(Orders[[#This Row],[Customer ID]],customers!$A$1:$A$1001,customers!$I$1:$I$1001,,0)</f>
        <v/>
      </c>
    </row>
    <row r="353">
      <c r="A353" s="2" t="inlineStr">
        <is>
          <t>O7572</t>
        </is>
      </c>
      <c r="B353" s="3" t="inlineStr">
        <is>
          <t>2022-05-13</t>
        </is>
      </c>
      <c r="C353" s="2" t="inlineStr">
        <is>
          <t>O9262</t>
        </is>
      </c>
      <c r="D353" t="inlineStr">
        <is>
          <t>O4150</t>
        </is>
      </c>
      <c r="E353" s="2" t="n">
        <v>137</v>
      </c>
      <c r="F353" s="2">
        <f>_xlfn.XLOOKUP(C353,customers!$A$1:$A$1001,customers!$B$1:$B$1001,,0)</f>
        <v/>
      </c>
      <c r="G353" s="2">
        <f>IF(_xlfn.XLOOKUP(C353,customers!$A$1:$A$1001,customers!$C$1:$C$1001,,0)=0,"",_xlfn.XLOOKUP(C353,customers!$A$1:$A$1001,customers!$C$1:$C$1001,,0))</f>
        <v/>
      </c>
      <c r="H353" s="2">
        <f>_xlfn.XLOOKUP(C353,customers!$A$1:$A$1001,customers!$G$1:$G$1001,,0)</f>
        <v/>
      </c>
      <c r="I353">
        <f>INDEX(products!$A$1:$G$49,MATCH(orders!$D353,products!$A$1:$A$49,0),MATCH(orders!I$1,products!$A$1:$G$1,0))</f>
        <v/>
      </c>
      <c r="J353">
        <f>INDEX(products!$A$1:$G$49,MATCH(orders!$D353,products!$A$1:$A$49,0),MATCH(orders!J$1,products!$A$1:$G$1,0))</f>
        <v/>
      </c>
      <c r="K353" s="4">
        <f>INDEX(products!$A$1:$G$49,MATCH(orders!$D353,products!$A$1:$A$49,0),MATCH(orders!K$1,products!$A$1:$G$1,0))</f>
        <v/>
      </c>
      <c r="L353" s="5">
        <f>INDEX(products!$A$1:$G$49,MATCH(orders!$D353,products!$A$1:$A$49,0),MATCH(orders!L$1,products!$A$1:$G$1,0))</f>
        <v/>
      </c>
      <c r="M353" s="5">
        <f>L353*E353</f>
        <v/>
      </c>
      <c r="N353">
        <f>IF(I353="Rob","Robusta",IF(I353="Exc","Excelsa",IF(I353="Ara","Arabica",IF(I353="Lib","Liberica",""))))</f>
        <v/>
      </c>
      <c r="O353">
        <f>IF(J353="M","Medium",IF(J353="L","Light",IF(J353="D","Dark","")))</f>
        <v/>
      </c>
      <c r="P353">
        <f>_xlfn.XLOOKUP(Orders[[#This Row],[Customer ID]],customers!$A$1:$A$1001,customers!$I$1:$I$1001,,0)</f>
        <v/>
      </c>
    </row>
    <row r="354">
      <c r="A354" s="2" t="inlineStr">
        <is>
          <t>O3666</t>
        </is>
      </c>
      <c r="B354" s="3" t="inlineStr">
        <is>
          <t>2023-06-07</t>
        </is>
      </c>
      <c r="C354" s="2" t="inlineStr">
        <is>
          <t>O6786</t>
        </is>
      </c>
      <c r="D354" t="inlineStr">
        <is>
          <t>O6122</t>
        </is>
      </c>
      <c r="E354" s="2" t="n">
        <v>311</v>
      </c>
      <c r="F354" s="2">
        <f>_xlfn.XLOOKUP(C354,customers!$A$1:$A$1001,customers!$B$1:$B$1001,,0)</f>
        <v/>
      </c>
      <c r="G354" s="2">
        <f>IF(_xlfn.XLOOKUP(C354,customers!$A$1:$A$1001,customers!$C$1:$C$1001,,0)=0,"",_xlfn.XLOOKUP(C354,customers!$A$1:$A$1001,customers!$C$1:$C$1001,,0))</f>
        <v/>
      </c>
      <c r="H354" s="2">
        <f>_xlfn.XLOOKUP(C354,customers!$A$1:$A$1001,customers!$G$1:$G$1001,,0)</f>
        <v/>
      </c>
      <c r="I354">
        <f>INDEX(products!$A$1:$G$49,MATCH(orders!$D354,products!$A$1:$A$49,0),MATCH(orders!I$1,products!$A$1:$G$1,0))</f>
        <v/>
      </c>
      <c r="J354">
        <f>INDEX(products!$A$1:$G$49,MATCH(orders!$D354,products!$A$1:$A$49,0),MATCH(orders!J$1,products!$A$1:$G$1,0))</f>
        <v/>
      </c>
      <c r="K354" s="4">
        <f>INDEX(products!$A$1:$G$49,MATCH(orders!$D354,products!$A$1:$A$49,0),MATCH(orders!K$1,products!$A$1:$G$1,0))</f>
        <v/>
      </c>
      <c r="L354" s="5">
        <f>INDEX(products!$A$1:$G$49,MATCH(orders!$D354,products!$A$1:$A$49,0),MATCH(orders!L$1,products!$A$1:$G$1,0))</f>
        <v/>
      </c>
      <c r="M354" s="5">
        <f>L354*E354</f>
        <v/>
      </c>
      <c r="N354">
        <f>IF(I354="Rob","Robusta",IF(I354="Exc","Excelsa",IF(I354="Ara","Arabica",IF(I354="Lib","Liberica",""))))</f>
        <v/>
      </c>
      <c r="O354">
        <f>IF(J354="M","Medium",IF(J354="L","Light",IF(J354="D","Dark","")))</f>
        <v/>
      </c>
      <c r="P354">
        <f>_xlfn.XLOOKUP(Orders[[#This Row],[Customer ID]],customers!$A$1:$A$1001,customers!$I$1:$I$1001,,0)</f>
        <v/>
      </c>
    </row>
    <row r="355">
      <c r="A355" s="2" t="inlineStr">
        <is>
          <t>O9567</t>
        </is>
      </c>
      <c r="B355" s="3" t="inlineStr">
        <is>
          <t>2020-05-21</t>
        </is>
      </c>
      <c r="C355" s="2" t="inlineStr">
        <is>
          <t>O7672</t>
        </is>
      </c>
      <c r="D355" t="inlineStr">
        <is>
          <t>O7703</t>
        </is>
      </c>
      <c r="E355" s="2" t="n">
        <v>199</v>
      </c>
      <c r="F355" s="2">
        <f>_xlfn.XLOOKUP(C355,customers!$A$1:$A$1001,customers!$B$1:$B$1001,,0)</f>
        <v/>
      </c>
      <c r="G355" s="2">
        <f>IF(_xlfn.XLOOKUP(C355,customers!$A$1:$A$1001,customers!$C$1:$C$1001,,0)=0,"",_xlfn.XLOOKUP(C355,customers!$A$1:$A$1001,customers!$C$1:$C$1001,,0))</f>
        <v/>
      </c>
      <c r="H355" s="2">
        <f>_xlfn.XLOOKUP(C355,customers!$A$1:$A$1001,customers!$G$1:$G$1001,,0)</f>
        <v/>
      </c>
      <c r="I355">
        <f>INDEX(products!$A$1:$G$49,MATCH(orders!$D355,products!$A$1:$A$49,0),MATCH(orders!I$1,products!$A$1:$G$1,0))</f>
        <v/>
      </c>
      <c r="J355">
        <f>INDEX(products!$A$1:$G$49,MATCH(orders!$D355,products!$A$1:$A$49,0),MATCH(orders!J$1,products!$A$1:$G$1,0))</f>
        <v/>
      </c>
      <c r="K355" s="4">
        <f>INDEX(products!$A$1:$G$49,MATCH(orders!$D355,products!$A$1:$A$49,0),MATCH(orders!K$1,products!$A$1:$G$1,0))</f>
        <v/>
      </c>
      <c r="L355" s="5">
        <f>INDEX(products!$A$1:$G$49,MATCH(orders!$D355,products!$A$1:$A$49,0),MATCH(orders!L$1,products!$A$1:$G$1,0))</f>
        <v/>
      </c>
      <c r="M355" s="5">
        <f>L355*E355</f>
        <v/>
      </c>
      <c r="N355">
        <f>IF(I355="Rob","Robusta",IF(I355="Exc","Excelsa",IF(I355="Ara","Arabica",IF(I355="Lib","Liberica",""))))</f>
        <v/>
      </c>
      <c r="O355">
        <f>IF(J355="M","Medium",IF(J355="L","Light",IF(J355="D","Dark","")))</f>
        <v/>
      </c>
      <c r="P355">
        <f>_xlfn.XLOOKUP(Orders[[#This Row],[Customer ID]],customers!$A$1:$A$1001,customers!$I$1:$I$1001,,0)</f>
        <v/>
      </c>
    </row>
    <row r="356">
      <c r="A356" s="2" t="inlineStr">
        <is>
          <t>O4395</t>
        </is>
      </c>
      <c r="B356" s="3" t="inlineStr">
        <is>
          <t>2020-11-11</t>
        </is>
      </c>
      <c r="C356" s="2" t="inlineStr">
        <is>
          <t>O5694</t>
        </is>
      </c>
      <c r="D356" t="inlineStr">
        <is>
          <t>O1982</t>
        </is>
      </c>
      <c r="E356" s="2" t="n">
        <v>394</v>
      </c>
      <c r="F356" s="2">
        <f>_xlfn.XLOOKUP(C356,customers!$A$1:$A$1001,customers!$B$1:$B$1001,,0)</f>
        <v/>
      </c>
      <c r="G356" s="2">
        <f>IF(_xlfn.XLOOKUP(C356,customers!$A$1:$A$1001,customers!$C$1:$C$1001,,0)=0,"",_xlfn.XLOOKUP(C356,customers!$A$1:$A$1001,customers!$C$1:$C$1001,,0))</f>
        <v/>
      </c>
      <c r="H356" s="2">
        <f>_xlfn.XLOOKUP(C356,customers!$A$1:$A$1001,customers!$G$1:$G$1001,,0)</f>
        <v/>
      </c>
      <c r="I356">
        <f>INDEX(products!$A$1:$G$49,MATCH(orders!$D356,products!$A$1:$A$49,0),MATCH(orders!I$1,products!$A$1:$G$1,0))</f>
        <v/>
      </c>
      <c r="J356">
        <f>INDEX(products!$A$1:$G$49,MATCH(orders!$D356,products!$A$1:$A$49,0),MATCH(orders!J$1,products!$A$1:$G$1,0))</f>
        <v/>
      </c>
      <c r="K356" s="4">
        <f>INDEX(products!$A$1:$G$49,MATCH(orders!$D356,products!$A$1:$A$49,0),MATCH(orders!K$1,products!$A$1:$G$1,0))</f>
        <v/>
      </c>
      <c r="L356" s="5">
        <f>INDEX(products!$A$1:$G$49,MATCH(orders!$D356,products!$A$1:$A$49,0),MATCH(orders!L$1,products!$A$1:$G$1,0))</f>
        <v/>
      </c>
      <c r="M356" s="5">
        <f>L356*E356</f>
        <v/>
      </c>
      <c r="N356">
        <f>IF(I356="Rob","Robusta",IF(I356="Exc","Excelsa",IF(I356="Ara","Arabica",IF(I356="Lib","Liberica",""))))</f>
        <v/>
      </c>
      <c r="O356">
        <f>IF(J356="M","Medium",IF(J356="L","Light",IF(J356="D","Dark","")))</f>
        <v/>
      </c>
      <c r="P356">
        <f>_xlfn.XLOOKUP(Orders[[#This Row],[Customer ID]],customers!$A$1:$A$1001,customers!$I$1:$I$1001,,0)</f>
        <v/>
      </c>
    </row>
    <row r="357">
      <c r="A357" s="2" t="inlineStr">
        <is>
          <t>O3978</t>
        </is>
      </c>
      <c r="B357" s="3" t="inlineStr">
        <is>
          <t>2025-02-16</t>
        </is>
      </c>
      <c r="C357" s="2" t="inlineStr">
        <is>
          <t>O6380</t>
        </is>
      </c>
      <c r="D357" t="inlineStr">
        <is>
          <t>O8780</t>
        </is>
      </c>
      <c r="E357" s="2" t="n">
        <v>100</v>
      </c>
      <c r="F357" s="2">
        <f>_xlfn.XLOOKUP(C357,customers!$A$1:$A$1001,customers!$B$1:$B$1001,,0)</f>
        <v/>
      </c>
      <c r="G357" s="2">
        <f>IF(_xlfn.XLOOKUP(C357,customers!$A$1:$A$1001,customers!$C$1:$C$1001,,0)=0,"",_xlfn.XLOOKUP(C357,customers!$A$1:$A$1001,customers!$C$1:$C$1001,,0))</f>
        <v/>
      </c>
      <c r="H357" s="2">
        <f>_xlfn.XLOOKUP(C357,customers!$A$1:$A$1001,customers!$G$1:$G$1001,,0)</f>
        <v/>
      </c>
      <c r="I357">
        <f>INDEX(products!$A$1:$G$49,MATCH(orders!$D357,products!$A$1:$A$49,0),MATCH(orders!I$1,products!$A$1:$G$1,0))</f>
        <v/>
      </c>
      <c r="J357">
        <f>INDEX(products!$A$1:$G$49,MATCH(orders!$D357,products!$A$1:$A$49,0),MATCH(orders!J$1,products!$A$1:$G$1,0))</f>
        <v/>
      </c>
      <c r="K357" s="4">
        <f>INDEX(products!$A$1:$G$49,MATCH(orders!$D357,products!$A$1:$A$49,0),MATCH(orders!K$1,products!$A$1:$G$1,0))</f>
        <v/>
      </c>
      <c r="L357" s="5">
        <f>INDEX(products!$A$1:$G$49,MATCH(orders!$D357,products!$A$1:$A$49,0),MATCH(orders!L$1,products!$A$1:$G$1,0))</f>
        <v/>
      </c>
      <c r="M357" s="5">
        <f>L357*E357</f>
        <v/>
      </c>
      <c r="N357">
        <f>IF(I357="Rob","Robusta",IF(I357="Exc","Excelsa",IF(I357="Ara","Arabica",IF(I357="Lib","Liberica",""))))</f>
        <v/>
      </c>
      <c r="O357">
        <f>IF(J357="M","Medium",IF(J357="L","Light",IF(J357="D","Dark","")))</f>
        <v/>
      </c>
      <c r="P357">
        <f>_xlfn.XLOOKUP(Orders[[#This Row],[Customer ID]],customers!$A$1:$A$1001,customers!$I$1:$I$1001,,0)</f>
        <v/>
      </c>
    </row>
    <row r="358">
      <c r="A358" s="2" t="inlineStr">
        <is>
          <t>O5487</t>
        </is>
      </c>
      <c r="B358" s="3" t="inlineStr">
        <is>
          <t>2021-07-10</t>
        </is>
      </c>
      <c r="C358" s="2" t="inlineStr">
        <is>
          <t>O2040</t>
        </is>
      </c>
      <c r="D358" t="inlineStr">
        <is>
          <t>O9009</t>
        </is>
      </c>
      <c r="E358" s="2" t="n">
        <v>387</v>
      </c>
      <c r="F358" s="2">
        <f>_xlfn.XLOOKUP(C358,customers!$A$1:$A$1001,customers!$B$1:$B$1001,,0)</f>
        <v/>
      </c>
      <c r="G358" s="2">
        <f>IF(_xlfn.XLOOKUP(C358,customers!$A$1:$A$1001,customers!$C$1:$C$1001,,0)=0,"",_xlfn.XLOOKUP(C358,customers!$A$1:$A$1001,customers!$C$1:$C$1001,,0))</f>
        <v/>
      </c>
      <c r="H358" s="2">
        <f>_xlfn.XLOOKUP(C358,customers!$A$1:$A$1001,customers!$G$1:$G$1001,,0)</f>
        <v/>
      </c>
      <c r="I358">
        <f>INDEX(products!$A$1:$G$49,MATCH(orders!$D358,products!$A$1:$A$49,0),MATCH(orders!I$1,products!$A$1:$G$1,0))</f>
        <v/>
      </c>
      <c r="J358">
        <f>INDEX(products!$A$1:$G$49,MATCH(orders!$D358,products!$A$1:$A$49,0),MATCH(orders!J$1,products!$A$1:$G$1,0))</f>
        <v/>
      </c>
      <c r="K358" s="4">
        <f>INDEX(products!$A$1:$G$49,MATCH(orders!$D358,products!$A$1:$A$49,0),MATCH(orders!K$1,products!$A$1:$G$1,0))</f>
        <v/>
      </c>
      <c r="L358" s="5">
        <f>INDEX(products!$A$1:$G$49,MATCH(orders!$D358,products!$A$1:$A$49,0),MATCH(orders!L$1,products!$A$1:$G$1,0))</f>
        <v/>
      </c>
      <c r="M358" s="5">
        <f>L358*E358</f>
        <v/>
      </c>
      <c r="N358">
        <f>IF(I358="Rob","Robusta",IF(I358="Exc","Excelsa",IF(I358="Ara","Arabica",IF(I358="Lib","Liberica",""))))</f>
        <v/>
      </c>
      <c r="O358">
        <f>IF(J358="M","Medium",IF(J358="L","Light",IF(J358="D","Dark","")))</f>
        <v/>
      </c>
      <c r="P358">
        <f>_xlfn.XLOOKUP(Orders[[#This Row],[Customer ID]],customers!$A$1:$A$1001,customers!$I$1:$I$1001,,0)</f>
        <v/>
      </c>
    </row>
    <row r="359">
      <c r="A359" s="2" t="inlineStr">
        <is>
          <t>O5747</t>
        </is>
      </c>
      <c r="B359" s="3" t="inlineStr">
        <is>
          <t>2025-05-14</t>
        </is>
      </c>
      <c r="C359" s="2" t="inlineStr">
        <is>
          <t>O3021</t>
        </is>
      </c>
      <c r="D359" t="inlineStr">
        <is>
          <t>O7374</t>
        </is>
      </c>
      <c r="E359" s="2" t="n">
        <v>395</v>
      </c>
      <c r="F359" s="2">
        <f>_xlfn.XLOOKUP(C359,customers!$A$1:$A$1001,customers!$B$1:$B$1001,,0)</f>
        <v/>
      </c>
      <c r="G359" s="2">
        <f>IF(_xlfn.XLOOKUP(C359,customers!$A$1:$A$1001,customers!$C$1:$C$1001,,0)=0,"",_xlfn.XLOOKUP(C359,customers!$A$1:$A$1001,customers!$C$1:$C$1001,,0))</f>
        <v/>
      </c>
      <c r="H359" s="2">
        <f>_xlfn.XLOOKUP(C359,customers!$A$1:$A$1001,customers!$G$1:$G$1001,,0)</f>
        <v/>
      </c>
      <c r="I359">
        <f>INDEX(products!$A$1:$G$49,MATCH(orders!$D359,products!$A$1:$A$49,0),MATCH(orders!I$1,products!$A$1:$G$1,0))</f>
        <v/>
      </c>
      <c r="J359">
        <f>INDEX(products!$A$1:$G$49,MATCH(orders!$D359,products!$A$1:$A$49,0),MATCH(orders!J$1,products!$A$1:$G$1,0))</f>
        <v/>
      </c>
      <c r="K359" s="4">
        <f>INDEX(products!$A$1:$G$49,MATCH(orders!$D359,products!$A$1:$A$49,0),MATCH(orders!K$1,products!$A$1:$G$1,0))</f>
        <v/>
      </c>
      <c r="L359" s="5">
        <f>INDEX(products!$A$1:$G$49,MATCH(orders!$D359,products!$A$1:$A$49,0),MATCH(orders!L$1,products!$A$1:$G$1,0))</f>
        <v/>
      </c>
      <c r="M359" s="5">
        <f>L359*E359</f>
        <v/>
      </c>
      <c r="N359">
        <f>IF(I359="Rob","Robusta",IF(I359="Exc","Excelsa",IF(I359="Ara","Arabica",IF(I359="Lib","Liberica",""))))</f>
        <v/>
      </c>
      <c r="O359">
        <f>IF(J359="M","Medium",IF(J359="L","Light",IF(J359="D","Dark","")))</f>
        <v/>
      </c>
      <c r="P359">
        <f>_xlfn.XLOOKUP(Orders[[#This Row],[Customer ID]],customers!$A$1:$A$1001,customers!$I$1:$I$1001,,0)</f>
        <v/>
      </c>
    </row>
    <row r="360">
      <c r="A360" s="2" t="inlineStr">
        <is>
          <t>O5825</t>
        </is>
      </c>
      <c r="B360" s="3" t="inlineStr">
        <is>
          <t>2025-07-20</t>
        </is>
      </c>
      <c r="C360" s="2" t="inlineStr">
        <is>
          <t>O4308</t>
        </is>
      </c>
      <c r="D360" t="inlineStr">
        <is>
          <t>O7989</t>
        </is>
      </c>
      <c r="E360" s="2" t="n">
        <v>256</v>
      </c>
      <c r="F360" s="2">
        <f>_xlfn.XLOOKUP(C360,customers!$A$1:$A$1001,customers!$B$1:$B$1001,,0)</f>
        <v/>
      </c>
      <c r="G360" s="2">
        <f>IF(_xlfn.XLOOKUP(C360,customers!$A$1:$A$1001,customers!$C$1:$C$1001,,0)=0,"",_xlfn.XLOOKUP(C360,customers!$A$1:$A$1001,customers!$C$1:$C$1001,,0))</f>
        <v/>
      </c>
      <c r="H360" s="2">
        <f>_xlfn.XLOOKUP(C360,customers!$A$1:$A$1001,customers!$G$1:$G$1001,,0)</f>
        <v/>
      </c>
      <c r="I360">
        <f>INDEX(products!$A$1:$G$49,MATCH(orders!$D360,products!$A$1:$A$49,0),MATCH(orders!I$1,products!$A$1:$G$1,0))</f>
        <v/>
      </c>
      <c r="J360">
        <f>INDEX(products!$A$1:$G$49,MATCH(orders!$D360,products!$A$1:$A$49,0),MATCH(orders!J$1,products!$A$1:$G$1,0))</f>
        <v/>
      </c>
      <c r="K360" s="4">
        <f>INDEX(products!$A$1:$G$49,MATCH(orders!$D360,products!$A$1:$A$49,0),MATCH(orders!K$1,products!$A$1:$G$1,0))</f>
        <v/>
      </c>
      <c r="L360" s="5">
        <f>INDEX(products!$A$1:$G$49,MATCH(orders!$D360,products!$A$1:$A$49,0),MATCH(orders!L$1,products!$A$1:$G$1,0))</f>
        <v/>
      </c>
      <c r="M360" s="5">
        <f>L360*E360</f>
        <v/>
      </c>
      <c r="N360">
        <f>IF(I360="Rob","Robusta",IF(I360="Exc","Excelsa",IF(I360="Ara","Arabica",IF(I360="Lib","Liberica",""))))</f>
        <v/>
      </c>
      <c r="O360">
        <f>IF(J360="M","Medium",IF(J360="L","Light",IF(J360="D","Dark","")))</f>
        <v/>
      </c>
      <c r="P360">
        <f>_xlfn.XLOOKUP(Orders[[#This Row],[Customer ID]],customers!$A$1:$A$1001,customers!$I$1:$I$1001,,0)</f>
        <v/>
      </c>
    </row>
    <row r="361">
      <c r="A361" s="2" t="inlineStr">
        <is>
          <t>O5825</t>
        </is>
      </c>
      <c r="B361" s="3" t="inlineStr">
        <is>
          <t>2024-07-25</t>
        </is>
      </c>
      <c r="C361" s="2" t="inlineStr">
        <is>
          <t>O5241</t>
        </is>
      </c>
      <c r="D361" t="inlineStr">
        <is>
          <t>O6559</t>
        </is>
      </c>
      <c r="E361" s="2" t="n">
        <v>412</v>
      </c>
      <c r="F361" s="2">
        <f>_xlfn.XLOOKUP(C361,customers!$A$1:$A$1001,customers!$B$1:$B$1001,,0)</f>
        <v/>
      </c>
      <c r="G361" s="2">
        <f>IF(_xlfn.XLOOKUP(C361,customers!$A$1:$A$1001,customers!$C$1:$C$1001,,0)=0,"",_xlfn.XLOOKUP(C361,customers!$A$1:$A$1001,customers!$C$1:$C$1001,,0))</f>
        <v/>
      </c>
      <c r="H361" s="2">
        <f>_xlfn.XLOOKUP(C361,customers!$A$1:$A$1001,customers!$G$1:$G$1001,,0)</f>
        <v/>
      </c>
      <c r="I361">
        <f>INDEX(products!$A$1:$G$49,MATCH(orders!$D361,products!$A$1:$A$49,0),MATCH(orders!I$1,products!$A$1:$G$1,0))</f>
        <v/>
      </c>
      <c r="J361">
        <f>INDEX(products!$A$1:$G$49,MATCH(orders!$D361,products!$A$1:$A$49,0),MATCH(orders!J$1,products!$A$1:$G$1,0))</f>
        <v/>
      </c>
      <c r="K361" s="4">
        <f>INDEX(products!$A$1:$G$49,MATCH(orders!$D361,products!$A$1:$A$49,0),MATCH(orders!K$1,products!$A$1:$G$1,0))</f>
        <v/>
      </c>
      <c r="L361" s="5">
        <f>INDEX(products!$A$1:$G$49,MATCH(orders!$D361,products!$A$1:$A$49,0),MATCH(orders!L$1,products!$A$1:$G$1,0))</f>
        <v/>
      </c>
      <c r="M361" s="5">
        <f>L361*E361</f>
        <v/>
      </c>
      <c r="N361">
        <f>IF(I361="Rob","Robusta",IF(I361="Exc","Excelsa",IF(I361="Ara","Arabica",IF(I361="Lib","Liberica",""))))</f>
        <v/>
      </c>
      <c r="O361">
        <f>IF(J361="M","Medium",IF(J361="L","Light",IF(J361="D","Dark","")))</f>
        <v/>
      </c>
      <c r="P361">
        <f>_xlfn.XLOOKUP(Orders[[#This Row],[Customer ID]],customers!$A$1:$A$1001,customers!$I$1:$I$1001,,0)</f>
        <v/>
      </c>
    </row>
    <row r="362">
      <c r="A362" s="2" t="inlineStr">
        <is>
          <t>O8113</t>
        </is>
      </c>
      <c r="B362" s="3" t="inlineStr">
        <is>
          <t>2022-04-20</t>
        </is>
      </c>
      <c r="C362" s="2" t="inlineStr">
        <is>
          <t>O4956</t>
        </is>
      </c>
      <c r="D362" t="inlineStr">
        <is>
          <t>O7399</t>
        </is>
      </c>
      <c r="E362" s="2" t="n">
        <v>329</v>
      </c>
      <c r="F362" s="2">
        <f>_xlfn.XLOOKUP(C362,customers!$A$1:$A$1001,customers!$B$1:$B$1001,,0)</f>
        <v/>
      </c>
      <c r="G362" s="2">
        <f>IF(_xlfn.XLOOKUP(C362,customers!$A$1:$A$1001,customers!$C$1:$C$1001,,0)=0,"",_xlfn.XLOOKUP(C362,customers!$A$1:$A$1001,customers!$C$1:$C$1001,,0))</f>
        <v/>
      </c>
      <c r="H362" s="2">
        <f>_xlfn.XLOOKUP(C362,customers!$A$1:$A$1001,customers!$G$1:$G$1001,,0)</f>
        <v/>
      </c>
      <c r="I362">
        <f>INDEX(products!$A$1:$G$49,MATCH(orders!$D362,products!$A$1:$A$49,0),MATCH(orders!I$1,products!$A$1:$G$1,0))</f>
        <v/>
      </c>
      <c r="J362">
        <f>INDEX(products!$A$1:$G$49,MATCH(orders!$D362,products!$A$1:$A$49,0),MATCH(orders!J$1,products!$A$1:$G$1,0))</f>
        <v/>
      </c>
      <c r="K362" s="4">
        <f>INDEX(products!$A$1:$G$49,MATCH(orders!$D362,products!$A$1:$A$49,0),MATCH(orders!K$1,products!$A$1:$G$1,0))</f>
        <v/>
      </c>
      <c r="L362" s="5">
        <f>INDEX(products!$A$1:$G$49,MATCH(orders!$D362,products!$A$1:$A$49,0),MATCH(orders!L$1,products!$A$1:$G$1,0))</f>
        <v/>
      </c>
      <c r="M362" s="5">
        <f>L362*E362</f>
        <v/>
      </c>
      <c r="N362">
        <f>IF(I362="Rob","Robusta",IF(I362="Exc","Excelsa",IF(I362="Ara","Arabica",IF(I362="Lib","Liberica",""))))</f>
        <v/>
      </c>
      <c r="O362">
        <f>IF(J362="M","Medium",IF(J362="L","Light",IF(J362="D","Dark","")))</f>
        <v/>
      </c>
      <c r="P362">
        <f>_xlfn.XLOOKUP(Orders[[#This Row],[Customer ID]],customers!$A$1:$A$1001,customers!$I$1:$I$1001,,0)</f>
        <v/>
      </c>
    </row>
    <row r="363">
      <c r="A363" s="2" t="inlineStr">
        <is>
          <t>O2569</t>
        </is>
      </c>
      <c r="B363" s="3" t="inlineStr">
        <is>
          <t>2020-05-12</t>
        </is>
      </c>
      <c r="C363" s="2" t="inlineStr">
        <is>
          <t>O9430</t>
        </is>
      </c>
      <c r="D363" t="inlineStr">
        <is>
          <t>O2976</t>
        </is>
      </c>
      <c r="E363" s="2" t="n">
        <v>302</v>
      </c>
      <c r="F363" s="2">
        <f>_xlfn.XLOOKUP(C363,customers!$A$1:$A$1001,customers!$B$1:$B$1001,,0)</f>
        <v/>
      </c>
      <c r="G363" s="2">
        <f>IF(_xlfn.XLOOKUP(C363,customers!$A$1:$A$1001,customers!$C$1:$C$1001,,0)=0,"",_xlfn.XLOOKUP(C363,customers!$A$1:$A$1001,customers!$C$1:$C$1001,,0))</f>
        <v/>
      </c>
      <c r="H363" s="2">
        <f>_xlfn.XLOOKUP(C363,customers!$A$1:$A$1001,customers!$G$1:$G$1001,,0)</f>
        <v/>
      </c>
      <c r="I363">
        <f>INDEX(products!$A$1:$G$49,MATCH(orders!$D363,products!$A$1:$A$49,0),MATCH(orders!I$1,products!$A$1:$G$1,0))</f>
        <v/>
      </c>
      <c r="J363">
        <f>INDEX(products!$A$1:$G$49,MATCH(orders!$D363,products!$A$1:$A$49,0),MATCH(orders!J$1,products!$A$1:$G$1,0))</f>
        <v/>
      </c>
      <c r="K363" s="4">
        <f>INDEX(products!$A$1:$G$49,MATCH(orders!$D363,products!$A$1:$A$49,0),MATCH(orders!K$1,products!$A$1:$G$1,0))</f>
        <v/>
      </c>
      <c r="L363" s="5">
        <f>INDEX(products!$A$1:$G$49,MATCH(orders!$D363,products!$A$1:$A$49,0),MATCH(orders!L$1,products!$A$1:$G$1,0))</f>
        <v/>
      </c>
      <c r="M363" s="5">
        <f>L363*E363</f>
        <v/>
      </c>
      <c r="N363">
        <f>IF(I363="Rob","Robusta",IF(I363="Exc","Excelsa",IF(I363="Ara","Arabica",IF(I363="Lib","Liberica",""))))</f>
        <v/>
      </c>
      <c r="O363">
        <f>IF(J363="M","Medium",IF(J363="L","Light",IF(J363="D","Dark","")))</f>
        <v/>
      </c>
      <c r="P363">
        <f>_xlfn.XLOOKUP(Orders[[#This Row],[Customer ID]],customers!$A$1:$A$1001,customers!$I$1:$I$1001,,0)</f>
        <v/>
      </c>
    </row>
    <row r="364">
      <c r="A364" s="2" t="inlineStr">
        <is>
          <t>O4640</t>
        </is>
      </c>
      <c r="B364" s="3" t="inlineStr">
        <is>
          <t>2023-07-15</t>
        </is>
      </c>
      <c r="C364" s="2" t="inlineStr">
        <is>
          <t>O5478</t>
        </is>
      </c>
      <c r="D364" t="inlineStr">
        <is>
          <t>O3081</t>
        </is>
      </c>
      <c r="E364" s="2" t="n">
        <v>342</v>
      </c>
      <c r="F364" s="2">
        <f>_xlfn.XLOOKUP(C364,customers!$A$1:$A$1001,customers!$B$1:$B$1001,,0)</f>
        <v/>
      </c>
      <c r="G364" s="2">
        <f>IF(_xlfn.XLOOKUP(C364,customers!$A$1:$A$1001,customers!$C$1:$C$1001,,0)=0,"",_xlfn.XLOOKUP(C364,customers!$A$1:$A$1001,customers!$C$1:$C$1001,,0))</f>
        <v/>
      </c>
      <c r="H364" s="2">
        <f>_xlfn.XLOOKUP(C364,customers!$A$1:$A$1001,customers!$G$1:$G$1001,,0)</f>
        <v/>
      </c>
      <c r="I364">
        <f>INDEX(products!$A$1:$G$49,MATCH(orders!$D364,products!$A$1:$A$49,0),MATCH(orders!I$1,products!$A$1:$G$1,0))</f>
        <v/>
      </c>
      <c r="J364">
        <f>INDEX(products!$A$1:$G$49,MATCH(orders!$D364,products!$A$1:$A$49,0),MATCH(orders!J$1,products!$A$1:$G$1,0))</f>
        <v/>
      </c>
      <c r="K364" s="4">
        <f>INDEX(products!$A$1:$G$49,MATCH(orders!$D364,products!$A$1:$A$49,0),MATCH(orders!K$1,products!$A$1:$G$1,0))</f>
        <v/>
      </c>
      <c r="L364" s="5">
        <f>INDEX(products!$A$1:$G$49,MATCH(orders!$D364,products!$A$1:$A$49,0),MATCH(orders!L$1,products!$A$1:$G$1,0))</f>
        <v/>
      </c>
      <c r="M364" s="5">
        <f>L364*E364</f>
        <v/>
      </c>
      <c r="N364">
        <f>IF(I364="Rob","Robusta",IF(I364="Exc","Excelsa",IF(I364="Ara","Arabica",IF(I364="Lib","Liberica",""))))</f>
        <v/>
      </c>
      <c r="O364">
        <f>IF(J364="M","Medium",IF(J364="L","Light",IF(J364="D","Dark","")))</f>
        <v/>
      </c>
      <c r="P364">
        <f>_xlfn.XLOOKUP(Orders[[#This Row],[Customer ID]],customers!$A$1:$A$1001,customers!$I$1:$I$1001,,0)</f>
        <v/>
      </c>
    </row>
    <row r="365">
      <c r="A365" s="2" t="inlineStr">
        <is>
          <t>O3640</t>
        </is>
      </c>
      <c r="B365" s="3" t="inlineStr">
        <is>
          <t>2020-07-18</t>
        </is>
      </c>
      <c r="C365" s="2" t="inlineStr">
        <is>
          <t>O5821</t>
        </is>
      </c>
      <c r="D365" t="inlineStr">
        <is>
          <t>O8445</t>
        </is>
      </c>
      <c r="E365" s="2" t="n">
        <v>323</v>
      </c>
      <c r="F365" s="2">
        <f>_xlfn.XLOOKUP(C365,customers!$A$1:$A$1001,customers!$B$1:$B$1001,,0)</f>
        <v/>
      </c>
      <c r="G365" s="2">
        <f>IF(_xlfn.XLOOKUP(C365,customers!$A$1:$A$1001,customers!$C$1:$C$1001,,0)=0,"",_xlfn.XLOOKUP(C365,customers!$A$1:$A$1001,customers!$C$1:$C$1001,,0))</f>
        <v/>
      </c>
      <c r="H365" s="2">
        <f>_xlfn.XLOOKUP(C365,customers!$A$1:$A$1001,customers!$G$1:$G$1001,,0)</f>
        <v/>
      </c>
      <c r="I365">
        <f>INDEX(products!$A$1:$G$49,MATCH(orders!$D365,products!$A$1:$A$49,0),MATCH(orders!I$1,products!$A$1:$G$1,0))</f>
        <v/>
      </c>
      <c r="J365">
        <f>INDEX(products!$A$1:$G$49,MATCH(orders!$D365,products!$A$1:$A$49,0),MATCH(orders!J$1,products!$A$1:$G$1,0))</f>
        <v/>
      </c>
      <c r="K365" s="4">
        <f>INDEX(products!$A$1:$G$49,MATCH(orders!$D365,products!$A$1:$A$49,0),MATCH(orders!K$1,products!$A$1:$G$1,0))</f>
        <v/>
      </c>
      <c r="L365" s="5">
        <f>INDEX(products!$A$1:$G$49,MATCH(orders!$D365,products!$A$1:$A$49,0),MATCH(orders!L$1,products!$A$1:$G$1,0))</f>
        <v/>
      </c>
      <c r="M365" s="5">
        <f>L365*E365</f>
        <v/>
      </c>
      <c r="N365">
        <f>IF(I365="Rob","Robusta",IF(I365="Exc","Excelsa",IF(I365="Ara","Arabica",IF(I365="Lib","Liberica",""))))</f>
        <v/>
      </c>
      <c r="O365">
        <f>IF(J365="M","Medium",IF(J365="L","Light",IF(J365="D","Dark","")))</f>
        <v/>
      </c>
      <c r="P365">
        <f>_xlfn.XLOOKUP(Orders[[#This Row],[Customer ID]],customers!$A$1:$A$1001,customers!$I$1:$I$1001,,0)</f>
        <v/>
      </c>
    </row>
    <row r="366">
      <c r="A366" s="2" t="inlineStr">
        <is>
          <t>O7348</t>
        </is>
      </c>
      <c r="B366" s="3" t="inlineStr">
        <is>
          <t>2022-09-27</t>
        </is>
      </c>
      <c r="C366" s="2" t="inlineStr">
        <is>
          <t>O7694</t>
        </is>
      </c>
      <c r="D366" t="inlineStr">
        <is>
          <t>O7353</t>
        </is>
      </c>
      <c r="E366" s="2" t="n">
        <v>335</v>
      </c>
      <c r="F366" s="2">
        <f>_xlfn.XLOOKUP(C366,customers!$A$1:$A$1001,customers!$B$1:$B$1001,,0)</f>
        <v/>
      </c>
      <c r="G366" s="2">
        <f>IF(_xlfn.XLOOKUP(C366,customers!$A$1:$A$1001,customers!$C$1:$C$1001,,0)=0,"",_xlfn.XLOOKUP(C366,customers!$A$1:$A$1001,customers!$C$1:$C$1001,,0))</f>
        <v/>
      </c>
      <c r="H366" s="2">
        <f>_xlfn.XLOOKUP(C366,customers!$A$1:$A$1001,customers!$G$1:$G$1001,,0)</f>
        <v/>
      </c>
      <c r="I366">
        <f>INDEX(products!$A$1:$G$49,MATCH(orders!$D366,products!$A$1:$A$49,0),MATCH(orders!I$1,products!$A$1:$G$1,0))</f>
        <v/>
      </c>
      <c r="J366">
        <f>INDEX(products!$A$1:$G$49,MATCH(orders!$D366,products!$A$1:$A$49,0),MATCH(orders!J$1,products!$A$1:$G$1,0))</f>
        <v/>
      </c>
      <c r="K366" s="4">
        <f>INDEX(products!$A$1:$G$49,MATCH(orders!$D366,products!$A$1:$A$49,0),MATCH(orders!K$1,products!$A$1:$G$1,0))</f>
        <v/>
      </c>
      <c r="L366" s="5">
        <f>INDEX(products!$A$1:$G$49,MATCH(orders!$D366,products!$A$1:$A$49,0),MATCH(orders!L$1,products!$A$1:$G$1,0))</f>
        <v/>
      </c>
      <c r="M366" s="5">
        <f>L366*E366</f>
        <v/>
      </c>
      <c r="N366">
        <f>IF(I366="Rob","Robusta",IF(I366="Exc","Excelsa",IF(I366="Ara","Arabica",IF(I366="Lib","Liberica",""))))</f>
        <v/>
      </c>
      <c r="O366">
        <f>IF(J366="M","Medium",IF(J366="L","Light",IF(J366="D","Dark","")))</f>
        <v/>
      </c>
      <c r="P366">
        <f>_xlfn.XLOOKUP(Orders[[#This Row],[Customer ID]],customers!$A$1:$A$1001,customers!$I$1:$I$1001,,0)</f>
        <v/>
      </c>
    </row>
    <row r="367">
      <c r="A367" s="2" t="inlineStr">
        <is>
          <t>O9580</t>
        </is>
      </c>
      <c r="B367" s="3" t="inlineStr">
        <is>
          <t>2022-08-31</t>
        </is>
      </c>
      <c r="C367" s="2" t="inlineStr">
        <is>
          <t>O9294</t>
        </is>
      </c>
      <c r="D367" t="inlineStr">
        <is>
          <t>O1899</t>
        </is>
      </c>
      <c r="E367" s="2" t="n">
        <v>310</v>
      </c>
      <c r="F367" s="2">
        <f>_xlfn.XLOOKUP(C367,customers!$A$1:$A$1001,customers!$B$1:$B$1001,,0)</f>
        <v/>
      </c>
      <c r="G367" s="2">
        <f>IF(_xlfn.XLOOKUP(C367,customers!$A$1:$A$1001,customers!$C$1:$C$1001,,0)=0,"",_xlfn.XLOOKUP(C367,customers!$A$1:$A$1001,customers!$C$1:$C$1001,,0))</f>
        <v/>
      </c>
      <c r="H367" s="2">
        <f>_xlfn.XLOOKUP(C367,customers!$A$1:$A$1001,customers!$G$1:$G$1001,,0)</f>
        <v/>
      </c>
      <c r="I367">
        <f>INDEX(products!$A$1:$G$49,MATCH(orders!$D367,products!$A$1:$A$49,0),MATCH(orders!I$1,products!$A$1:$G$1,0))</f>
        <v/>
      </c>
      <c r="J367">
        <f>INDEX(products!$A$1:$G$49,MATCH(orders!$D367,products!$A$1:$A$49,0),MATCH(orders!J$1,products!$A$1:$G$1,0))</f>
        <v/>
      </c>
      <c r="K367" s="4">
        <f>INDEX(products!$A$1:$G$49,MATCH(orders!$D367,products!$A$1:$A$49,0),MATCH(orders!K$1,products!$A$1:$G$1,0))</f>
        <v/>
      </c>
      <c r="L367" s="5">
        <f>INDEX(products!$A$1:$G$49,MATCH(orders!$D367,products!$A$1:$A$49,0),MATCH(orders!L$1,products!$A$1:$G$1,0))</f>
        <v/>
      </c>
      <c r="M367" s="5">
        <f>L367*E367</f>
        <v/>
      </c>
      <c r="N367">
        <f>IF(I367="Rob","Robusta",IF(I367="Exc","Excelsa",IF(I367="Ara","Arabica",IF(I367="Lib","Liberica",""))))</f>
        <v/>
      </c>
      <c r="O367">
        <f>IF(J367="M","Medium",IF(J367="L","Light",IF(J367="D","Dark","")))</f>
        <v/>
      </c>
      <c r="P367">
        <f>_xlfn.XLOOKUP(Orders[[#This Row],[Customer ID]],customers!$A$1:$A$1001,customers!$I$1:$I$1001,,0)</f>
        <v/>
      </c>
    </row>
    <row r="368">
      <c r="A368" s="2" t="inlineStr">
        <is>
          <t>O3778</t>
        </is>
      </c>
      <c r="B368" s="3" t="inlineStr">
        <is>
          <t>2022-09-25</t>
        </is>
      </c>
      <c r="C368" s="2" t="inlineStr">
        <is>
          <t>O1920</t>
        </is>
      </c>
      <c r="D368" t="inlineStr">
        <is>
          <t>O9972</t>
        </is>
      </c>
      <c r="E368" s="2" t="n">
        <v>193</v>
      </c>
      <c r="F368" s="2">
        <f>_xlfn.XLOOKUP(C368,customers!$A$1:$A$1001,customers!$B$1:$B$1001,,0)</f>
        <v/>
      </c>
      <c r="G368" s="2">
        <f>IF(_xlfn.XLOOKUP(C368,customers!$A$1:$A$1001,customers!$C$1:$C$1001,,0)=0,"",_xlfn.XLOOKUP(C368,customers!$A$1:$A$1001,customers!$C$1:$C$1001,,0))</f>
        <v/>
      </c>
      <c r="H368" s="2">
        <f>_xlfn.XLOOKUP(C368,customers!$A$1:$A$1001,customers!$G$1:$G$1001,,0)</f>
        <v/>
      </c>
      <c r="I368">
        <f>INDEX(products!$A$1:$G$49,MATCH(orders!$D368,products!$A$1:$A$49,0),MATCH(orders!I$1,products!$A$1:$G$1,0))</f>
        <v/>
      </c>
      <c r="J368">
        <f>INDEX(products!$A$1:$G$49,MATCH(orders!$D368,products!$A$1:$A$49,0),MATCH(orders!J$1,products!$A$1:$G$1,0))</f>
        <v/>
      </c>
      <c r="K368" s="4">
        <f>INDEX(products!$A$1:$G$49,MATCH(orders!$D368,products!$A$1:$A$49,0),MATCH(orders!K$1,products!$A$1:$G$1,0))</f>
        <v/>
      </c>
      <c r="L368" s="5">
        <f>INDEX(products!$A$1:$G$49,MATCH(orders!$D368,products!$A$1:$A$49,0),MATCH(orders!L$1,products!$A$1:$G$1,0))</f>
        <v/>
      </c>
      <c r="M368" s="5">
        <f>L368*E368</f>
        <v/>
      </c>
      <c r="N368">
        <f>IF(I368="Rob","Robusta",IF(I368="Exc","Excelsa",IF(I368="Ara","Arabica",IF(I368="Lib","Liberica",""))))</f>
        <v/>
      </c>
      <c r="O368">
        <f>IF(J368="M","Medium",IF(J368="L","Light",IF(J368="D","Dark","")))</f>
        <v/>
      </c>
      <c r="P368">
        <f>_xlfn.XLOOKUP(Orders[[#This Row],[Customer ID]],customers!$A$1:$A$1001,customers!$I$1:$I$1001,,0)</f>
        <v/>
      </c>
    </row>
    <row r="369">
      <c r="A369" s="2" t="inlineStr">
        <is>
          <t>O2445</t>
        </is>
      </c>
      <c r="B369" s="3" t="inlineStr">
        <is>
          <t>2023-03-03</t>
        </is>
      </c>
      <c r="C369" s="2" t="inlineStr">
        <is>
          <t>O8079</t>
        </is>
      </c>
      <c r="D369" t="inlineStr">
        <is>
          <t>O6661</t>
        </is>
      </c>
      <c r="E369" s="2" t="n">
        <v>385</v>
      </c>
      <c r="F369" s="2">
        <f>_xlfn.XLOOKUP(C369,customers!$A$1:$A$1001,customers!$B$1:$B$1001,,0)</f>
        <v/>
      </c>
      <c r="G369" s="2">
        <f>IF(_xlfn.XLOOKUP(C369,customers!$A$1:$A$1001,customers!$C$1:$C$1001,,0)=0,"",_xlfn.XLOOKUP(C369,customers!$A$1:$A$1001,customers!$C$1:$C$1001,,0))</f>
        <v/>
      </c>
      <c r="H369" s="2">
        <f>_xlfn.XLOOKUP(C369,customers!$A$1:$A$1001,customers!$G$1:$G$1001,,0)</f>
        <v/>
      </c>
      <c r="I369">
        <f>INDEX(products!$A$1:$G$49,MATCH(orders!$D369,products!$A$1:$A$49,0),MATCH(orders!I$1,products!$A$1:$G$1,0))</f>
        <v/>
      </c>
      <c r="J369">
        <f>INDEX(products!$A$1:$G$49,MATCH(orders!$D369,products!$A$1:$A$49,0),MATCH(orders!J$1,products!$A$1:$G$1,0))</f>
        <v/>
      </c>
      <c r="K369" s="4">
        <f>INDEX(products!$A$1:$G$49,MATCH(orders!$D369,products!$A$1:$A$49,0),MATCH(orders!K$1,products!$A$1:$G$1,0))</f>
        <v/>
      </c>
      <c r="L369" s="5">
        <f>INDEX(products!$A$1:$G$49,MATCH(orders!$D369,products!$A$1:$A$49,0),MATCH(orders!L$1,products!$A$1:$G$1,0))</f>
        <v/>
      </c>
      <c r="M369" s="5">
        <f>L369*E369</f>
        <v/>
      </c>
      <c r="N369">
        <f>IF(I369="Rob","Robusta",IF(I369="Exc","Excelsa",IF(I369="Ara","Arabica",IF(I369="Lib","Liberica",""))))</f>
        <v/>
      </c>
      <c r="O369">
        <f>IF(J369="M","Medium",IF(J369="L","Light",IF(J369="D","Dark","")))</f>
        <v/>
      </c>
      <c r="P369">
        <f>_xlfn.XLOOKUP(Orders[[#This Row],[Customer ID]],customers!$A$1:$A$1001,customers!$I$1:$I$1001,,0)</f>
        <v/>
      </c>
    </row>
    <row r="370">
      <c r="A370" s="2" t="inlineStr">
        <is>
          <t>O2410</t>
        </is>
      </c>
      <c r="B370" s="3" t="inlineStr">
        <is>
          <t>2021-04-23</t>
        </is>
      </c>
      <c r="C370" s="2" t="inlineStr">
        <is>
          <t>O9730</t>
        </is>
      </c>
      <c r="D370" t="inlineStr">
        <is>
          <t>O4871</t>
        </is>
      </c>
      <c r="E370" s="2" t="n">
        <v>208</v>
      </c>
      <c r="F370" s="2">
        <f>_xlfn.XLOOKUP(C370,customers!$A$1:$A$1001,customers!$B$1:$B$1001,,0)</f>
        <v/>
      </c>
      <c r="G370" s="2">
        <f>IF(_xlfn.XLOOKUP(C370,customers!$A$1:$A$1001,customers!$C$1:$C$1001,,0)=0,"",_xlfn.XLOOKUP(C370,customers!$A$1:$A$1001,customers!$C$1:$C$1001,,0))</f>
        <v/>
      </c>
      <c r="H370" s="2">
        <f>_xlfn.XLOOKUP(C370,customers!$A$1:$A$1001,customers!$G$1:$G$1001,,0)</f>
        <v/>
      </c>
      <c r="I370">
        <f>INDEX(products!$A$1:$G$49,MATCH(orders!$D370,products!$A$1:$A$49,0),MATCH(orders!I$1,products!$A$1:$G$1,0))</f>
        <v/>
      </c>
      <c r="J370">
        <f>INDEX(products!$A$1:$G$49,MATCH(orders!$D370,products!$A$1:$A$49,0),MATCH(orders!J$1,products!$A$1:$G$1,0))</f>
        <v/>
      </c>
      <c r="K370" s="4">
        <f>INDEX(products!$A$1:$G$49,MATCH(orders!$D370,products!$A$1:$A$49,0),MATCH(orders!K$1,products!$A$1:$G$1,0))</f>
        <v/>
      </c>
      <c r="L370" s="5">
        <f>INDEX(products!$A$1:$G$49,MATCH(orders!$D370,products!$A$1:$A$49,0),MATCH(orders!L$1,products!$A$1:$G$1,0))</f>
        <v/>
      </c>
      <c r="M370" s="5">
        <f>L370*E370</f>
        <v/>
      </c>
      <c r="N370">
        <f>IF(I370="Rob","Robusta",IF(I370="Exc","Excelsa",IF(I370="Ara","Arabica",IF(I370="Lib","Liberica",""))))</f>
        <v/>
      </c>
      <c r="O370">
        <f>IF(J370="M","Medium",IF(J370="L","Light",IF(J370="D","Dark","")))</f>
        <v/>
      </c>
      <c r="P370">
        <f>_xlfn.XLOOKUP(Orders[[#This Row],[Customer ID]],customers!$A$1:$A$1001,customers!$I$1:$I$1001,,0)</f>
        <v/>
      </c>
    </row>
    <row r="371">
      <c r="A371" s="2" t="inlineStr">
        <is>
          <t>O9147</t>
        </is>
      </c>
      <c r="B371" s="3" t="inlineStr">
        <is>
          <t>2021-04-04</t>
        </is>
      </c>
      <c r="C371" s="2" t="inlineStr">
        <is>
          <t>O8257</t>
        </is>
      </c>
      <c r="D371" t="inlineStr">
        <is>
          <t>O1258</t>
        </is>
      </c>
      <c r="E371" s="2" t="n">
        <v>465</v>
      </c>
      <c r="F371" s="2">
        <f>_xlfn.XLOOKUP(C371,customers!$A$1:$A$1001,customers!$B$1:$B$1001,,0)</f>
        <v/>
      </c>
      <c r="G371" s="2">
        <f>IF(_xlfn.XLOOKUP(C371,customers!$A$1:$A$1001,customers!$C$1:$C$1001,,0)=0,"",_xlfn.XLOOKUP(C371,customers!$A$1:$A$1001,customers!$C$1:$C$1001,,0))</f>
        <v/>
      </c>
      <c r="H371" s="2">
        <f>_xlfn.XLOOKUP(C371,customers!$A$1:$A$1001,customers!$G$1:$G$1001,,0)</f>
        <v/>
      </c>
      <c r="I371">
        <f>INDEX(products!$A$1:$G$49,MATCH(orders!$D371,products!$A$1:$A$49,0),MATCH(orders!I$1,products!$A$1:$G$1,0))</f>
        <v/>
      </c>
      <c r="J371">
        <f>INDEX(products!$A$1:$G$49,MATCH(orders!$D371,products!$A$1:$A$49,0),MATCH(orders!J$1,products!$A$1:$G$1,0))</f>
        <v/>
      </c>
      <c r="K371" s="4">
        <f>INDEX(products!$A$1:$G$49,MATCH(orders!$D371,products!$A$1:$A$49,0),MATCH(orders!K$1,products!$A$1:$G$1,0))</f>
        <v/>
      </c>
      <c r="L371" s="5">
        <f>INDEX(products!$A$1:$G$49,MATCH(orders!$D371,products!$A$1:$A$49,0),MATCH(orders!L$1,products!$A$1:$G$1,0))</f>
        <v/>
      </c>
      <c r="M371" s="5">
        <f>L371*E371</f>
        <v/>
      </c>
      <c r="N371">
        <f>IF(I371="Rob","Robusta",IF(I371="Exc","Excelsa",IF(I371="Ara","Arabica",IF(I371="Lib","Liberica",""))))</f>
        <v/>
      </c>
      <c r="O371">
        <f>IF(J371="M","Medium",IF(J371="L","Light",IF(J371="D","Dark","")))</f>
        <v/>
      </c>
      <c r="P371">
        <f>_xlfn.XLOOKUP(Orders[[#This Row],[Customer ID]],customers!$A$1:$A$1001,customers!$I$1:$I$1001,,0)</f>
        <v/>
      </c>
    </row>
    <row r="372">
      <c r="A372" s="2" t="inlineStr">
        <is>
          <t>O2489</t>
        </is>
      </c>
      <c r="B372" s="3" t="inlineStr">
        <is>
          <t>2021-03-09</t>
        </is>
      </c>
      <c r="C372" s="2" t="inlineStr">
        <is>
          <t>O1347</t>
        </is>
      </c>
      <c r="D372" t="inlineStr">
        <is>
          <t>O5072</t>
        </is>
      </c>
      <c r="E372" s="2" t="n">
        <v>319</v>
      </c>
      <c r="F372" s="2">
        <f>_xlfn.XLOOKUP(C372,customers!$A$1:$A$1001,customers!$B$1:$B$1001,,0)</f>
        <v/>
      </c>
      <c r="G372" s="2">
        <f>IF(_xlfn.XLOOKUP(C372,customers!$A$1:$A$1001,customers!$C$1:$C$1001,,0)=0,"",_xlfn.XLOOKUP(C372,customers!$A$1:$A$1001,customers!$C$1:$C$1001,,0))</f>
        <v/>
      </c>
      <c r="H372" s="2">
        <f>_xlfn.XLOOKUP(C372,customers!$A$1:$A$1001,customers!$G$1:$G$1001,,0)</f>
        <v/>
      </c>
      <c r="I372">
        <f>INDEX(products!$A$1:$G$49,MATCH(orders!$D372,products!$A$1:$A$49,0),MATCH(orders!I$1,products!$A$1:$G$1,0))</f>
        <v/>
      </c>
      <c r="J372">
        <f>INDEX(products!$A$1:$G$49,MATCH(orders!$D372,products!$A$1:$A$49,0),MATCH(orders!J$1,products!$A$1:$G$1,0))</f>
        <v/>
      </c>
      <c r="K372" s="4">
        <f>INDEX(products!$A$1:$G$49,MATCH(orders!$D372,products!$A$1:$A$49,0),MATCH(orders!K$1,products!$A$1:$G$1,0))</f>
        <v/>
      </c>
      <c r="L372" s="5">
        <f>INDEX(products!$A$1:$G$49,MATCH(orders!$D372,products!$A$1:$A$49,0),MATCH(orders!L$1,products!$A$1:$G$1,0))</f>
        <v/>
      </c>
      <c r="M372" s="5">
        <f>L372*E372</f>
        <v/>
      </c>
      <c r="N372">
        <f>IF(I372="Rob","Robusta",IF(I372="Exc","Excelsa",IF(I372="Ara","Arabica",IF(I372="Lib","Liberica",""))))</f>
        <v/>
      </c>
      <c r="O372">
        <f>IF(J372="M","Medium",IF(J372="L","Light",IF(J372="D","Dark","")))</f>
        <v/>
      </c>
      <c r="P372">
        <f>_xlfn.XLOOKUP(Orders[[#This Row],[Customer ID]],customers!$A$1:$A$1001,customers!$I$1:$I$1001,,0)</f>
        <v/>
      </c>
    </row>
    <row r="373">
      <c r="A373" s="2" t="inlineStr">
        <is>
          <t>O1168</t>
        </is>
      </c>
      <c r="B373" s="3" t="inlineStr">
        <is>
          <t>2021-02-24</t>
        </is>
      </c>
      <c r="C373" s="2" t="inlineStr">
        <is>
          <t>O6526</t>
        </is>
      </c>
      <c r="D373" t="inlineStr">
        <is>
          <t>O9195</t>
        </is>
      </c>
      <c r="E373" s="2" t="n">
        <v>156</v>
      </c>
      <c r="F373" s="2">
        <f>_xlfn.XLOOKUP(C373,customers!$A$1:$A$1001,customers!$B$1:$B$1001,,0)</f>
        <v/>
      </c>
      <c r="G373" s="2">
        <f>IF(_xlfn.XLOOKUP(C373,customers!$A$1:$A$1001,customers!$C$1:$C$1001,,0)=0,"",_xlfn.XLOOKUP(C373,customers!$A$1:$A$1001,customers!$C$1:$C$1001,,0))</f>
        <v/>
      </c>
      <c r="H373" s="2">
        <f>_xlfn.XLOOKUP(C373,customers!$A$1:$A$1001,customers!$G$1:$G$1001,,0)</f>
        <v/>
      </c>
      <c r="I373">
        <f>INDEX(products!$A$1:$G$49,MATCH(orders!$D373,products!$A$1:$A$49,0),MATCH(orders!I$1,products!$A$1:$G$1,0))</f>
        <v/>
      </c>
      <c r="J373">
        <f>INDEX(products!$A$1:$G$49,MATCH(orders!$D373,products!$A$1:$A$49,0),MATCH(orders!J$1,products!$A$1:$G$1,0))</f>
        <v/>
      </c>
      <c r="K373" s="4">
        <f>INDEX(products!$A$1:$G$49,MATCH(orders!$D373,products!$A$1:$A$49,0),MATCH(orders!K$1,products!$A$1:$G$1,0))</f>
        <v/>
      </c>
      <c r="L373" s="5">
        <f>INDEX(products!$A$1:$G$49,MATCH(orders!$D373,products!$A$1:$A$49,0),MATCH(orders!L$1,products!$A$1:$G$1,0))</f>
        <v/>
      </c>
      <c r="M373" s="5">
        <f>L373*E373</f>
        <v/>
      </c>
      <c r="N373">
        <f>IF(I373="Rob","Robusta",IF(I373="Exc","Excelsa",IF(I373="Ara","Arabica",IF(I373="Lib","Liberica",""))))</f>
        <v/>
      </c>
      <c r="O373">
        <f>IF(J373="M","Medium",IF(J373="L","Light",IF(J373="D","Dark","")))</f>
        <v/>
      </c>
      <c r="P373">
        <f>_xlfn.XLOOKUP(Orders[[#This Row],[Customer ID]],customers!$A$1:$A$1001,customers!$I$1:$I$1001,,0)</f>
        <v/>
      </c>
    </row>
    <row r="374">
      <c r="A374" s="2" t="inlineStr">
        <is>
          <t>O8502</t>
        </is>
      </c>
      <c r="B374" s="3" t="inlineStr">
        <is>
          <t>2025-05-05</t>
        </is>
      </c>
      <c r="C374" s="2" t="inlineStr">
        <is>
          <t>O9579</t>
        </is>
      </c>
      <c r="D374" t="inlineStr">
        <is>
          <t>O6117</t>
        </is>
      </c>
      <c r="E374" s="2" t="n">
        <v>373</v>
      </c>
      <c r="F374" s="2">
        <f>_xlfn.XLOOKUP(C374,customers!$A$1:$A$1001,customers!$B$1:$B$1001,,0)</f>
        <v/>
      </c>
      <c r="G374" s="2">
        <f>IF(_xlfn.XLOOKUP(C374,customers!$A$1:$A$1001,customers!$C$1:$C$1001,,0)=0,"",_xlfn.XLOOKUP(C374,customers!$A$1:$A$1001,customers!$C$1:$C$1001,,0))</f>
        <v/>
      </c>
      <c r="H374" s="2">
        <f>_xlfn.XLOOKUP(C374,customers!$A$1:$A$1001,customers!$G$1:$G$1001,,0)</f>
        <v/>
      </c>
      <c r="I374">
        <f>INDEX(products!$A$1:$G$49,MATCH(orders!$D374,products!$A$1:$A$49,0),MATCH(orders!I$1,products!$A$1:$G$1,0))</f>
        <v/>
      </c>
      <c r="J374">
        <f>INDEX(products!$A$1:$G$49,MATCH(orders!$D374,products!$A$1:$A$49,0),MATCH(orders!J$1,products!$A$1:$G$1,0))</f>
        <v/>
      </c>
      <c r="K374" s="4">
        <f>INDEX(products!$A$1:$G$49,MATCH(orders!$D374,products!$A$1:$A$49,0),MATCH(orders!K$1,products!$A$1:$G$1,0))</f>
        <v/>
      </c>
      <c r="L374" s="5">
        <f>INDEX(products!$A$1:$G$49,MATCH(orders!$D374,products!$A$1:$A$49,0),MATCH(orders!L$1,products!$A$1:$G$1,0))</f>
        <v/>
      </c>
      <c r="M374" s="5">
        <f>L374*E374</f>
        <v/>
      </c>
      <c r="N374">
        <f>IF(I374="Rob","Robusta",IF(I374="Exc","Excelsa",IF(I374="Ara","Arabica",IF(I374="Lib","Liberica",""))))</f>
        <v/>
      </c>
      <c r="O374">
        <f>IF(J374="M","Medium",IF(J374="L","Light",IF(J374="D","Dark","")))</f>
        <v/>
      </c>
      <c r="P374">
        <f>_xlfn.XLOOKUP(Orders[[#This Row],[Customer ID]],customers!$A$1:$A$1001,customers!$I$1:$I$1001,,0)</f>
        <v/>
      </c>
    </row>
    <row r="375">
      <c r="A375" s="2" t="inlineStr">
        <is>
          <t>O4776</t>
        </is>
      </c>
      <c r="B375" s="3" t="inlineStr">
        <is>
          <t>2023-06-15</t>
        </is>
      </c>
      <c r="C375" s="2" t="inlineStr">
        <is>
          <t>O2811</t>
        </is>
      </c>
      <c r="D375" t="inlineStr">
        <is>
          <t>O7511</t>
        </is>
      </c>
      <c r="E375" s="2" t="n">
        <v>346</v>
      </c>
      <c r="F375" s="2">
        <f>_xlfn.XLOOKUP(C375,customers!$A$1:$A$1001,customers!$B$1:$B$1001,,0)</f>
        <v/>
      </c>
      <c r="G375" s="2">
        <f>IF(_xlfn.XLOOKUP(C375,customers!$A$1:$A$1001,customers!$C$1:$C$1001,,0)=0,"",_xlfn.XLOOKUP(C375,customers!$A$1:$A$1001,customers!$C$1:$C$1001,,0))</f>
        <v/>
      </c>
      <c r="H375" s="2">
        <f>_xlfn.XLOOKUP(C375,customers!$A$1:$A$1001,customers!$G$1:$G$1001,,0)</f>
        <v/>
      </c>
      <c r="I375">
        <f>INDEX(products!$A$1:$G$49,MATCH(orders!$D375,products!$A$1:$A$49,0),MATCH(orders!I$1,products!$A$1:$G$1,0))</f>
        <v/>
      </c>
      <c r="J375">
        <f>INDEX(products!$A$1:$G$49,MATCH(orders!$D375,products!$A$1:$A$49,0),MATCH(orders!J$1,products!$A$1:$G$1,0))</f>
        <v/>
      </c>
      <c r="K375" s="4">
        <f>INDEX(products!$A$1:$G$49,MATCH(orders!$D375,products!$A$1:$A$49,0),MATCH(orders!K$1,products!$A$1:$G$1,0))</f>
        <v/>
      </c>
      <c r="L375" s="5">
        <f>INDEX(products!$A$1:$G$49,MATCH(orders!$D375,products!$A$1:$A$49,0),MATCH(orders!L$1,products!$A$1:$G$1,0))</f>
        <v/>
      </c>
      <c r="M375" s="5">
        <f>L375*E375</f>
        <v/>
      </c>
      <c r="N375">
        <f>IF(I375="Rob","Robusta",IF(I375="Exc","Excelsa",IF(I375="Ara","Arabica",IF(I375="Lib","Liberica",""))))</f>
        <v/>
      </c>
      <c r="O375">
        <f>IF(J375="M","Medium",IF(J375="L","Light",IF(J375="D","Dark","")))</f>
        <v/>
      </c>
      <c r="P375">
        <f>_xlfn.XLOOKUP(Orders[[#This Row],[Customer ID]],customers!$A$1:$A$1001,customers!$I$1:$I$1001,,0)</f>
        <v/>
      </c>
    </row>
    <row r="376">
      <c r="A376" s="2" t="inlineStr">
        <is>
          <t>O5263</t>
        </is>
      </c>
      <c r="B376" s="3" t="inlineStr">
        <is>
          <t>2024-03-15</t>
        </is>
      </c>
      <c r="C376" s="2" t="inlineStr">
        <is>
          <t>O1147</t>
        </is>
      </c>
      <c r="D376" t="inlineStr">
        <is>
          <t>O8521</t>
        </is>
      </c>
      <c r="E376" s="2" t="n">
        <v>419</v>
      </c>
      <c r="F376" s="2">
        <f>_xlfn.XLOOKUP(C376,customers!$A$1:$A$1001,customers!$B$1:$B$1001,,0)</f>
        <v/>
      </c>
      <c r="G376" s="2">
        <f>IF(_xlfn.XLOOKUP(C376,customers!$A$1:$A$1001,customers!$C$1:$C$1001,,0)=0,"",_xlfn.XLOOKUP(C376,customers!$A$1:$A$1001,customers!$C$1:$C$1001,,0))</f>
        <v/>
      </c>
      <c r="H376" s="2">
        <f>_xlfn.XLOOKUP(C376,customers!$A$1:$A$1001,customers!$G$1:$G$1001,,0)</f>
        <v/>
      </c>
      <c r="I376">
        <f>INDEX(products!$A$1:$G$49,MATCH(orders!$D376,products!$A$1:$A$49,0),MATCH(orders!I$1,products!$A$1:$G$1,0))</f>
        <v/>
      </c>
      <c r="J376">
        <f>INDEX(products!$A$1:$G$49,MATCH(orders!$D376,products!$A$1:$A$49,0),MATCH(orders!J$1,products!$A$1:$G$1,0))</f>
        <v/>
      </c>
      <c r="K376" s="4">
        <f>INDEX(products!$A$1:$G$49,MATCH(orders!$D376,products!$A$1:$A$49,0),MATCH(orders!K$1,products!$A$1:$G$1,0))</f>
        <v/>
      </c>
      <c r="L376" s="5">
        <f>INDEX(products!$A$1:$G$49,MATCH(orders!$D376,products!$A$1:$A$49,0),MATCH(orders!L$1,products!$A$1:$G$1,0))</f>
        <v/>
      </c>
      <c r="M376" s="5">
        <f>L376*E376</f>
        <v/>
      </c>
      <c r="N376">
        <f>IF(I376="Rob","Robusta",IF(I376="Exc","Excelsa",IF(I376="Ara","Arabica",IF(I376="Lib","Liberica",""))))</f>
        <v/>
      </c>
      <c r="O376">
        <f>IF(J376="M","Medium",IF(J376="L","Light",IF(J376="D","Dark","")))</f>
        <v/>
      </c>
      <c r="P376">
        <f>_xlfn.XLOOKUP(Orders[[#This Row],[Customer ID]],customers!$A$1:$A$1001,customers!$I$1:$I$1001,,0)</f>
        <v/>
      </c>
    </row>
    <row r="377">
      <c r="A377" s="2" t="inlineStr">
        <is>
          <t>O3724</t>
        </is>
      </c>
      <c r="B377" s="3" t="inlineStr">
        <is>
          <t>2025-08-25</t>
        </is>
      </c>
      <c r="C377" s="2" t="inlineStr">
        <is>
          <t>O4837</t>
        </is>
      </c>
      <c r="D377" t="inlineStr">
        <is>
          <t>O9304</t>
        </is>
      </c>
      <c r="E377" s="2" t="n">
        <v>456</v>
      </c>
      <c r="F377" s="2">
        <f>_xlfn.XLOOKUP(C377,customers!$A$1:$A$1001,customers!$B$1:$B$1001,,0)</f>
        <v/>
      </c>
      <c r="G377" s="2">
        <f>IF(_xlfn.XLOOKUP(C377,customers!$A$1:$A$1001,customers!$C$1:$C$1001,,0)=0,"",_xlfn.XLOOKUP(C377,customers!$A$1:$A$1001,customers!$C$1:$C$1001,,0))</f>
        <v/>
      </c>
      <c r="H377" s="2">
        <f>_xlfn.XLOOKUP(C377,customers!$A$1:$A$1001,customers!$G$1:$G$1001,,0)</f>
        <v/>
      </c>
      <c r="I377">
        <f>INDEX(products!$A$1:$G$49,MATCH(orders!$D377,products!$A$1:$A$49,0),MATCH(orders!I$1,products!$A$1:$G$1,0))</f>
        <v/>
      </c>
      <c r="J377">
        <f>INDEX(products!$A$1:$G$49,MATCH(orders!$D377,products!$A$1:$A$49,0),MATCH(orders!J$1,products!$A$1:$G$1,0))</f>
        <v/>
      </c>
      <c r="K377" s="4">
        <f>INDEX(products!$A$1:$G$49,MATCH(orders!$D377,products!$A$1:$A$49,0),MATCH(orders!K$1,products!$A$1:$G$1,0))</f>
        <v/>
      </c>
      <c r="L377" s="5">
        <f>INDEX(products!$A$1:$G$49,MATCH(orders!$D377,products!$A$1:$A$49,0),MATCH(orders!L$1,products!$A$1:$G$1,0))</f>
        <v/>
      </c>
      <c r="M377" s="5">
        <f>L377*E377</f>
        <v/>
      </c>
      <c r="N377">
        <f>IF(I377="Rob","Robusta",IF(I377="Exc","Excelsa",IF(I377="Ara","Arabica",IF(I377="Lib","Liberica",""))))</f>
        <v/>
      </c>
      <c r="O377">
        <f>IF(J377="M","Medium",IF(J377="L","Light",IF(J377="D","Dark","")))</f>
        <v/>
      </c>
      <c r="P377">
        <f>_xlfn.XLOOKUP(Orders[[#This Row],[Customer ID]],customers!$A$1:$A$1001,customers!$I$1:$I$1001,,0)</f>
        <v/>
      </c>
    </row>
    <row r="378">
      <c r="A378" s="2" t="inlineStr">
        <is>
          <t>O8526</t>
        </is>
      </c>
      <c r="B378" s="3" t="inlineStr">
        <is>
          <t>2023-06-10</t>
        </is>
      </c>
      <c r="C378" s="2" t="inlineStr">
        <is>
          <t>O8060</t>
        </is>
      </c>
      <c r="D378" t="inlineStr">
        <is>
          <t>O9199</t>
        </is>
      </c>
      <c r="E378" s="2" t="n">
        <v>398</v>
      </c>
      <c r="F378" s="2">
        <f>_xlfn.XLOOKUP(C378,customers!$A$1:$A$1001,customers!$B$1:$B$1001,,0)</f>
        <v/>
      </c>
      <c r="G378" s="2">
        <f>IF(_xlfn.XLOOKUP(C378,customers!$A$1:$A$1001,customers!$C$1:$C$1001,,0)=0,"",_xlfn.XLOOKUP(C378,customers!$A$1:$A$1001,customers!$C$1:$C$1001,,0))</f>
        <v/>
      </c>
      <c r="H378" s="2">
        <f>_xlfn.XLOOKUP(C378,customers!$A$1:$A$1001,customers!$G$1:$G$1001,,0)</f>
        <v/>
      </c>
      <c r="I378">
        <f>INDEX(products!$A$1:$G$49,MATCH(orders!$D378,products!$A$1:$A$49,0),MATCH(orders!I$1,products!$A$1:$G$1,0))</f>
        <v/>
      </c>
      <c r="J378">
        <f>INDEX(products!$A$1:$G$49,MATCH(orders!$D378,products!$A$1:$A$49,0),MATCH(orders!J$1,products!$A$1:$G$1,0))</f>
        <v/>
      </c>
      <c r="K378" s="4">
        <f>INDEX(products!$A$1:$G$49,MATCH(orders!$D378,products!$A$1:$A$49,0),MATCH(orders!K$1,products!$A$1:$G$1,0))</f>
        <v/>
      </c>
      <c r="L378" s="5">
        <f>INDEX(products!$A$1:$G$49,MATCH(orders!$D378,products!$A$1:$A$49,0),MATCH(orders!L$1,products!$A$1:$G$1,0))</f>
        <v/>
      </c>
      <c r="M378" s="5">
        <f>L378*E378</f>
        <v/>
      </c>
      <c r="N378">
        <f>IF(I378="Rob","Robusta",IF(I378="Exc","Excelsa",IF(I378="Ara","Arabica",IF(I378="Lib","Liberica",""))))</f>
        <v/>
      </c>
      <c r="O378">
        <f>IF(J378="M","Medium",IF(J378="L","Light",IF(J378="D","Dark","")))</f>
        <v/>
      </c>
      <c r="P378">
        <f>_xlfn.XLOOKUP(Orders[[#This Row],[Customer ID]],customers!$A$1:$A$1001,customers!$I$1:$I$1001,,0)</f>
        <v/>
      </c>
    </row>
    <row r="379">
      <c r="A379" s="2" t="inlineStr">
        <is>
          <t>O2643</t>
        </is>
      </c>
      <c r="B379" s="3" t="inlineStr">
        <is>
          <t>2023-11-27</t>
        </is>
      </c>
      <c r="C379" s="2" t="inlineStr">
        <is>
          <t>O1647</t>
        </is>
      </c>
      <c r="D379" t="inlineStr">
        <is>
          <t>O5439</t>
        </is>
      </c>
      <c r="E379" s="2" t="n">
        <v>499</v>
      </c>
      <c r="F379" s="2">
        <f>_xlfn.XLOOKUP(C379,customers!$A$1:$A$1001,customers!$B$1:$B$1001,,0)</f>
        <v/>
      </c>
      <c r="G379" s="2">
        <f>IF(_xlfn.XLOOKUP(C379,customers!$A$1:$A$1001,customers!$C$1:$C$1001,,0)=0,"",_xlfn.XLOOKUP(C379,customers!$A$1:$A$1001,customers!$C$1:$C$1001,,0))</f>
        <v/>
      </c>
      <c r="H379" s="2">
        <f>_xlfn.XLOOKUP(C379,customers!$A$1:$A$1001,customers!$G$1:$G$1001,,0)</f>
        <v/>
      </c>
      <c r="I379">
        <f>INDEX(products!$A$1:$G$49,MATCH(orders!$D379,products!$A$1:$A$49,0),MATCH(orders!I$1,products!$A$1:$G$1,0))</f>
        <v/>
      </c>
      <c r="J379">
        <f>INDEX(products!$A$1:$G$49,MATCH(orders!$D379,products!$A$1:$A$49,0),MATCH(orders!J$1,products!$A$1:$G$1,0))</f>
        <v/>
      </c>
      <c r="K379" s="4">
        <f>INDEX(products!$A$1:$G$49,MATCH(orders!$D379,products!$A$1:$A$49,0),MATCH(orders!K$1,products!$A$1:$G$1,0))</f>
        <v/>
      </c>
      <c r="L379" s="5">
        <f>INDEX(products!$A$1:$G$49,MATCH(orders!$D379,products!$A$1:$A$49,0),MATCH(orders!L$1,products!$A$1:$G$1,0))</f>
        <v/>
      </c>
      <c r="M379" s="5">
        <f>L379*E379</f>
        <v/>
      </c>
      <c r="N379">
        <f>IF(I379="Rob","Robusta",IF(I379="Exc","Excelsa",IF(I379="Ara","Arabica",IF(I379="Lib","Liberica",""))))</f>
        <v/>
      </c>
      <c r="O379">
        <f>IF(J379="M","Medium",IF(J379="L","Light",IF(J379="D","Dark","")))</f>
        <v/>
      </c>
      <c r="P379">
        <f>_xlfn.XLOOKUP(Orders[[#This Row],[Customer ID]],customers!$A$1:$A$1001,customers!$I$1:$I$1001,,0)</f>
        <v/>
      </c>
    </row>
    <row r="380">
      <c r="A380" s="2" t="inlineStr">
        <is>
          <t>O5383</t>
        </is>
      </c>
      <c r="B380" s="3" t="inlineStr">
        <is>
          <t>2022-04-20</t>
        </is>
      </c>
      <c r="C380" s="2" t="inlineStr">
        <is>
          <t>O3681</t>
        </is>
      </c>
      <c r="D380" t="inlineStr">
        <is>
          <t>O3909</t>
        </is>
      </c>
      <c r="E380" s="2" t="n">
        <v>409</v>
      </c>
      <c r="F380" s="2">
        <f>_xlfn.XLOOKUP(C380,customers!$A$1:$A$1001,customers!$B$1:$B$1001,,0)</f>
        <v/>
      </c>
      <c r="G380" s="2">
        <f>IF(_xlfn.XLOOKUP(C380,customers!$A$1:$A$1001,customers!$C$1:$C$1001,,0)=0,"",_xlfn.XLOOKUP(C380,customers!$A$1:$A$1001,customers!$C$1:$C$1001,,0))</f>
        <v/>
      </c>
      <c r="H380" s="2">
        <f>_xlfn.XLOOKUP(C380,customers!$A$1:$A$1001,customers!$G$1:$G$1001,,0)</f>
        <v/>
      </c>
      <c r="I380">
        <f>INDEX(products!$A$1:$G$49,MATCH(orders!$D380,products!$A$1:$A$49,0),MATCH(orders!I$1,products!$A$1:$G$1,0))</f>
        <v/>
      </c>
      <c r="J380">
        <f>INDEX(products!$A$1:$G$49,MATCH(orders!$D380,products!$A$1:$A$49,0),MATCH(orders!J$1,products!$A$1:$G$1,0))</f>
        <v/>
      </c>
      <c r="K380" s="4">
        <f>INDEX(products!$A$1:$G$49,MATCH(orders!$D380,products!$A$1:$A$49,0),MATCH(orders!K$1,products!$A$1:$G$1,0))</f>
        <v/>
      </c>
      <c r="L380" s="5">
        <f>INDEX(products!$A$1:$G$49,MATCH(orders!$D380,products!$A$1:$A$49,0),MATCH(orders!L$1,products!$A$1:$G$1,0))</f>
        <v/>
      </c>
      <c r="M380" s="5">
        <f>L380*E380</f>
        <v/>
      </c>
      <c r="N380">
        <f>IF(I380="Rob","Robusta",IF(I380="Exc","Excelsa",IF(I380="Ara","Arabica",IF(I380="Lib","Liberica",""))))</f>
        <v/>
      </c>
      <c r="O380">
        <f>IF(J380="M","Medium",IF(J380="L","Light",IF(J380="D","Dark","")))</f>
        <v/>
      </c>
      <c r="P380">
        <f>_xlfn.XLOOKUP(Orders[[#This Row],[Customer ID]],customers!$A$1:$A$1001,customers!$I$1:$I$1001,,0)</f>
        <v/>
      </c>
    </row>
    <row r="381">
      <c r="A381" s="2" t="inlineStr">
        <is>
          <t>O4166</t>
        </is>
      </c>
      <c r="B381" s="3" t="inlineStr">
        <is>
          <t>2023-09-25</t>
        </is>
      </c>
      <c r="C381" s="2" t="inlineStr">
        <is>
          <t>O3958</t>
        </is>
      </c>
      <c r="D381" t="inlineStr">
        <is>
          <t>O9540</t>
        </is>
      </c>
      <c r="E381" s="2" t="n">
        <v>421</v>
      </c>
      <c r="F381" s="2">
        <f>_xlfn.XLOOKUP(C381,customers!$A$1:$A$1001,customers!$B$1:$B$1001,,0)</f>
        <v/>
      </c>
      <c r="G381" s="2">
        <f>IF(_xlfn.XLOOKUP(C381,customers!$A$1:$A$1001,customers!$C$1:$C$1001,,0)=0,"",_xlfn.XLOOKUP(C381,customers!$A$1:$A$1001,customers!$C$1:$C$1001,,0))</f>
        <v/>
      </c>
      <c r="H381" s="2">
        <f>_xlfn.XLOOKUP(C381,customers!$A$1:$A$1001,customers!$G$1:$G$1001,,0)</f>
        <v/>
      </c>
      <c r="I381">
        <f>INDEX(products!$A$1:$G$49,MATCH(orders!$D381,products!$A$1:$A$49,0),MATCH(orders!I$1,products!$A$1:$G$1,0))</f>
        <v/>
      </c>
      <c r="J381">
        <f>INDEX(products!$A$1:$G$49,MATCH(orders!$D381,products!$A$1:$A$49,0),MATCH(orders!J$1,products!$A$1:$G$1,0))</f>
        <v/>
      </c>
      <c r="K381" s="4">
        <f>INDEX(products!$A$1:$G$49,MATCH(orders!$D381,products!$A$1:$A$49,0),MATCH(orders!K$1,products!$A$1:$G$1,0))</f>
        <v/>
      </c>
      <c r="L381" s="5">
        <f>INDEX(products!$A$1:$G$49,MATCH(orders!$D381,products!$A$1:$A$49,0),MATCH(orders!L$1,products!$A$1:$G$1,0))</f>
        <v/>
      </c>
      <c r="M381" s="5">
        <f>L381*E381</f>
        <v/>
      </c>
      <c r="N381">
        <f>IF(I381="Rob","Robusta",IF(I381="Exc","Excelsa",IF(I381="Ara","Arabica",IF(I381="Lib","Liberica",""))))</f>
        <v/>
      </c>
      <c r="O381">
        <f>IF(J381="M","Medium",IF(J381="L","Light",IF(J381="D","Dark","")))</f>
        <v/>
      </c>
      <c r="P381">
        <f>_xlfn.XLOOKUP(Orders[[#This Row],[Customer ID]],customers!$A$1:$A$1001,customers!$I$1:$I$1001,,0)</f>
        <v/>
      </c>
    </row>
    <row r="382">
      <c r="A382" s="2" t="inlineStr">
        <is>
          <t>O9929</t>
        </is>
      </c>
      <c r="B382" s="3" t="inlineStr">
        <is>
          <t>2024-09-20</t>
        </is>
      </c>
      <c r="C382" s="2" t="inlineStr">
        <is>
          <t>O2962</t>
        </is>
      </c>
      <c r="D382" t="inlineStr">
        <is>
          <t>O6101</t>
        </is>
      </c>
      <c r="E382" s="2" t="n">
        <v>468</v>
      </c>
      <c r="F382" s="2">
        <f>_xlfn.XLOOKUP(C382,customers!$A$1:$A$1001,customers!$B$1:$B$1001,,0)</f>
        <v/>
      </c>
      <c r="G382" s="2">
        <f>IF(_xlfn.XLOOKUP(C382,customers!$A$1:$A$1001,customers!$C$1:$C$1001,,0)=0,"",_xlfn.XLOOKUP(C382,customers!$A$1:$A$1001,customers!$C$1:$C$1001,,0))</f>
        <v/>
      </c>
      <c r="H382" s="2">
        <f>_xlfn.XLOOKUP(C382,customers!$A$1:$A$1001,customers!$G$1:$G$1001,,0)</f>
        <v/>
      </c>
      <c r="I382">
        <f>INDEX(products!$A$1:$G$49,MATCH(orders!$D382,products!$A$1:$A$49,0),MATCH(orders!I$1,products!$A$1:$G$1,0))</f>
        <v/>
      </c>
      <c r="J382">
        <f>INDEX(products!$A$1:$G$49,MATCH(orders!$D382,products!$A$1:$A$49,0),MATCH(orders!J$1,products!$A$1:$G$1,0))</f>
        <v/>
      </c>
      <c r="K382" s="4">
        <f>INDEX(products!$A$1:$G$49,MATCH(orders!$D382,products!$A$1:$A$49,0),MATCH(orders!K$1,products!$A$1:$G$1,0))</f>
        <v/>
      </c>
      <c r="L382" s="5">
        <f>INDEX(products!$A$1:$G$49,MATCH(orders!$D382,products!$A$1:$A$49,0),MATCH(orders!L$1,products!$A$1:$G$1,0))</f>
        <v/>
      </c>
      <c r="M382" s="5">
        <f>L382*E382</f>
        <v/>
      </c>
      <c r="N382">
        <f>IF(I382="Rob","Robusta",IF(I382="Exc","Excelsa",IF(I382="Ara","Arabica",IF(I382="Lib","Liberica",""))))</f>
        <v/>
      </c>
      <c r="O382">
        <f>IF(J382="M","Medium",IF(J382="L","Light",IF(J382="D","Dark","")))</f>
        <v/>
      </c>
      <c r="P382">
        <f>_xlfn.XLOOKUP(Orders[[#This Row],[Customer ID]],customers!$A$1:$A$1001,customers!$I$1:$I$1001,,0)</f>
        <v/>
      </c>
    </row>
    <row r="383">
      <c r="A383" s="2" t="inlineStr">
        <is>
          <t>O6919</t>
        </is>
      </c>
      <c r="B383" s="3" t="inlineStr">
        <is>
          <t>2021-07-23</t>
        </is>
      </c>
      <c r="C383" s="2" t="inlineStr">
        <is>
          <t>O9143</t>
        </is>
      </c>
      <c r="D383" t="inlineStr">
        <is>
          <t>O5667</t>
        </is>
      </c>
      <c r="E383" s="2" t="n">
        <v>42</v>
      </c>
      <c r="F383" s="2">
        <f>_xlfn.XLOOKUP(C383,customers!$A$1:$A$1001,customers!$B$1:$B$1001,,0)</f>
        <v/>
      </c>
      <c r="G383" s="2">
        <f>IF(_xlfn.XLOOKUP(C383,customers!$A$1:$A$1001,customers!$C$1:$C$1001,,0)=0,"",_xlfn.XLOOKUP(C383,customers!$A$1:$A$1001,customers!$C$1:$C$1001,,0))</f>
        <v/>
      </c>
      <c r="H383" s="2">
        <f>_xlfn.XLOOKUP(C383,customers!$A$1:$A$1001,customers!$G$1:$G$1001,,0)</f>
        <v/>
      </c>
      <c r="I383">
        <f>INDEX(products!$A$1:$G$49,MATCH(orders!$D383,products!$A$1:$A$49,0),MATCH(orders!I$1,products!$A$1:$G$1,0))</f>
        <v/>
      </c>
      <c r="J383">
        <f>INDEX(products!$A$1:$G$49,MATCH(orders!$D383,products!$A$1:$A$49,0),MATCH(orders!J$1,products!$A$1:$G$1,0))</f>
        <v/>
      </c>
      <c r="K383" s="4">
        <f>INDEX(products!$A$1:$G$49,MATCH(orders!$D383,products!$A$1:$A$49,0),MATCH(orders!K$1,products!$A$1:$G$1,0))</f>
        <v/>
      </c>
      <c r="L383" s="5">
        <f>INDEX(products!$A$1:$G$49,MATCH(orders!$D383,products!$A$1:$A$49,0),MATCH(orders!L$1,products!$A$1:$G$1,0))</f>
        <v/>
      </c>
      <c r="M383" s="5">
        <f>L383*E383</f>
        <v/>
      </c>
      <c r="N383">
        <f>IF(I383="Rob","Robusta",IF(I383="Exc","Excelsa",IF(I383="Ara","Arabica",IF(I383="Lib","Liberica",""))))</f>
        <v/>
      </c>
      <c r="O383">
        <f>IF(J383="M","Medium",IF(J383="L","Light",IF(J383="D","Dark","")))</f>
        <v/>
      </c>
      <c r="P383">
        <f>_xlfn.XLOOKUP(Orders[[#This Row],[Customer ID]],customers!$A$1:$A$1001,customers!$I$1:$I$1001,,0)</f>
        <v/>
      </c>
    </row>
    <row r="384">
      <c r="A384" s="2" t="inlineStr">
        <is>
          <t>O3641</t>
        </is>
      </c>
      <c r="B384" s="3" t="inlineStr">
        <is>
          <t>2020-12-12</t>
        </is>
      </c>
      <c r="C384" s="2" t="inlineStr">
        <is>
          <t>O4261</t>
        </is>
      </c>
      <c r="D384" t="inlineStr">
        <is>
          <t>O9162</t>
        </is>
      </c>
      <c r="E384" s="2" t="n">
        <v>260</v>
      </c>
      <c r="F384" s="2">
        <f>_xlfn.XLOOKUP(C384,customers!$A$1:$A$1001,customers!$B$1:$B$1001,,0)</f>
        <v/>
      </c>
      <c r="G384" s="2">
        <f>IF(_xlfn.XLOOKUP(C384,customers!$A$1:$A$1001,customers!$C$1:$C$1001,,0)=0,"",_xlfn.XLOOKUP(C384,customers!$A$1:$A$1001,customers!$C$1:$C$1001,,0))</f>
        <v/>
      </c>
      <c r="H384" s="2">
        <f>_xlfn.XLOOKUP(C384,customers!$A$1:$A$1001,customers!$G$1:$G$1001,,0)</f>
        <v/>
      </c>
      <c r="I384">
        <f>INDEX(products!$A$1:$G$49,MATCH(orders!$D384,products!$A$1:$A$49,0),MATCH(orders!I$1,products!$A$1:$G$1,0))</f>
        <v/>
      </c>
      <c r="J384">
        <f>INDEX(products!$A$1:$G$49,MATCH(orders!$D384,products!$A$1:$A$49,0),MATCH(orders!J$1,products!$A$1:$G$1,0))</f>
        <v/>
      </c>
      <c r="K384" s="4">
        <f>INDEX(products!$A$1:$G$49,MATCH(orders!$D384,products!$A$1:$A$49,0),MATCH(orders!K$1,products!$A$1:$G$1,0))</f>
        <v/>
      </c>
      <c r="L384" s="5">
        <f>INDEX(products!$A$1:$G$49,MATCH(orders!$D384,products!$A$1:$A$49,0),MATCH(orders!L$1,products!$A$1:$G$1,0))</f>
        <v/>
      </c>
      <c r="M384" s="5">
        <f>L384*E384</f>
        <v/>
      </c>
      <c r="N384">
        <f>IF(I384="Rob","Robusta",IF(I384="Exc","Excelsa",IF(I384="Ara","Arabica",IF(I384="Lib","Liberica",""))))</f>
        <v/>
      </c>
      <c r="O384">
        <f>IF(J384="M","Medium",IF(J384="L","Light",IF(J384="D","Dark","")))</f>
        <v/>
      </c>
      <c r="P384">
        <f>_xlfn.XLOOKUP(Orders[[#This Row],[Customer ID]],customers!$A$1:$A$1001,customers!$I$1:$I$1001,,0)</f>
        <v/>
      </c>
    </row>
    <row r="385">
      <c r="A385" s="2" t="inlineStr">
        <is>
          <t>O1151</t>
        </is>
      </c>
      <c r="B385" s="3" t="inlineStr">
        <is>
          <t>2025-08-27</t>
        </is>
      </c>
      <c r="C385" s="2" t="inlineStr">
        <is>
          <t>O9651</t>
        </is>
      </c>
      <c r="D385" t="inlineStr">
        <is>
          <t>O2516</t>
        </is>
      </c>
      <c r="E385" s="2" t="n">
        <v>347</v>
      </c>
      <c r="F385" s="2">
        <f>_xlfn.XLOOKUP(C385,customers!$A$1:$A$1001,customers!$B$1:$B$1001,,0)</f>
        <v/>
      </c>
      <c r="G385" s="2">
        <f>IF(_xlfn.XLOOKUP(C385,customers!$A$1:$A$1001,customers!$C$1:$C$1001,,0)=0,"",_xlfn.XLOOKUP(C385,customers!$A$1:$A$1001,customers!$C$1:$C$1001,,0))</f>
        <v/>
      </c>
      <c r="H385" s="2">
        <f>_xlfn.XLOOKUP(C385,customers!$A$1:$A$1001,customers!$G$1:$G$1001,,0)</f>
        <v/>
      </c>
      <c r="I385">
        <f>INDEX(products!$A$1:$G$49,MATCH(orders!$D385,products!$A$1:$A$49,0),MATCH(orders!I$1,products!$A$1:$G$1,0))</f>
        <v/>
      </c>
      <c r="J385">
        <f>INDEX(products!$A$1:$G$49,MATCH(orders!$D385,products!$A$1:$A$49,0),MATCH(orders!J$1,products!$A$1:$G$1,0))</f>
        <v/>
      </c>
      <c r="K385" s="4">
        <f>INDEX(products!$A$1:$G$49,MATCH(orders!$D385,products!$A$1:$A$49,0),MATCH(orders!K$1,products!$A$1:$G$1,0))</f>
        <v/>
      </c>
      <c r="L385" s="5">
        <f>INDEX(products!$A$1:$G$49,MATCH(orders!$D385,products!$A$1:$A$49,0),MATCH(orders!L$1,products!$A$1:$G$1,0))</f>
        <v/>
      </c>
      <c r="M385" s="5">
        <f>L385*E385</f>
        <v/>
      </c>
      <c r="N385">
        <f>IF(I385="Rob","Robusta",IF(I385="Exc","Excelsa",IF(I385="Ara","Arabica",IF(I385="Lib","Liberica",""))))</f>
        <v/>
      </c>
      <c r="O385">
        <f>IF(J385="M","Medium",IF(J385="L","Light",IF(J385="D","Dark","")))</f>
        <v/>
      </c>
      <c r="P385">
        <f>_xlfn.XLOOKUP(Orders[[#This Row],[Customer ID]],customers!$A$1:$A$1001,customers!$I$1:$I$1001,,0)</f>
        <v/>
      </c>
    </row>
    <row r="386">
      <c r="A386" s="2" t="inlineStr">
        <is>
          <t>O8114</t>
        </is>
      </c>
      <c r="B386" s="3" t="inlineStr">
        <is>
          <t>2020-08-01</t>
        </is>
      </c>
      <c r="C386" s="2" t="inlineStr">
        <is>
          <t>O8637</t>
        </is>
      </c>
      <c r="D386" t="inlineStr">
        <is>
          <t>O7712</t>
        </is>
      </c>
      <c r="E386" s="2" t="n">
        <v>468</v>
      </c>
      <c r="F386" s="2">
        <f>_xlfn.XLOOKUP(C386,customers!$A$1:$A$1001,customers!$B$1:$B$1001,,0)</f>
        <v/>
      </c>
      <c r="G386" s="2">
        <f>IF(_xlfn.XLOOKUP(C386,customers!$A$1:$A$1001,customers!$C$1:$C$1001,,0)=0,"",_xlfn.XLOOKUP(C386,customers!$A$1:$A$1001,customers!$C$1:$C$1001,,0))</f>
        <v/>
      </c>
      <c r="H386" s="2">
        <f>_xlfn.XLOOKUP(C386,customers!$A$1:$A$1001,customers!$G$1:$G$1001,,0)</f>
        <v/>
      </c>
      <c r="I386">
        <f>INDEX(products!$A$1:$G$49,MATCH(orders!$D386,products!$A$1:$A$49,0),MATCH(orders!I$1,products!$A$1:$G$1,0))</f>
        <v/>
      </c>
      <c r="J386">
        <f>INDEX(products!$A$1:$G$49,MATCH(orders!$D386,products!$A$1:$A$49,0),MATCH(orders!J$1,products!$A$1:$G$1,0))</f>
        <v/>
      </c>
      <c r="K386" s="4">
        <f>INDEX(products!$A$1:$G$49,MATCH(orders!$D386,products!$A$1:$A$49,0),MATCH(orders!K$1,products!$A$1:$G$1,0))</f>
        <v/>
      </c>
      <c r="L386" s="5">
        <f>INDEX(products!$A$1:$G$49,MATCH(orders!$D386,products!$A$1:$A$49,0),MATCH(orders!L$1,products!$A$1:$G$1,0))</f>
        <v/>
      </c>
      <c r="M386" s="5">
        <f>L386*E386</f>
        <v/>
      </c>
      <c r="N386">
        <f>IF(I386="Rob","Robusta",IF(I386="Exc","Excelsa",IF(I386="Ara","Arabica",IF(I386="Lib","Liberica",""))))</f>
        <v/>
      </c>
      <c r="O386">
        <f>IF(J386="M","Medium",IF(J386="L","Light",IF(J386="D","Dark","")))</f>
        <v/>
      </c>
      <c r="P386">
        <f>_xlfn.XLOOKUP(Orders[[#This Row],[Customer ID]],customers!$A$1:$A$1001,customers!$I$1:$I$1001,,0)</f>
        <v/>
      </c>
    </row>
    <row r="387">
      <c r="A387" s="2" t="inlineStr">
        <is>
          <t>O2891</t>
        </is>
      </c>
      <c r="B387" s="3" t="inlineStr">
        <is>
          <t>2024-02-23</t>
        </is>
      </c>
      <c r="C387" s="2" t="inlineStr">
        <is>
          <t>O8230</t>
        </is>
      </c>
      <c r="D387" t="inlineStr">
        <is>
          <t>O7726</t>
        </is>
      </c>
      <c r="E387" s="2" t="n">
        <v>467</v>
      </c>
      <c r="F387" s="2">
        <f>_xlfn.XLOOKUP(C387,customers!$A$1:$A$1001,customers!$B$1:$B$1001,,0)</f>
        <v/>
      </c>
      <c r="G387" s="2">
        <f>IF(_xlfn.XLOOKUP(C387,customers!$A$1:$A$1001,customers!$C$1:$C$1001,,0)=0,"",_xlfn.XLOOKUP(C387,customers!$A$1:$A$1001,customers!$C$1:$C$1001,,0))</f>
        <v/>
      </c>
      <c r="H387" s="2">
        <f>_xlfn.XLOOKUP(C387,customers!$A$1:$A$1001,customers!$G$1:$G$1001,,0)</f>
        <v/>
      </c>
      <c r="I387">
        <f>INDEX(products!$A$1:$G$49,MATCH(orders!$D387,products!$A$1:$A$49,0),MATCH(orders!I$1,products!$A$1:$G$1,0))</f>
        <v/>
      </c>
      <c r="J387">
        <f>INDEX(products!$A$1:$G$49,MATCH(orders!$D387,products!$A$1:$A$49,0),MATCH(orders!J$1,products!$A$1:$G$1,0))</f>
        <v/>
      </c>
      <c r="K387" s="4">
        <f>INDEX(products!$A$1:$G$49,MATCH(orders!$D387,products!$A$1:$A$49,0),MATCH(orders!K$1,products!$A$1:$G$1,0))</f>
        <v/>
      </c>
      <c r="L387" s="5">
        <f>INDEX(products!$A$1:$G$49,MATCH(orders!$D387,products!$A$1:$A$49,0),MATCH(orders!L$1,products!$A$1:$G$1,0))</f>
        <v/>
      </c>
      <c r="M387" s="5">
        <f>L387*E387</f>
        <v/>
      </c>
      <c r="N387">
        <f>IF(I387="Rob","Robusta",IF(I387="Exc","Excelsa",IF(I387="Ara","Arabica",IF(I387="Lib","Liberica",""))))</f>
        <v/>
      </c>
      <c r="O387">
        <f>IF(J387="M","Medium",IF(J387="L","Light",IF(J387="D","Dark","")))</f>
        <v/>
      </c>
      <c r="P387">
        <f>_xlfn.XLOOKUP(Orders[[#This Row],[Customer ID]],customers!$A$1:$A$1001,customers!$I$1:$I$1001,,0)</f>
        <v/>
      </c>
    </row>
    <row r="388">
      <c r="A388" s="2" t="inlineStr">
        <is>
          <t>O4596</t>
        </is>
      </c>
      <c r="B388" s="3" t="inlineStr">
        <is>
          <t>2025-09-20</t>
        </is>
      </c>
      <c r="C388" s="2" t="inlineStr">
        <is>
          <t>O1501</t>
        </is>
      </c>
      <c r="D388" t="inlineStr">
        <is>
          <t>O3723</t>
        </is>
      </c>
      <c r="E388" s="2" t="n">
        <v>497</v>
      </c>
      <c r="F388" s="2">
        <f>_xlfn.XLOOKUP(C388,customers!$A$1:$A$1001,customers!$B$1:$B$1001,,0)</f>
        <v/>
      </c>
      <c r="G388" s="2">
        <f>IF(_xlfn.XLOOKUP(C388,customers!$A$1:$A$1001,customers!$C$1:$C$1001,,0)=0,"",_xlfn.XLOOKUP(C388,customers!$A$1:$A$1001,customers!$C$1:$C$1001,,0))</f>
        <v/>
      </c>
      <c r="H388" s="2">
        <f>_xlfn.XLOOKUP(C388,customers!$A$1:$A$1001,customers!$G$1:$G$1001,,0)</f>
        <v/>
      </c>
      <c r="I388">
        <f>INDEX(products!$A$1:$G$49,MATCH(orders!$D388,products!$A$1:$A$49,0),MATCH(orders!I$1,products!$A$1:$G$1,0))</f>
        <v/>
      </c>
      <c r="J388">
        <f>INDEX(products!$A$1:$G$49,MATCH(orders!$D388,products!$A$1:$A$49,0),MATCH(orders!J$1,products!$A$1:$G$1,0))</f>
        <v/>
      </c>
      <c r="K388" s="4">
        <f>INDEX(products!$A$1:$G$49,MATCH(orders!$D388,products!$A$1:$A$49,0),MATCH(orders!K$1,products!$A$1:$G$1,0))</f>
        <v/>
      </c>
      <c r="L388" s="5">
        <f>INDEX(products!$A$1:$G$49,MATCH(orders!$D388,products!$A$1:$A$49,0),MATCH(orders!L$1,products!$A$1:$G$1,0))</f>
        <v/>
      </c>
      <c r="M388" s="5">
        <f>L388*E388</f>
        <v/>
      </c>
      <c r="N388">
        <f>IF(I388="Rob","Robusta",IF(I388="Exc","Excelsa",IF(I388="Ara","Arabica",IF(I388="Lib","Liberica",""))))</f>
        <v/>
      </c>
      <c r="O388">
        <f>IF(J388="M","Medium",IF(J388="L","Light",IF(J388="D","Dark","")))</f>
        <v/>
      </c>
      <c r="P388">
        <f>_xlfn.XLOOKUP(Orders[[#This Row],[Customer ID]],customers!$A$1:$A$1001,customers!$I$1:$I$1001,,0)</f>
        <v/>
      </c>
    </row>
    <row r="389">
      <c r="A389" s="2" t="inlineStr">
        <is>
          <t>O3243</t>
        </is>
      </c>
      <c r="B389" s="3" t="inlineStr">
        <is>
          <t>2020-10-24</t>
        </is>
      </c>
      <c r="C389" s="2" t="inlineStr">
        <is>
          <t>O6559</t>
        </is>
      </c>
      <c r="D389" t="inlineStr">
        <is>
          <t>O4971</t>
        </is>
      </c>
      <c r="E389" s="2" t="n">
        <v>470</v>
      </c>
      <c r="F389" s="2">
        <f>_xlfn.XLOOKUP(C389,customers!$A$1:$A$1001,customers!$B$1:$B$1001,,0)</f>
        <v/>
      </c>
      <c r="G389" s="2">
        <f>IF(_xlfn.XLOOKUP(C389,customers!$A$1:$A$1001,customers!$C$1:$C$1001,,0)=0,"",_xlfn.XLOOKUP(C389,customers!$A$1:$A$1001,customers!$C$1:$C$1001,,0))</f>
        <v/>
      </c>
      <c r="H389" s="2">
        <f>_xlfn.XLOOKUP(C389,customers!$A$1:$A$1001,customers!$G$1:$G$1001,,0)</f>
        <v/>
      </c>
      <c r="I389">
        <f>INDEX(products!$A$1:$G$49,MATCH(orders!$D389,products!$A$1:$A$49,0),MATCH(orders!I$1,products!$A$1:$G$1,0))</f>
        <v/>
      </c>
      <c r="J389">
        <f>INDEX(products!$A$1:$G$49,MATCH(orders!$D389,products!$A$1:$A$49,0),MATCH(orders!J$1,products!$A$1:$G$1,0))</f>
        <v/>
      </c>
      <c r="K389" s="4">
        <f>INDEX(products!$A$1:$G$49,MATCH(orders!$D389,products!$A$1:$A$49,0),MATCH(orders!K$1,products!$A$1:$G$1,0))</f>
        <v/>
      </c>
      <c r="L389" s="5">
        <f>INDEX(products!$A$1:$G$49,MATCH(orders!$D389,products!$A$1:$A$49,0),MATCH(orders!L$1,products!$A$1:$G$1,0))</f>
        <v/>
      </c>
      <c r="M389" s="5">
        <f>L389*E389</f>
        <v/>
      </c>
      <c r="N389">
        <f>IF(I389="Rob","Robusta",IF(I389="Exc","Excelsa",IF(I389="Ara","Arabica",IF(I389="Lib","Liberica",""))))</f>
        <v/>
      </c>
      <c r="O389">
        <f>IF(J389="M","Medium",IF(J389="L","Light",IF(J389="D","Dark","")))</f>
        <v/>
      </c>
      <c r="P389">
        <f>_xlfn.XLOOKUP(Orders[[#This Row],[Customer ID]],customers!$A$1:$A$1001,customers!$I$1:$I$1001,,0)</f>
        <v/>
      </c>
    </row>
    <row r="390">
      <c r="A390" s="2" t="inlineStr">
        <is>
          <t>O1854</t>
        </is>
      </c>
      <c r="B390" s="3" t="inlineStr">
        <is>
          <t>2022-08-23</t>
        </is>
      </c>
      <c r="C390" s="2" t="inlineStr">
        <is>
          <t>O9517</t>
        </is>
      </c>
      <c r="D390" t="inlineStr">
        <is>
          <t>O4174</t>
        </is>
      </c>
      <c r="E390" s="2" t="n">
        <v>13</v>
      </c>
      <c r="F390" s="2">
        <f>_xlfn.XLOOKUP(C390,customers!$A$1:$A$1001,customers!$B$1:$B$1001,,0)</f>
        <v/>
      </c>
      <c r="G390" s="2">
        <f>IF(_xlfn.XLOOKUP(C390,customers!$A$1:$A$1001,customers!$C$1:$C$1001,,0)=0,"",_xlfn.XLOOKUP(C390,customers!$A$1:$A$1001,customers!$C$1:$C$1001,,0))</f>
        <v/>
      </c>
      <c r="H390" s="2">
        <f>_xlfn.XLOOKUP(C390,customers!$A$1:$A$1001,customers!$G$1:$G$1001,,0)</f>
        <v/>
      </c>
      <c r="I390">
        <f>INDEX(products!$A$1:$G$49,MATCH(orders!$D390,products!$A$1:$A$49,0),MATCH(orders!I$1,products!$A$1:$G$1,0))</f>
        <v/>
      </c>
      <c r="J390">
        <f>INDEX(products!$A$1:$G$49,MATCH(orders!$D390,products!$A$1:$A$49,0),MATCH(orders!J$1,products!$A$1:$G$1,0))</f>
        <v/>
      </c>
      <c r="K390" s="4">
        <f>INDEX(products!$A$1:$G$49,MATCH(orders!$D390,products!$A$1:$A$49,0),MATCH(orders!K$1,products!$A$1:$G$1,0))</f>
        <v/>
      </c>
      <c r="L390" s="5">
        <f>INDEX(products!$A$1:$G$49,MATCH(orders!$D390,products!$A$1:$A$49,0),MATCH(orders!L$1,products!$A$1:$G$1,0))</f>
        <v/>
      </c>
      <c r="M390" s="5">
        <f>L390*E390</f>
        <v/>
      </c>
      <c r="N390">
        <f>IF(I390="Rob","Robusta",IF(I390="Exc","Excelsa",IF(I390="Ara","Arabica",IF(I390="Lib","Liberica",""))))</f>
        <v/>
      </c>
      <c r="O390">
        <f>IF(J390="M","Medium",IF(J390="L","Light",IF(J390="D","Dark","")))</f>
        <v/>
      </c>
      <c r="P390">
        <f>_xlfn.XLOOKUP(Orders[[#This Row],[Customer ID]],customers!$A$1:$A$1001,customers!$I$1:$I$1001,,0)</f>
        <v/>
      </c>
    </row>
    <row r="391">
      <c r="A391" s="2" t="inlineStr">
        <is>
          <t>O2528</t>
        </is>
      </c>
      <c r="B391" s="3" t="inlineStr">
        <is>
          <t>2021-05-01</t>
        </is>
      </c>
      <c r="C391" s="2" t="inlineStr">
        <is>
          <t>O2095</t>
        </is>
      </c>
      <c r="D391" t="inlineStr">
        <is>
          <t>O6296</t>
        </is>
      </c>
      <c r="E391" s="2" t="n">
        <v>162</v>
      </c>
      <c r="F391" s="2">
        <f>_xlfn.XLOOKUP(C391,customers!$A$1:$A$1001,customers!$B$1:$B$1001,,0)</f>
        <v/>
      </c>
      <c r="G391" s="2">
        <f>IF(_xlfn.XLOOKUP(C391,customers!$A$1:$A$1001,customers!$C$1:$C$1001,,0)=0,"",_xlfn.XLOOKUP(C391,customers!$A$1:$A$1001,customers!$C$1:$C$1001,,0))</f>
        <v/>
      </c>
      <c r="H391" s="2">
        <f>_xlfn.XLOOKUP(C391,customers!$A$1:$A$1001,customers!$G$1:$G$1001,,0)</f>
        <v/>
      </c>
      <c r="I391">
        <f>INDEX(products!$A$1:$G$49,MATCH(orders!$D391,products!$A$1:$A$49,0),MATCH(orders!I$1,products!$A$1:$G$1,0))</f>
        <v/>
      </c>
      <c r="J391">
        <f>INDEX(products!$A$1:$G$49,MATCH(orders!$D391,products!$A$1:$A$49,0),MATCH(orders!J$1,products!$A$1:$G$1,0))</f>
        <v/>
      </c>
      <c r="K391" s="4">
        <f>INDEX(products!$A$1:$G$49,MATCH(orders!$D391,products!$A$1:$A$49,0),MATCH(orders!K$1,products!$A$1:$G$1,0))</f>
        <v/>
      </c>
      <c r="L391" s="5">
        <f>INDEX(products!$A$1:$G$49,MATCH(orders!$D391,products!$A$1:$A$49,0),MATCH(orders!L$1,products!$A$1:$G$1,0))</f>
        <v/>
      </c>
      <c r="M391" s="5">
        <f>L391*E391</f>
        <v/>
      </c>
      <c r="N391">
        <f>IF(I391="Rob","Robusta",IF(I391="Exc","Excelsa",IF(I391="Ara","Arabica",IF(I391="Lib","Liberica",""))))</f>
        <v/>
      </c>
      <c r="O391">
        <f>IF(J391="M","Medium",IF(J391="L","Light",IF(J391="D","Dark","")))</f>
        <v/>
      </c>
      <c r="P391">
        <f>_xlfn.XLOOKUP(Orders[[#This Row],[Customer ID]],customers!$A$1:$A$1001,customers!$I$1:$I$1001,,0)</f>
        <v/>
      </c>
    </row>
    <row r="392">
      <c r="A392" s="2" t="inlineStr">
        <is>
          <t>O3249</t>
        </is>
      </c>
      <c r="B392" s="3" t="inlineStr">
        <is>
          <t>2024-02-03</t>
        </is>
      </c>
      <c r="C392" s="2" t="inlineStr">
        <is>
          <t>O6255</t>
        </is>
      </c>
      <c r="D392" t="inlineStr">
        <is>
          <t>O1654</t>
        </is>
      </c>
      <c r="E392" s="2" t="n">
        <v>268</v>
      </c>
      <c r="F392" s="2">
        <f>_xlfn.XLOOKUP(C392,customers!$A$1:$A$1001,customers!$B$1:$B$1001,,0)</f>
        <v/>
      </c>
      <c r="G392" s="2">
        <f>IF(_xlfn.XLOOKUP(C392,customers!$A$1:$A$1001,customers!$C$1:$C$1001,,0)=0,"",_xlfn.XLOOKUP(C392,customers!$A$1:$A$1001,customers!$C$1:$C$1001,,0))</f>
        <v/>
      </c>
      <c r="H392" s="2">
        <f>_xlfn.XLOOKUP(C392,customers!$A$1:$A$1001,customers!$G$1:$G$1001,,0)</f>
        <v/>
      </c>
      <c r="I392">
        <f>INDEX(products!$A$1:$G$49,MATCH(orders!$D392,products!$A$1:$A$49,0),MATCH(orders!I$1,products!$A$1:$G$1,0))</f>
        <v/>
      </c>
      <c r="J392">
        <f>INDEX(products!$A$1:$G$49,MATCH(orders!$D392,products!$A$1:$A$49,0),MATCH(orders!J$1,products!$A$1:$G$1,0))</f>
        <v/>
      </c>
      <c r="K392" s="4">
        <f>INDEX(products!$A$1:$G$49,MATCH(orders!$D392,products!$A$1:$A$49,0),MATCH(orders!K$1,products!$A$1:$G$1,0))</f>
        <v/>
      </c>
      <c r="L392" s="5">
        <f>INDEX(products!$A$1:$G$49,MATCH(orders!$D392,products!$A$1:$A$49,0),MATCH(orders!L$1,products!$A$1:$G$1,0))</f>
        <v/>
      </c>
      <c r="M392" s="5">
        <f>L392*E392</f>
        <v/>
      </c>
      <c r="N392">
        <f>IF(I392="Rob","Robusta",IF(I392="Exc","Excelsa",IF(I392="Ara","Arabica",IF(I392="Lib","Liberica",""))))</f>
        <v/>
      </c>
      <c r="O392">
        <f>IF(J392="M","Medium",IF(J392="L","Light",IF(J392="D","Dark","")))</f>
        <v/>
      </c>
      <c r="P392">
        <f>_xlfn.XLOOKUP(Orders[[#This Row],[Customer ID]],customers!$A$1:$A$1001,customers!$I$1:$I$1001,,0)</f>
        <v/>
      </c>
    </row>
    <row r="393">
      <c r="A393" s="2" t="inlineStr">
        <is>
          <t>O5452</t>
        </is>
      </c>
      <c r="B393" s="3" t="inlineStr">
        <is>
          <t>2022-03-14</t>
        </is>
      </c>
      <c r="C393" s="2" t="inlineStr">
        <is>
          <t>O9938</t>
        </is>
      </c>
      <c r="D393" t="inlineStr">
        <is>
          <t>O2067</t>
        </is>
      </c>
      <c r="E393" s="2" t="n">
        <v>109</v>
      </c>
      <c r="F393" s="2">
        <f>_xlfn.XLOOKUP(C393,customers!$A$1:$A$1001,customers!$B$1:$B$1001,,0)</f>
        <v/>
      </c>
      <c r="G393" s="2">
        <f>IF(_xlfn.XLOOKUP(C393,customers!$A$1:$A$1001,customers!$C$1:$C$1001,,0)=0,"",_xlfn.XLOOKUP(C393,customers!$A$1:$A$1001,customers!$C$1:$C$1001,,0))</f>
        <v/>
      </c>
      <c r="H393" s="2">
        <f>_xlfn.XLOOKUP(C393,customers!$A$1:$A$1001,customers!$G$1:$G$1001,,0)</f>
        <v/>
      </c>
      <c r="I393">
        <f>INDEX(products!$A$1:$G$49,MATCH(orders!$D393,products!$A$1:$A$49,0),MATCH(orders!I$1,products!$A$1:$G$1,0))</f>
        <v/>
      </c>
      <c r="J393">
        <f>INDEX(products!$A$1:$G$49,MATCH(orders!$D393,products!$A$1:$A$49,0),MATCH(orders!J$1,products!$A$1:$G$1,0))</f>
        <v/>
      </c>
      <c r="K393" s="4">
        <f>INDEX(products!$A$1:$G$49,MATCH(orders!$D393,products!$A$1:$A$49,0),MATCH(orders!K$1,products!$A$1:$G$1,0))</f>
        <v/>
      </c>
      <c r="L393" s="5">
        <f>INDEX(products!$A$1:$G$49,MATCH(orders!$D393,products!$A$1:$A$49,0),MATCH(orders!L$1,products!$A$1:$G$1,0))</f>
        <v/>
      </c>
      <c r="M393" s="5">
        <f>L393*E393</f>
        <v/>
      </c>
      <c r="N393">
        <f>IF(I393="Rob","Robusta",IF(I393="Exc","Excelsa",IF(I393="Ara","Arabica",IF(I393="Lib","Liberica",""))))</f>
        <v/>
      </c>
      <c r="O393">
        <f>IF(J393="M","Medium",IF(J393="L","Light",IF(J393="D","Dark","")))</f>
        <v/>
      </c>
      <c r="P393">
        <f>_xlfn.XLOOKUP(Orders[[#This Row],[Customer ID]],customers!$A$1:$A$1001,customers!$I$1:$I$1001,,0)</f>
        <v/>
      </c>
    </row>
    <row r="394">
      <c r="A394" s="2" t="inlineStr">
        <is>
          <t>O8257</t>
        </is>
      </c>
      <c r="B394" s="3" t="inlineStr">
        <is>
          <t>2020-12-13</t>
        </is>
      </c>
      <c r="C394" s="2" t="inlineStr">
        <is>
          <t>O2217</t>
        </is>
      </c>
      <c r="D394" t="inlineStr">
        <is>
          <t>O1157</t>
        </is>
      </c>
      <c r="E394" s="2" t="n">
        <v>77</v>
      </c>
      <c r="F394" s="2">
        <f>_xlfn.XLOOKUP(C394,customers!$A$1:$A$1001,customers!$B$1:$B$1001,,0)</f>
        <v/>
      </c>
      <c r="G394" s="2">
        <f>IF(_xlfn.XLOOKUP(C394,customers!$A$1:$A$1001,customers!$C$1:$C$1001,,0)=0,"",_xlfn.XLOOKUP(C394,customers!$A$1:$A$1001,customers!$C$1:$C$1001,,0))</f>
        <v/>
      </c>
      <c r="H394" s="2">
        <f>_xlfn.XLOOKUP(C394,customers!$A$1:$A$1001,customers!$G$1:$G$1001,,0)</f>
        <v/>
      </c>
      <c r="I394">
        <f>INDEX(products!$A$1:$G$49,MATCH(orders!$D394,products!$A$1:$A$49,0),MATCH(orders!I$1,products!$A$1:$G$1,0))</f>
        <v/>
      </c>
      <c r="J394">
        <f>INDEX(products!$A$1:$G$49,MATCH(orders!$D394,products!$A$1:$A$49,0),MATCH(orders!J$1,products!$A$1:$G$1,0))</f>
        <v/>
      </c>
      <c r="K394" s="4">
        <f>INDEX(products!$A$1:$G$49,MATCH(orders!$D394,products!$A$1:$A$49,0),MATCH(orders!K$1,products!$A$1:$G$1,0))</f>
        <v/>
      </c>
      <c r="L394" s="5">
        <f>INDEX(products!$A$1:$G$49,MATCH(orders!$D394,products!$A$1:$A$49,0),MATCH(orders!L$1,products!$A$1:$G$1,0))</f>
        <v/>
      </c>
      <c r="M394" s="5">
        <f>L394*E394</f>
        <v/>
      </c>
      <c r="N394">
        <f>IF(I394="Rob","Robusta",IF(I394="Exc","Excelsa",IF(I394="Ara","Arabica",IF(I394="Lib","Liberica",""))))</f>
        <v/>
      </c>
      <c r="O394">
        <f>IF(J394="M","Medium",IF(J394="L","Light",IF(J394="D","Dark","")))</f>
        <v/>
      </c>
      <c r="P394">
        <f>_xlfn.XLOOKUP(Orders[[#This Row],[Customer ID]],customers!$A$1:$A$1001,customers!$I$1:$I$1001,,0)</f>
        <v/>
      </c>
    </row>
    <row r="395">
      <c r="A395" s="2" t="inlineStr">
        <is>
          <t>O2755</t>
        </is>
      </c>
      <c r="B395" s="3" t="inlineStr">
        <is>
          <t>2021-08-20</t>
        </is>
      </c>
      <c r="C395" s="2" t="inlineStr">
        <is>
          <t>O8044</t>
        </is>
      </c>
      <c r="D395" t="inlineStr">
        <is>
          <t>O3231</t>
        </is>
      </c>
      <c r="E395" s="2" t="n">
        <v>197</v>
      </c>
      <c r="F395" s="2">
        <f>_xlfn.XLOOKUP(C395,customers!$A$1:$A$1001,customers!$B$1:$B$1001,,0)</f>
        <v/>
      </c>
      <c r="G395" s="2">
        <f>IF(_xlfn.XLOOKUP(C395,customers!$A$1:$A$1001,customers!$C$1:$C$1001,,0)=0,"",_xlfn.XLOOKUP(C395,customers!$A$1:$A$1001,customers!$C$1:$C$1001,,0))</f>
        <v/>
      </c>
      <c r="H395" s="2">
        <f>_xlfn.XLOOKUP(C395,customers!$A$1:$A$1001,customers!$G$1:$G$1001,,0)</f>
        <v/>
      </c>
      <c r="I395">
        <f>INDEX(products!$A$1:$G$49,MATCH(orders!$D395,products!$A$1:$A$49,0),MATCH(orders!I$1,products!$A$1:$G$1,0))</f>
        <v/>
      </c>
      <c r="J395">
        <f>INDEX(products!$A$1:$G$49,MATCH(orders!$D395,products!$A$1:$A$49,0),MATCH(orders!J$1,products!$A$1:$G$1,0))</f>
        <v/>
      </c>
      <c r="K395" s="4">
        <f>INDEX(products!$A$1:$G$49,MATCH(orders!$D395,products!$A$1:$A$49,0),MATCH(orders!K$1,products!$A$1:$G$1,0))</f>
        <v/>
      </c>
      <c r="L395" s="5">
        <f>INDEX(products!$A$1:$G$49,MATCH(orders!$D395,products!$A$1:$A$49,0),MATCH(orders!L$1,products!$A$1:$G$1,0))</f>
        <v/>
      </c>
      <c r="M395" s="5">
        <f>L395*E395</f>
        <v/>
      </c>
      <c r="N395">
        <f>IF(I395="Rob","Robusta",IF(I395="Exc","Excelsa",IF(I395="Ara","Arabica",IF(I395="Lib","Liberica",""))))</f>
        <v/>
      </c>
      <c r="O395">
        <f>IF(J395="M","Medium",IF(J395="L","Light",IF(J395="D","Dark","")))</f>
        <v/>
      </c>
      <c r="P395">
        <f>_xlfn.XLOOKUP(Orders[[#This Row],[Customer ID]],customers!$A$1:$A$1001,customers!$I$1:$I$1001,,0)</f>
        <v/>
      </c>
    </row>
    <row r="396">
      <c r="A396" s="2" t="inlineStr">
        <is>
          <t>O5826</t>
        </is>
      </c>
      <c r="B396" s="3" t="inlineStr">
        <is>
          <t>2021-04-13</t>
        </is>
      </c>
      <c r="C396" s="2" t="inlineStr">
        <is>
          <t>O1431</t>
        </is>
      </c>
      <c r="D396" t="inlineStr">
        <is>
          <t>O2639</t>
        </is>
      </c>
      <c r="E396" s="2" t="n">
        <v>384</v>
      </c>
      <c r="F396" s="2">
        <f>_xlfn.XLOOKUP(C396,customers!$A$1:$A$1001,customers!$B$1:$B$1001,,0)</f>
        <v/>
      </c>
      <c r="G396" s="2">
        <f>IF(_xlfn.XLOOKUP(C396,customers!$A$1:$A$1001,customers!$C$1:$C$1001,,0)=0,"",_xlfn.XLOOKUP(C396,customers!$A$1:$A$1001,customers!$C$1:$C$1001,,0))</f>
        <v/>
      </c>
      <c r="H396" s="2">
        <f>_xlfn.XLOOKUP(C396,customers!$A$1:$A$1001,customers!$G$1:$G$1001,,0)</f>
        <v/>
      </c>
      <c r="I396">
        <f>INDEX(products!$A$1:$G$49,MATCH(orders!$D396,products!$A$1:$A$49,0),MATCH(orders!I$1,products!$A$1:$G$1,0))</f>
        <v/>
      </c>
      <c r="J396">
        <f>INDEX(products!$A$1:$G$49,MATCH(orders!$D396,products!$A$1:$A$49,0),MATCH(orders!J$1,products!$A$1:$G$1,0))</f>
        <v/>
      </c>
      <c r="K396" s="4">
        <f>INDEX(products!$A$1:$G$49,MATCH(orders!$D396,products!$A$1:$A$49,0),MATCH(orders!K$1,products!$A$1:$G$1,0))</f>
        <v/>
      </c>
      <c r="L396" s="5">
        <f>INDEX(products!$A$1:$G$49,MATCH(orders!$D396,products!$A$1:$A$49,0),MATCH(orders!L$1,products!$A$1:$G$1,0))</f>
        <v/>
      </c>
      <c r="M396" s="5">
        <f>L396*E396</f>
        <v/>
      </c>
      <c r="N396">
        <f>IF(I396="Rob","Robusta",IF(I396="Exc","Excelsa",IF(I396="Ara","Arabica",IF(I396="Lib","Liberica",""))))</f>
        <v/>
      </c>
      <c r="O396">
        <f>IF(J396="M","Medium",IF(J396="L","Light",IF(J396="D","Dark","")))</f>
        <v/>
      </c>
      <c r="P396">
        <f>_xlfn.XLOOKUP(Orders[[#This Row],[Customer ID]],customers!$A$1:$A$1001,customers!$I$1:$I$1001,,0)</f>
        <v/>
      </c>
    </row>
    <row r="397">
      <c r="A397" s="2" t="inlineStr">
        <is>
          <t>O9311</t>
        </is>
      </c>
      <c r="B397" s="3" t="inlineStr">
        <is>
          <t>2022-04-25</t>
        </is>
      </c>
      <c r="C397" s="2" t="inlineStr">
        <is>
          <t>O5228</t>
        </is>
      </c>
      <c r="D397" t="inlineStr">
        <is>
          <t>O6704</t>
        </is>
      </c>
      <c r="E397" s="2" t="n">
        <v>496</v>
      </c>
      <c r="F397" s="2">
        <f>_xlfn.XLOOKUP(C397,customers!$A$1:$A$1001,customers!$B$1:$B$1001,,0)</f>
        <v/>
      </c>
      <c r="G397" s="2">
        <f>IF(_xlfn.XLOOKUP(C397,customers!$A$1:$A$1001,customers!$C$1:$C$1001,,0)=0,"",_xlfn.XLOOKUP(C397,customers!$A$1:$A$1001,customers!$C$1:$C$1001,,0))</f>
        <v/>
      </c>
      <c r="H397" s="2">
        <f>_xlfn.XLOOKUP(C397,customers!$A$1:$A$1001,customers!$G$1:$G$1001,,0)</f>
        <v/>
      </c>
      <c r="I397">
        <f>INDEX(products!$A$1:$G$49,MATCH(orders!$D397,products!$A$1:$A$49,0),MATCH(orders!I$1,products!$A$1:$G$1,0))</f>
        <v/>
      </c>
      <c r="J397">
        <f>INDEX(products!$A$1:$G$49,MATCH(orders!$D397,products!$A$1:$A$49,0),MATCH(orders!J$1,products!$A$1:$G$1,0))</f>
        <v/>
      </c>
      <c r="K397" s="4">
        <f>INDEX(products!$A$1:$G$49,MATCH(orders!$D397,products!$A$1:$A$49,0),MATCH(orders!K$1,products!$A$1:$G$1,0))</f>
        <v/>
      </c>
      <c r="L397" s="5">
        <f>INDEX(products!$A$1:$G$49,MATCH(orders!$D397,products!$A$1:$A$49,0),MATCH(orders!L$1,products!$A$1:$G$1,0))</f>
        <v/>
      </c>
      <c r="M397" s="5">
        <f>L397*E397</f>
        <v/>
      </c>
      <c r="N397">
        <f>IF(I397="Rob","Robusta",IF(I397="Exc","Excelsa",IF(I397="Ara","Arabica",IF(I397="Lib","Liberica",""))))</f>
        <v/>
      </c>
      <c r="O397">
        <f>IF(J397="M","Medium",IF(J397="L","Light",IF(J397="D","Dark","")))</f>
        <v/>
      </c>
      <c r="P397">
        <f>_xlfn.XLOOKUP(Orders[[#This Row],[Customer ID]],customers!$A$1:$A$1001,customers!$I$1:$I$1001,,0)</f>
        <v/>
      </c>
    </row>
    <row r="398">
      <c r="A398" s="2" t="inlineStr">
        <is>
          <t>O3649</t>
        </is>
      </c>
      <c r="B398" s="3" t="inlineStr">
        <is>
          <t>2025-04-20</t>
        </is>
      </c>
      <c r="C398" s="2" t="inlineStr">
        <is>
          <t>O7280</t>
        </is>
      </c>
      <c r="D398" t="inlineStr">
        <is>
          <t>O7344</t>
        </is>
      </c>
      <c r="E398" s="2" t="n">
        <v>227</v>
      </c>
      <c r="F398" s="2">
        <f>_xlfn.XLOOKUP(C398,customers!$A$1:$A$1001,customers!$B$1:$B$1001,,0)</f>
        <v/>
      </c>
      <c r="G398" s="2">
        <f>IF(_xlfn.XLOOKUP(C398,customers!$A$1:$A$1001,customers!$C$1:$C$1001,,0)=0,"",_xlfn.XLOOKUP(C398,customers!$A$1:$A$1001,customers!$C$1:$C$1001,,0))</f>
        <v/>
      </c>
      <c r="H398" s="2">
        <f>_xlfn.XLOOKUP(C398,customers!$A$1:$A$1001,customers!$G$1:$G$1001,,0)</f>
        <v/>
      </c>
      <c r="I398">
        <f>INDEX(products!$A$1:$G$49,MATCH(orders!$D398,products!$A$1:$A$49,0),MATCH(orders!I$1,products!$A$1:$G$1,0))</f>
        <v/>
      </c>
      <c r="J398">
        <f>INDEX(products!$A$1:$G$49,MATCH(orders!$D398,products!$A$1:$A$49,0),MATCH(orders!J$1,products!$A$1:$G$1,0))</f>
        <v/>
      </c>
      <c r="K398" s="4">
        <f>INDEX(products!$A$1:$G$49,MATCH(orders!$D398,products!$A$1:$A$49,0),MATCH(orders!K$1,products!$A$1:$G$1,0))</f>
        <v/>
      </c>
      <c r="L398" s="5">
        <f>INDEX(products!$A$1:$G$49,MATCH(orders!$D398,products!$A$1:$A$49,0),MATCH(orders!L$1,products!$A$1:$G$1,0))</f>
        <v/>
      </c>
      <c r="M398" s="5">
        <f>L398*E398</f>
        <v/>
      </c>
      <c r="N398">
        <f>IF(I398="Rob","Robusta",IF(I398="Exc","Excelsa",IF(I398="Ara","Arabica",IF(I398="Lib","Liberica",""))))</f>
        <v/>
      </c>
      <c r="O398">
        <f>IF(J398="M","Medium",IF(J398="L","Light",IF(J398="D","Dark","")))</f>
        <v/>
      </c>
      <c r="P398">
        <f>_xlfn.XLOOKUP(Orders[[#This Row],[Customer ID]],customers!$A$1:$A$1001,customers!$I$1:$I$1001,,0)</f>
        <v/>
      </c>
    </row>
    <row r="399">
      <c r="A399" s="2" t="inlineStr">
        <is>
          <t>O9364</t>
        </is>
      </c>
      <c r="B399" s="3" t="inlineStr">
        <is>
          <t>2025-03-14</t>
        </is>
      </c>
      <c r="C399" s="2" t="inlineStr">
        <is>
          <t>O5120</t>
        </is>
      </c>
      <c r="D399" t="inlineStr">
        <is>
          <t>O8730</t>
        </is>
      </c>
      <c r="E399" s="2" t="n">
        <v>186</v>
      </c>
      <c r="F399" s="2">
        <f>_xlfn.XLOOKUP(C399,customers!$A$1:$A$1001,customers!$B$1:$B$1001,,0)</f>
        <v/>
      </c>
      <c r="G399" s="2">
        <f>IF(_xlfn.XLOOKUP(C399,customers!$A$1:$A$1001,customers!$C$1:$C$1001,,0)=0,"",_xlfn.XLOOKUP(C399,customers!$A$1:$A$1001,customers!$C$1:$C$1001,,0))</f>
        <v/>
      </c>
      <c r="H399" s="2">
        <f>_xlfn.XLOOKUP(C399,customers!$A$1:$A$1001,customers!$G$1:$G$1001,,0)</f>
        <v/>
      </c>
      <c r="I399">
        <f>INDEX(products!$A$1:$G$49,MATCH(orders!$D399,products!$A$1:$A$49,0),MATCH(orders!I$1,products!$A$1:$G$1,0))</f>
        <v/>
      </c>
      <c r="J399">
        <f>INDEX(products!$A$1:$G$49,MATCH(orders!$D399,products!$A$1:$A$49,0),MATCH(orders!J$1,products!$A$1:$G$1,0))</f>
        <v/>
      </c>
      <c r="K399" s="4">
        <f>INDEX(products!$A$1:$G$49,MATCH(orders!$D399,products!$A$1:$A$49,0),MATCH(orders!K$1,products!$A$1:$G$1,0))</f>
        <v/>
      </c>
      <c r="L399" s="5">
        <f>INDEX(products!$A$1:$G$49,MATCH(orders!$D399,products!$A$1:$A$49,0),MATCH(orders!L$1,products!$A$1:$G$1,0))</f>
        <v/>
      </c>
      <c r="M399" s="5">
        <f>L399*E399</f>
        <v/>
      </c>
      <c r="N399">
        <f>IF(I399="Rob","Robusta",IF(I399="Exc","Excelsa",IF(I399="Ara","Arabica",IF(I399="Lib","Liberica",""))))</f>
        <v/>
      </c>
      <c r="O399">
        <f>IF(J399="M","Medium",IF(J399="L","Light",IF(J399="D","Dark","")))</f>
        <v/>
      </c>
      <c r="P399">
        <f>_xlfn.XLOOKUP(Orders[[#This Row],[Customer ID]],customers!$A$1:$A$1001,customers!$I$1:$I$1001,,0)</f>
        <v/>
      </c>
    </row>
    <row r="400">
      <c r="A400" s="2" t="inlineStr">
        <is>
          <t>O2542</t>
        </is>
      </c>
      <c r="B400" s="3" t="inlineStr">
        <is>
          <t>2020-10-03</t>
        </is>
      </c>
      <c r="C400" s="2" t="inlineStr">
        <is>
          <t>O2231</t>
        </is>
      </c>
      <c r="D400" t="inlineStr">
        <is>
          <t>O1080</t>
        </is>
      </c>
      <c r="E400" s="2" t="n">
        <v>171</v>
      </c>
      <c r="F400" s="2">
        <f>_xlfn.XLOOKUP(C400,customers!$A$1:$A$1001,customers!$B$1:$B$1001,,0)</f>
        <v/>
      </c>
      <c r="G400" s="2">
        <f>IF(_xlfn.XLOOKUP(C400,customers!$A$1:$A$1001,customers!$C$1:$C$1001,,0)=0,"",_xlfn.XLOOKUP(C400,customers!$A$1:$A$1001,customers!$C$1:$C$1001,,0))</f>
        <v/>
      </c>
      <c r="H400" s="2">
        <f>_xlfn.XLOOKUP(C400,customers!$A$1:$A$1001,customers!$G$1:$G$1001,,0)</f>
        <v/>
      </c>
      <c r="I400">
        <f>INDEX(products!$A$1:$G$49,MATCH(orders!$D400,products!$A$1:$A$49,0),MATCH(orders!I$1,products!$A$1:$G$1,0))</f>
        <v/>
      </c>
      <c r="J400">
        <f>INDEX(products!$A$1:$G$49,MATCH(orders!$D400,products!$A$1:$A$49,0),MATCH(orders!J$1,products!$A$1:$G$1,0))</f>
        <v/>
      </c>
      <c r="K400" s="4">
        <f>INDEX(products!$A$1:$G$49,MATCH(orders!$D400,products!$A$1:$A$49,0),MATCH(orders!K$1,products!$A$1:$G$1,0))</f>
        <v/>
      </c>
      <c r="L400" s="5">
        <f>INDEX(products!$A$1:$G$49,MATCH(orders!$D400,products!$A$1:$A$49,0),MATCH(orders!L$1,products!$A$1:$G$1,0))</f>
        <v/>
      </c>
      <c r="M400" s="5">
        <f>L400*E400</f>
        <v/>
      </c>
      <c r="N400">
        <f>IF(I400="Rob","Robusta",IF(I400="Exc","Excelsa",IF(I400="Ara","Arabica",IF(I400="Lib","Liberica",""))))</f>
        <v/>
      </c>
      <c r="O400">
        <f>IF(J400="M","Medium",IF(J400="L","Light",IF(J400="D","Dark","")))</f>
        <v/>
      </c>
      <c r="P400">
        <f>_xlfn.XLOOKUP(Orders[[#This Row],[Customer ID]],customers!$A$1:$A$1001,customers!$I$1:$I$1001,,0)</f>
        <v/>
      </c>
    </row>
    <row r="401">
      <c r="A401" s="2" t="inlineStr">
        <is>
          <t>O1184</t>
        </is>
      </c>
      <c r="B401" s="3" t="inlineStr">
        <is>
          <t>2021-02-26</t>
        </is>
      </c>
      <c r="C401" s="2" t="inlineStr">
        <is>
          <t>O1278</t>
        </is>
      </c>
      <c r="D401" t="inlineStr">
        <is>
          <t>O3705</t>
        </is>
      </c>
      <c r="E401" s="2" t="n">
        <v>174</v>
      </c>
      <c r="F401" s="2">
        <f>_xlfn.XLOOKUP(C401,customers!$A$1:$A$1001,customers!$B$1:$B$1001,,0)</f>
        <v/>
      </c>
      <c r="G401" s="2">
        <f>IF(_xlfn.XLOOKUP(C401,customers!$A$1:$A$1001,customers!$C$1:$C$1001,,0)=0,"",_xlfn.XLOOKUP(C401,customers!$A$1:$A$1001,customers!$C$1:$C$1001,,0))</f>
        <v/>
      </c>
      <c r="H401" s="2">
        <f>_xlfn.XLOOKUP(C401,customers!$A$1:$A$1001,customers!$G$1:$G$1001,,0)</f>
        <v/>
      </c>
      <c r="I401">
        <f>INDEX(products!$A$1:$G$49,MATCH(orders!$D401,products!$A$1:$A$49,0),MATCH(orders!I$1,products!$A$1:$G$1,0))</f>
        <v/>
      </c>
      <c r="J401">
        <f>INDEX(products!$A$1:$G$49,MATCH(orders!$D401,products!$A$1:$A$49,0),MATCH(orders!J$1,products!$A$1:$G$1,0))</f>
        <v/>
      </c>
      <c r="K401" s="4">
        <f>INDEX(products!$A$1:$G$49,MATCH(orders!$D401,products!$A$1:$A$49,0),MATCH(orders!K$1,products!$A$1:$G$1,0))</f>
        <v/>
      </c>
      <c r="L401" s="5">
        <f>INDEX(products!$A$1:$G$49,MATCH(orders!$D401,products!$A$1:$A$49,0),MATCH(orders!L$1,products!$A$1:$G$1,0))</f>
        <v/>
      </c>
      <c r="M401" s="5">
        <f>L401*E401</f>
        <v/>
      </c>
      <c r="N401">
        <f>IF(I401="Rob","Robusta",IF(I401="Exc","Excelsa",IF(I401="Ara","Arabica",IF(I401="Lib","Liberica",""))))</f>
        <v/>
      </c>
      <c r="O401">
        <f>IF(J401="M","Medium",IF(J401="L","Light",IF(J401="D","Dark","")))</f>
        <v/>
      </c>
      <c r="P401">
        <f>_xlfn.XLOOKUP(Orders[[#This Row],[Customer ID]],customers!$A$1:$A$1001,customers!$I$1:$I$1001,,0)</f>
        <v/>
      </c>
    </row>
    <row r="402">
      <c r="A402" s="2" t="inlineStr">
        <is>
          <t>O6298</t>
        </is>
      </c>
      <c r="B402" s="3" t="inlineStr">
        <is>
          <t>2025-06-13</t>
        </is>
      </c>
      <c r="C402" s="2" t="inlineStr">
        <is>
          <t>O5823</t>
        </is>
      </c>
      <c r="D402" t="inlineStr">
        <is>
          <t>O1469</t>
        </is>
      </c>
      <c r="E402" s="2" t="n">
        <v>192</v>
      </c>
      <c r="F402" s="2">
        <f>_xlfn.XLOOKUP(C402,customers!$A$1:$A$1001,customers!$B$1:$B$1001,,0)</f>
        <v/>
      </c>
      <c r="G402" s="2">
        <f>IF(_xlfn.XLOOKUP(C402,customers!$A$1:$A$1001,customers!$C$1:$C$1001,,0)=0,"",_xlfn.XLOOKUP(C402,customers!$A$1:$A$1001,customers!$C$1:$C$1001,,0))</f>
        <v/>
      </c>
      <c r="H402" s="2">
        <f>_xlfn.XLOOKUP(C402,customers!$A$1:$A$1001,customers!$G$1:$G$1001,,0)</f>
        <v/>
      </c>
      <c r="I402">
        <f>INDEX(products!$A$1:$G$49,MATCH(orders!$D402,products!$A$1:$A$49,0),MATCH(orders!I$1,products!$A$1:$G$1,0))</f>
        <v/>
      </c>
      <c r="J402">
        <f>INDEX(products!$A$1:$G$49,MATCH(orders!$D402,products!$A$1:$A$49,0),MATCH(orders!J$1,products!$A$1:$G$1,0))</f>
        <v/>
      </c>
      <c r="K402" s="4">
        <f>INDEX(products!$A$1:$G$49,MATCH(orders!$D402,products!$A$1:$A$49,0),MATCH(orders!K$1,products!$A$1:$G$1,0))</f>
        <v/>
      </c>
      <c r="L402" s="5">
        <f>INDEX(products!$A$1:$G$49,MATCH(orders!$D402,products!$A$1:$A$49,0),MATCH(orders!L$1,products!$A$1:$G$1,0))</f>
        <v/>
      </c>
      <c r="M402" s="5">
        <f>L402*E402</f>
        <v/>
      </c>
      <c r="N402">
        <f>IF(I402="Rob","Robusta",IF(I402="Exc","Excelsa",IF(I402="Ara","Arabica",IF(I402="Lib","Liberica",""))))</f>
        <v/>
      </c>
      <c r="O402">
        <f>IF(J402="M","Medium",IF(J402="L","Light",IF(J402="D","Dark","")))</f>
        <v/>
      </c>
      <c r="P402">
        <f>_xlfn.XLOOKUP(Orders[[#This Row],[Customer ID]],customers!$A$1:$A$1001,customers!$I$1:$I$1001,,0)</f>
        <v/>
      </c>
    </row>
    <row r="403">
      <c r="A403" s="2" t="inlineStr">
        <is>
          <t>O7325</t>
        </is>
      </c>
      <c r="B403" s="3" t="inlineStr">
        <is>
          <t>2020-01-12</t>
        </is>
      </c>
      <c r="C403" s="2" t="inlineStr">
        <is>
          <t>O7546</t>
        </is>
      </c>
      <c r="D403" t="inlineStr">
        <is>
          <t>O8558</t>
        </is>
      </c>
      <c r="E403" s="2" t="n">
        <v>408</v>
      </c>
      <c r="F403" s="2">
        <f>_xlfn.XLOOKUP(C403,customers!$A$1:$A$1001,customers!$B$1:$B$1001,,0)</f>
        <v/>
      </c>
      <c r="G403" s="2">
        <f>IF(_xlfn.XLOOKUP(C403,customers!$A$1:$A$1001,customers!$C$1:$C$1001,,0)=0,"",_xlfn.XLOOKUP(C403,customers!$A$1:$A$1001,customers!$C$1:$C$1001,,0))</f>
        <v/>
      </c>
      <c r="H403" s="2">
        <f>_xlfn.XLOOKUP(C403,customers!$A$1:$A$1001,customers!$G$1:$G$1001,,0)</f>
        <v/>
      </c>
      <c r="I403">
        <f>INDEX(products!$A$1:$G$49,MATCH(orders!$D403,products!$A$1:$A$49,0),MATCH(orders!I$1,products!$A$1:$G$1,0))</f>
        <v/>
      </c>
      <c r="J403">
        <f>INDEX(products!$A$1:$G$49,MATCH(orders!$D403,products!$A$1:$A$49,0),MATCH(orders!J$1,products!$A$1:$G$1,0))</f>
        <v/>
      </c>
      <c r="K403" s="4">
        <f>INDEX(products!$A$1:$G$49,MATCH(orders!$D403,products!$A$1:$A$49,0),MATCH(orders!K$1,products!$A$1:$G$1,0))</f>
        <v/>
      </c>
      <c r="L403" s="5">
        <f>INDEX(products!$A$1:$G$49,MATCH(orders!$D403,products!$A$1:$A$49,0),MATCH(orders!L$1,products!$A$1:$G$1,0))</f>
        <v/>
      </c>
      <c r="M403" s="5">
        <f>L403*E403</f>
        <v/>
      </c>
      <c r="N403">
        <f>IF(I403="Rob","Robusta",IF(I403="Exc","Excelsa",IF(I403="Ara","Arabica",IF(I403="Lib","Liberica",""))))</f>
        <v/>
      </c>
      <c r="O403">
        <f>IF(J403="M","Medium",IF(J403="L","Light",IF(J403="D","Dark","")))</f>
        <v/>
      </c>
      <c r="P403">
        <f>_xlfn.XLOOKUP(Orders[[#This Row],[Customer ID]],customers!$A$1:$A$1001,customers!$I$1:$I$1001,,0)</f>
        <v/>
      </c>
    </row>
    <row r="404">
      <c r="A404" s="2" t="inlineStr">
        <is>
          <t>O3836</t>
        </is>
      </c>
      <c r="B404" s="3" t="inlineStr">
        <is>
          <t>2023-03-03</t>
        </is>
      </c>
      <c r="C404" s="2" t="inlineStr">
        <is>
          <t>O6599</t>
        </is>
      </c>
      <c r="D404" t="inlineStr">
        <is>
          <t>O9193</t>
        </is>
      </c>
      <c r="E404" s="2" t="n">
        <v>304</v>
      </c>
      <c r="F404" s="2">
        <f>_xlfn.XLOOKUP(C404,customers!$A$1:$A$1001,customers!$B$1:$B$1001,,0)</f>
        <v/>
      </c>
      <c r="G404" s="2">
        <f>IF(_xlfn.XLOOKUP(C404,customers!$A$1:$A$1001,customers!$C$1:$C$1001,,0)=0,"",_xlfn.XLOOKUP(C404,customers!$A$1:$A$1001,customers!$C$1:$C$1001,,0))</f>
        <v/>
      </c>
      <c r="H404" s="2">
        <f>_xlfn.XLOOKUP(C404,customers!$A$1:$A$1001,customers!$G$1:$G$1001,,0)</f>
        <v/>
      </c>
      <c r="I404">
        <f>INDEX(products!$A$1:$G$49,MATCH(orders!$D404,products!$A$1:$A$49,0),MATCH(orders!I$1,products!$A$1:$G$1,0))</f>
        <v/>
      </c>
      <c r="J404">
        <f>INDEX(products!$A$1:$G$49,MATCH(orders!$D404,products!$A$1:$A$49,0),MATCH(orders!J$1,products!$A$1:$G$1,0))</f>
        <v/>
      </c>
      <c r="K404" s="4">
        <f>INDEX(products!$A$1:$G$49,MATCH(orders!$D404,products!$A$1:$A$49,0),MATCH(orders!K$1,products!$A$1:$G$1,0))</f>
        <v/>
      </c>
      <c r="L404" s="5">
        <f>INDEX(products!$A$1:$G$49,MATCH(orders!$D404,products!$A$1:$A$49,0),MATCH(orders!L$1,products!$A$1:$G$1,0))</f>
        <v/>
      </c>
      <c r="M404" s="5">
        <f>L404*E404</f>
        <v/>
      </c>
      <c r="N404">
        <f>IF(I404="Rob","Robusta",IF(I404="Exc","Excelsa",IF(I404="Ara","Arabica",IF(I404="Lib","Liberica",""))))</f>
        <v/>
      </c>
      <c r="O404">
        <f>IF(J404="M","Medium",IF(J404="L","Light",IF(J404="D","Dark","")))</f>
        <v/>
      </c>
      <c r="P404">
        <f>_xlfn.XLOOKUP(Orders[[#This Row],[Customer ID]],customers!$A$1:$A$1001,customers!$I$1:$I$1001,,0)</f>
        <v/>
      </c>
    </row>
    <row r="405">
      <c r="A405" s="2" t="inlineStr">
        <is>
          <t>O7157</t>
        </is>
      </c>
      <c r="B405" s="3" t="inlineStr">
        <is>
          <t>2021-09-20</t>
        </is>
      </c>
      <c r="C405" s="2" t="inlineStr">
        <is>
          <t>O8396</t>
        </is>
      </c>
      <c r="D405" t="inlineStr">
        <is>
          <t>O5411</t>
        </is>
      </c>
      <c r="E405" s="2" t="n">
        <v>382</v>
      </c>
      <c r="F405" s="2">
        <f>_xlfn.XLOOKUP(C405,customers!$A$1:$A$1001,customers!$B$1:$B$1001,,0)</f>
        <v/>
      </c>
      <c r="G405" s="2">
        <f>IF(_xlfn.XLOOKUP(C405,customers!$A$1:$A$1001,customers!$C$1:$C$1001,,0)=0,"",_xlfn.XLOOKUP(C405,customers!$A$1:$A$1001,customers!$C$1:$C$1001,,0))</f>
        <v/>
      </c>
      <c r="H405" s="2">
        <f>_xlfn.XLOOKUP(C405,customers!$A$1:$A$1001,customers!$G$1:$G$1001,,0)</f>
        <v/>
      </c>
      <c r="I405">
        <f>INDEX(products!$A$1:$G$49,MATCH(orders!$D405,products!$A$1:$A$49,0),MATCH(orders!I$1,products!$A$1:$G$1,0))</f>
        <v/>
      </c>
      <c r="J405">
        <f>INDEX(products!$A$1:$G$49,MATCH(orders!$D405,products!$A$1:$A$49,0),MATCH(orders!J$1,products!$A$1:$G$1,0))</f>
        <v/>
      </c>
      <c r="K405" s="4">
        <f>INDEX(products!$A$1:$G$49,MATCH(orders!$D405,products!$A$1:$A$49,0),MATCH(orders!K$1,products!$A$1:$G$1,0))</f>
        <v/>
      </c>
      <c r="L405" s="5">
        <f>INDEX(products!$A$1:$G$49,MATCH(orders!$D405,products!$A$1:$A$49,0),MATCH(orders!L$1,products!$A$1:$G$1,0))</f>
        <v/>
      </c>
      <c r="M405" s="5">
        <f>L405*E405</f>
        <v/>
      </c>
      <c r="N405">
        <f>IF(I405="Rob","Robusta",IF(I405="Exc","Excelsa",IF(I405="Ara","Arabica",IF(I405="Lib","Liberica",""))))</f>
        <v/>
      </c>
      <c r="O405">
        <f>IF(J405="M","Medium",IF(J405="L","Light",IF(J405="D","Dark","")))</f>
        <v/>
      </c>
      <c r="P405">
        <f>_xlfn.XLOOKUP(Orders[[#This Row],[Customer ID]],customers!$A$1:$A$1001,customers!$I$1:$I$1001,,0)</f>
        <v/>
      </c>
    </row>
    <row r="406">
      <c r="A406" s="2" t="inlineStr">
        <is>
          <t>O7082</t>
        </is>
      </c>
      <c r="B406" s="3" t="inlineStr">
        <is>
          <t>2021-06-21</t>
        </is>
      </c>
      <c r="C406" s="2" t="inlineStr">
        <is>
          <t>O4591</t>
        </is>
      </c>
      <c r="D406" t="inlineStr">
        <is>
          <t>O8765</t>
        </is>
      </c>
      <c r="E406" s="2" t="n">
        <v>426</v>
      </c>
      <c r="F406" s="2">
        <f>_xlfn.XLOOKUP(C406,customers!$A$1:$A$1001,customers!$B$1:$B$1001,,0)</f>
        <v/>
      </c>
      <c r="G406" s="2">
        <f>IF(_xlfn.XLOOKUP(C406,customers!$A$1:$A$1001,customers!$C$1:$C$1001,,0)=0,"",_xlfn.XLOOKUP(C406,customers!$A$1:$A$1001,customers!$C$1:$C$1001,,0))</f>
        <v/>
      </c>
      <c r="H406" s="2">
        <f>_xlfn.XLOOKUP(C406,customers!$A$1:$A$1001,customers!$G$1:$G$1001,,0)</f>
        <v/>
      </c>
      <c r="I406">
        <f>INDEX(products!$A$1:$G$49,MATCH(orders!$D406,products!$A$1:$A$49,0),MATCH(orders!I$1,products!$A$1:$G$1,0))</f>
        <v/>
      </c>
      <c r="J406">
        <f>INDEX(products!$A$1:$G$49,MATCH(orders!$D406,products!$A$1:$A$49,0),MATCH(orders!J$1,products!$A$1:$G$1,0))</f>
        <v/>
      </c>
      <c r="K406" s="4">
        <f>INDEX(products!$A$1:$G$49,MATCH(orders!$D406,products!$A$1:$A$49,0),MATCH(orders!K$1,products!$A$1:$G$1,0))</f>
        <v/>
      </c>
      <c r="L406" s="5">
        <f>INDEX(products!$A$1:$G$49,MATCH(orders!$D406,products!$A$1:$A$49,0),MATCH(orders!L$1,products!$A$1:$G$1,0))</f>
        <v/>
      </c>
      <c r="M406" s="5">
        <f>L406*E406</f>
        <v/>
      </c>
      <c r="N406">
        <f>IF(I406="Rob","Robusta",IF(I406="Exc","Excelsa",IF(I406="Ara","Arabica",IF(I406="Lib","Liberica",""))))</f>
        <v/>
      </c>
      <c r="O406">
        <f>IF(J406="M","Medium",IF(J406="L","Light",IF(J406="D","Dark","")))</f>
        <v/>
      </c>
      <c r="P406">
        <f>_xlfn.XLOOKUP(Orders[[#This Row],[Customer ID]],customers!$A$1:$A$1001,customers!$I$1:$I$1001,,0)</f>
        <v/>
      </c>
    </row>
    <row r="407">
      <c r="A407" s="2" t="inlineStr">
        <is>
          <t>O6751</t>
        </is>
      </c>
      <c r="B407" s="3" t="inlineStr">
        <is>
          <t>2021-06-29</t>
        </is>
      </c>
      <c r="C407" s="2" t="inlineStr">
        <is>
          <t>O7759</t>
        </is>
      </c>
      <c r="D407" t="inlineStr">
        <is>
          <t>O4164</t>
        </is>
      </c>
      <c r="E407" s="2" t="n">
        <v>261</v>
      </c>
      <c r="F407" s="2">
        <f>_xlfn.XLOOKUP(C407,customers!$A$1:$A$1001,customers!$B$1:$B$1001,,0)</f>
        <v/>
      </c>
      <c r="G407" s="2">
        <f>IF(_xlfn.XLOOKUP(C407,customers!$A$1:$A$1001,customers!$C$1:$C$1001,,0)=0,"",_xlfn.XLOOKUP(C407,customers!$A$1:$A$1001,customers!$C$1:$C$1001,,0))</f>
        <v/>
      </c>
      <c r="H407" s="2">
        <f>_xlfn.XLOOKUP(C407,customers!$A$1:$A$1001,customers!$G$1:$G$1001,,0)</f>
        <v/>
      </c>
      <c r="I407">
        <f>INDEX(products!$A$1:$G$49,MATCH(orders!$D407,products!$A$1:$A$49,0),MATCH(orders!I$1,products!$A$1:$G$1,0))</f>
        <v/>
      </c>
      <c r="J407">
        <f>INDEX(products!$A$1:$G$49,MATCH(orders!$D407,products!$A$1:$A$49,0),MATCH(orders!J$1,products!$A$1:$G$1,0))</f>
        <v/>
      </c>
      <c r="K407" s="4">
        <f>INDEX(products!$A$1:$G$49,MATCH(orders!$D407,products!$A$1:$A$49,0),MATCH(orders!K$1,products!$A$1:$G$1,0))</f>
        <v/>
      </c>
      <c r="L407" s="5">
        <f>INDEX(products!$A$1:$G$49,MATCH(orders!$D407,products!$A$1:$A$49,0),MATCH(orders!L$1,products!$A$1:$G$1,0))</f>
        <v/>
      </c>
      <c r="M407" s="5">
        <f>L407*E407</f>
        <v/>
      </c>
      <c r="N407">
        <f>IF(I407="Rob","Robusta",IF(I407="Exc","Excelsa",IF(I407="Ara","Arabica",IF(I407="Lib","Liberica",""))))</f>
        <v/>
      </c>
      <c r="O407">
        <f>IF(J407="M","Medium",IF(J407="L","Light",IF(J407="D","Dark","")))</f>
        <v/>
      </c>
      <c r="P407">
        <f>_xlfn.XLOOKUP(Orders[[#This Row],[Customer ID]],customers!$A$1:$A$1001,customers!$I$1:$I$1001,,0)</f>
        <v/>
      </c>
    </row>
    <row r="408">
      <c r="A408" s="2" t="inlineStr">
        <is>
          <t>O9507</t>
        </is>
      </c>
      <c r="B408" s="3" t="inlineStr">
        <is>
          <t>2024-07-09</t>
        </is>
      </c>
      <c r="C408" s="2" t="inlineStr">
        <is>
          <t>O4085</t>
        </is>
      </c>
      <c r="D408" t="inlineStr">
        <is>
          <t>O4785</t>
        </is>
      </c>
      <c r="E408" s="2" t="n">
        <v>347</v>
      </c>
      <c r="F408" s="2">
        <f>_xlfn.XLOOKUP(C408,customers!$A$1:$A$1001,customers!$B$1:$B$1001,,0)</f>
        <v/>
      </c>
      <c r="G408" s="2">
        <f>IF(_xlfn.XLOOKUP(C408,customers!$A$1:$A$1001,customers!$C$1:$C$1001,,0)=0,"",_xlfn.XLOOKUP(C408,customers!$A$1:$A$1001,customers!$C$1:$C$1001,,0))</f>
        <v/>
      </c>
      <c r="H408" s="2">
        <f>_xlfn.XLOOKUP(C408,customers!$A$1:$A$1001,customers!$G$1:$G$1001,,0)</f>
        <v/>
      </c>
      <c r="I408">
        <f>INDEX(products!$A$1:$G$49,MATCH(orders!$D408,products!$A$1:$A$49,0),MATCH(orders!I$1,products!$A$1:$G$1,0))</f>
        <v/>
      </c>
      <c r="J408">
        <f>INDEX(products!$A$1:$G$49,MATCH(orders!$D408,products!$A$1:$A$49,0),MATCH(orders!J$1,products!$A$1:$G$1,0))</f>
        <v/>
      </c>
      <c r="K408" s="4">
        <f>INDEX(products!$A$1:$G$49,MATCH(orders!$D408,products!$A$1:$A$49,0),MATCH(orders!K$1,products!$A$1:$G$1,0))</f>
        <v/>
      </c>
      <c r="L408" s="5">
        <f>INDEX(products!$A$1:$G$49,MATCH(orders!$D408,products!$A$1:$A$49,0),MATCH(orders!L$1,products!$A$1:$G$1,0))</f>
        <v/>
      </c>
      <c r="M408" s="5">
        <f>L408*E408</f>
        <v/>
      </c>
      <c r="N408">
        <f>IF(I408="Rob","Robusta",IF(I408="Exc","Excelsa",IF(I408="Ara","Arabica",IF(I408="Lib","Liberica",""))))</f>
        <v/>
      </c>
      <c r="O408">
        <f>IF(J408="M","Medium",IF(J408="L","Light",IF(J408="D","Dark","")))</f>
        <v/>
      </c>
      <c r="P408">
        <f>_xlfn.XLOOKUP(Orders[[#This Row],[Customer ID]],customers!$A$1:$A$1001,customers!$I$1:$I$1001,,0)</f>
        <v/>
      </c>
    </row>
    <row r="409">
      <c r="A409" s="2" t="inlineStr">
        <is>
          <t>O4831</t>
        </is>
      </c>
      <c r="B409" s="3" t="inlineStr">
        <is>
          <t>2022-01-31</t>
        </is>
      </c>
      <c r="C409" s="2" t="inlineStr">
        <is>
          <t>O6080</t>
        </is>
      </c>
      <c r="D409" t="inlineStr">
        <is>
          <t>O3937</t>
        </is>
      </c>
      <c r="E409" s="2" t="n">
        <v>345</v>
      </c>
      <c r="F409" s="2">
        <f>_xlfn.XLOOKUP(C409,customers!$A$1:$A$1001,customers!$B$1:$B$1001,,0)</f>
        <v/>
      </c>
      <c r="G409" s="2">
        <f>IF(_xlfn.XLOOKUP(C409,customers!$A$1:$A$1001,customers!$C$1:$C$1001,,0)=0,"",_xlfn.XLOOKUP(C409,customers!$A$1:$A$1001,customers!$C$1:$C$1001,,0))</f>
        <v/>
      </c>
      <c r="H409" s="2">
        <f>_xlfn.XLOOKUP(C409,customers!$A$1:$A$1001,customers!$G$1:$G$1001,,0)</f>
        <v/>
      </c>
      <c r="I409">
        <f>INDEX(products!$A$1:$G$49,MATCH(orders!$D409,products!$A$1:$A$49,0),MATCH(orders!I$1,products!$A$1:$G$1,0))</f>
        <v/>
      </c>
      <c r="J409">
        <f>INDEX(products!$A$1:$G$49,MATCH(orders!$D409,products!$A$1:$A$49,0),MATCH(orders!J$1,products!$A$1:$G$1,0))</f>
        <v/>
      </c>
      <c r="K409" s="4">
        <f>INDEX(products!$A$1:$G$49,MATCH(orders!$D409,products!$A$1:$A$49,0),MATCH(orders!K$1,products!$A$1:$G$1,0))</f>
        <v/>
      </c>
      <c r="L409" s="5">
        <f>INDEX(products!$A$1:$G$49,MATCH(orders!$D409,products!$A$1:$A$49,0),MATCH(orders!L$1,products!$A$1:$G$1,0))</f>
        <v/>
      </c>
      <c r="M409" s="5">
        <f>L409*E409</f>
        <v/>
      </c>
      <c r="N409">
        <f>IF(I409="Rob","Robusta",IF(I409="Exc","Excelsa",IF(I409="Ara","Arabica",IF(I409="Lib","Liberica",""))))</f>
        <v/>
      </c>
      <c r="O409">
        <f>IF(J409="M","Medium",IF(J409="L","Light",IF(J409="D","Dark","")))</f>
        <v/>
      </c>
      <c r="P409">
        <f>_xlfn.XLOOKUP(Orders[[#This Row],[Customer ID]],customers!$A$1:$A$1001,customers!$I$1:$I$1001,,0)</f>
        <v/>
      </c>
    </row>
    <row r="410">
      <c r="A410" s="2" t="inlineStr">
        <is>
          <t>O1003</t>
        </is>
      </c>
      <c r="B410" s="3" t="inlineStr">
        <is>
          <t>2021-03-01</t>
        </is>
      </c>
      <c r="C410" s="2" t="inlineStr">
        <is>
          <t>O9426</t>
        </is>
      </c>
      <c r="D410" t="inlineStr">
        <is>
          <t>O5340</t>
        </is>
      </c>
      <c r="E410" s="2" t="n">
        <v>313</v>
      </c>
      <c r="F410" s="2">
        <f>_xlfn.XLOOKUP(C410,customers!$A$1:$A$1001,customers!$B$1:$B$1001,,0)</f>
        <v/>
      </c>
      <c r="G410" s="2">
        <f>IF(_xlfn.XLOOKUP(C410,customers!$A$1:$A$1001,customers!$C$1:$C$1001,,0)=0,"",_xlfn.XLOOKUP(C410,customers!$A$1:$A$1001,customers!$C$1:$C$1001,,0))</f>
        <v/>
      </c>
      <c r="H410" s="2">
        <f>_xlfn.XLOOKUP(C410,customers!$A$1:$A$1001,customers!$G$1:$G$1001,,0)</f>
        <v/>
      </c>
      <c r="I410">
        <f>INDEX(products!$A$1:$G$49,MATCH(orders!$D410,products!$A$1:$A$49,0),MATCH(orders!I$1,products!$A$1:$G$1,0))</f>
        <v/>
      </c>
      <c r="J410">
        <f>INDEX(products!$A$1:$G$49,MATCH(orders!$D410,products!$A$1:$A$49,0),MATCH(orders!J$1,products!$A$1:$G$1,0))</f>
        <v/>
      </c>
      <c r="K410" s="4">
        <f>INDEX(products!$A$1:$G$49,MATCH(orders!$D410,products!$A$1:$A$49,0),MATCH(orders!K$1,products!$A$1:$G$1,0))</f>
        <v/>
      </c>
      <c r="L410" s="5">
        <f>INDEX(products!$A$1:$G$49,MATCH(orders!$D410,products!$A$1:$A$49,0),MATCH(orders!L$1,products!$A$1:$G$1,0))</f>
        <v/>
      </c>
      <c r="M410" s="5">
        <f>L410*E410</f>
        <v/>
      </c>
      <c r="N410">
        <f>IF(I410="Rob","Robusta",IF(I410="Exc","Excelsa",IF(I410="Ara","Arabica",IF(I410="Lib","Liberica",""))))</f>
        <v/>
      </c>
      <c r="O410">
        <f>IF(J410="M","Medium",IF(J410="L","Light",IF(J410="D","Dark","")))</f>
        <v/>
      </c>
      <c r="P410">
        <f>_xlfn.XLOOKUP(Orders[[#This Row],[Customer ID]],customers!$A$1:$A$1001,customers!$I$1:$I$1001,,0)</f>
        <v/>
      </c>
    </row>
    <row r="411">
      <c r="A411" s="2" t="inlineStr">
        <is>
          <t>O2445</t>
        </is>
      </c>
      <c r="B411" s="3" t="inlineStr">
        <is>
          <t>2021-08-24</t>
        </is>
      </c>
      <c r="C411" s="2" t="inlineStr">
        <is>
          <t>O3337</t>
        </is>
      </c>
      <c r="D411" t="inlineStr">
        <is>
          <t>O1858</t>
        </is>
      </c>
      <c r="E411" s="2" t="n">
        <v>154</v>
      </c>
      <c r="F411" s="2">
        <f>_xlfn.XLOOKUP(C411,customers!$A$1:$A$1001,customers!$B$1:$B$1001,,0)</f>
        <v/>
      </c>
      <c r="G411" s="2">
        <f>IF(_xlfn.XLOOKUP(C411,customers!$A$1:$A$1001,customers!$C$1:$C$1001,,0)=0,"",_xlfn.XLOOKUP(C411,customers!$A$1:$A$1001,customers!$C$1:$C$1001,,0))</f>
        <v/>
      </c>
      <c r="H411" s="2">
        <f>_xlfn.XLOOKUP(C411,customers!$A$1:$A$1001,customers!$G$1:$G$1001,,0)</f>
        <v/>
      </c>
      <c r="I411">
        <f>INDEX(products!$A$1:$G$49,MATCH(orders!$D411,products!$A$1:$A$49,0),MATCH(orders!I$1,products!$A$1:$G$1,0))</f>
        <v/>
      </c>
      <c r="J411">
        <f>INDEX(products!$A$1:$G$49,MATCH(orders!$D411,products!$A$1:$A$49,0),MATCH(orders!J$1,products!$A$1:$G$1,0))</f>
        <v/>
      </c>
      <c r="K411" s="4">
        <f>INDEX(products!$A$1:$G$49,MATCH(orders!$D411,products!$A$1:$A$49,0),MATCH(orders!K$1,products!$A$1:$G$1,0))</f>
        <v/>
      </c>
      <c r="L411" s="5">
        <f>INDEX(products!$A$1:$G$49,MATCH(orders!$D411,products!$A$1:$A$49,0),MATCH(orders!L$1,products!$A$1:$G$1,0))</f>
        <v/>
      </c>
      <c r="M411" s="5">
        <f>L411*E411</f>
        <v/>
      </c>
      <c r="N411">
        <f>IF(I411="Rob","Robusta",IF(I411="Exc","Excelsa",IF(I411="Ara","Arabica",IF(I411="Lib","Liberica",""))))</f>
        <v/>
      </c>
      <c r="O411">
        <f>IF(J411="M","Medium",IF(J411="L","Light",IF(J411="D","Dark","")))</f>
        <v/>
      </c>
      <c r="P411">
        <f>_xlfn.XLOOKUP(Orders[[#This Row],[Customer ID]],customers!$A$1:$A$1001,customers!$I$1:$I$1001,,0)</f>
        <v/>
      </c>
    </row>
    <row r="412">
      <c r="A412" s="2" t="inlineStr">
        <is>
          <t>O1399</t>
        </is>
      </c>
      <c r="B412" s="3" t="inlineStr">
        <is>
          <t>2025-06-11</t>
        </is>
      </c>
      <c r="C412" s="2" t="inlineStr">
        <is>
          <t>O8890</t>
        </is>
      </c>
      <c r="D412" t="inlineStr">
        <is>
          <t>O2544</t>
        </is>
      </c>
      <c r="E412" s="2" t="n">
        <v>148</v>
      </c>
      <c r="F412" s="2">
        <f>_xlfn.XLOOKUP(C412,customers!$A$1:$A$1001,customers!$B$1:$B$1001,,0)</f>
        <v/>
      </c>
      <c r="G412" s="2">
        <f>IF(_xlfn.XLOOKUP(C412,customers!$A$1:$A$1001,customers!$C$1:$C$1001,,0)=0,"",_xlfn.XLOOKUP(C412,customers!$A$1:$A$1001,customers!$C$1:$C$1001,,0))</f>
        <v/>
      </c>
      <c r="H412" s="2">
        <f>_xlfn.XLOOKUP(C412,customers!$A$1:$A$1001,customers!$G$1:$G$1001,,0)</f>
        <v/>
      </c>
      <c r="I412">
        <f>INDEX(products!$A$1:$G$49,MATCH(orders!$D412,products!$A$1:$A$49,0),MATCH(orders!I$1,products!$A$1:$G$1,0))</f>
        <v/>
      </c>
      <c r="J412">
        <f>INDEX(products!$A$1:$G$49,MATCH(orders!$D412,products!$A$1:$A$49,0),MATCH(orders!J$1,products!$A$1:$G$1,0))</f>
        <v/>
      </c>
      <c r="K412" s="4">
        <f>INDEX(products!$A$1:$G$49,MATCH(orders!$D412,products!$A$1:$A$49,0),MATCH(orders!K$1,products!$A$1:$G$1,0))</f>
        <v/>
      </c>
      <c r="L412" s="5">
        <f>INDEX(products!$A$1:$G$49,MATCH(orders!$D412,products!$A$1:$A$49,0),MATCH(orders!L$1,products!$A$1:$G$1,0))</f>
        <v/>
      </c>
      <c r="M412" s="5">
        <f>L412*E412</f>
        <v/>
      </c>
      <c r="N412">
        <f>IF(I412="Rob","Robusta",IF(I412="Exc","Excelsa",IF(I412="Ara","Arabica",IF(I412="Lib","Liberica",""))))</f>
        <v/>
      </c>
      <c r="O412">
        <f>IF(J412="M","Medium",IF(J412="L","Light",IF(J412="D","Dark","")))</f>
        <v/>
      </c>
      <c r="P412">
        <f>_xlfn.XLOOKUP(Orders[[#This Row],[Customer ID]],customers!$A$1:$A$1001,customers!$I$1:$I$1001,,0)</f>
        <v/>
      </c>
    </row>
    <row r="413">
      <c r="A413" s="2" t="inlineStr">
        <is>
          <t>O8238</t>
        </is>
      </c>
      <c r="B413" s="3" t="inlineStr">
        <is>
          <t>2024-10-22</t>
        </is>
      </c>
      <c r="C413" s="2" t="inlineStr">
        <is>
          <t>O5148</t>
        </is>
      </c>
      <c r="D413" t="inlineStr">
        <is>
          <t>O7054</t>
        </is>
      </c>
      <c r="E413" s="2" t="n">
        <v>405</v>
      </c>
      <c r="F413" s="2">
        <f>_xlfn.XLOOKUP(C413,customers!$A$1:$A$1001,customers!$B$1:$B$1001,,0)</f>
        <v/>
      </c>
      <c r="G413" s="2">
        <f>IF(_xlfn.XLOOKUP(C413,customers!$A$1:$A$1001,customers!$C$1:$C$1001,,0)=0,"",_xlfn.XLOOKUP(C413,customers!$A$1:$A$1001,customers!$C$1:$C$1001,,0))</f>
        <v/>
      </c>
      <c r="H413" s="2">
        <f>_xlfn.XLOOKUP(C413,customers!$A$1:$A$1001,customers!$G$1:$G$1001,,0)</f>
        <v/>
      </c>
      <c r="I413">
        <f>INDEX(products!$A$1:$G$49,MATCH(orders!$D413,products!$A$1:$A$49,0),MATCH(orders!I$1,products!$A$1:$G$1,0))</f>
        <v/>
      </c>
      <c r="J413">
        <f>INDEX(products!$A$1:$G$49,MATCH(orders!$D413,products!$A$1:$A$49,0),MATCH(orders!J$1,products!$A$1:$G$1,0))</f>
        <v/>
      </c>
      <c r="K413" s="4">
        <f>INDEX(products!$A$1:$G$49,MATCH(orders!$D413,products!$A$1:$A$49,0),MATCH(orders!K$1,products!$A$1:$G$1,0))</f>
        <v/>
      </c>
      <c r="L413" s="5">
        <f>INDEX(products!$A$1:$G$49,MATCH(orders!$D413,products!$A$1:$A$49,0),MATCH(orders!L$1,products!$A$1:$G$1,0))</f>
        <v/>
      </c>
      <c r="M413" s="5">
        <f>L413*E413</f>
        <v/>
      </c>
      <c r="N413">
        <f>IF(I413="Rob","Robusta",IF(I413="Exc","Excelsa",IF(I413="Ara","Arabica",IF(I413="Lib","Liberica",""))))</f>
        <v/>
      </c>
      <c r="O413">
        <f>IF(J413="M","Medium",IF(J413="L","Light",IF(J413="D","Dark","")))</f>
        <v/>
      </c>
      <c r="P413">
        <f>_xlfn.XLOOKUP(Orders[[#This Row],[Customer ID]],customers!$A$1:$A$1001,customers!$I$1:$I$1001,,0)</f>
        <v/>
      </c>
    </row>
    <row r="414">
      <c r="A414" s="2" t="inlineStr">
        <is>
          <t>O5429</t>
        </is>
      </c>
      <c r="B414" s="3" t="inlineStr">
        <is>
          <t>2022-05-20</t>
        </is>
      </c>
      <c r="C414" s="2" t="inlineStr">
        <is>
          <t>O6447</t>
        </is>
      </c>
      <c r="D414" t="inlineStr">
        <is>
          <t>O6858</t>
        </is>
      </c>
      <c r="E414" s="2" t="n">
        <v>483</v>
      </c>
      <c r="F414" s="2">
        <f>_xlfn.XLOOKUP(C414,customers!$A$1:$A$1001,customers!$B$1:$B$1001,,0)</f>
        <v/>
      </c>
      <c r="G414" s="2">
        <f>IF(_xlfn.XLOOKUP(C414,customers!$A$1:$A$1001,customers!$C$1:$C$1001,,0)=0,"",_xlfn.XLOOKUP(C414,customers!$A$1:$A$1001,customers!$C$1:$C$1001,,0))</f>
        <v/>
      </c>
      <c r="H414" s="2">
        <f>_xlfn.XLOOKUP(C414,customers!$A$1:$A$1001,customers!$G$1:$G$1001,,0)</f>
        <v/>
      </c>
      <c r="I414">
        <f>INDEX(products!$A$1:$G$49,MATCH(orders!$D414,products!$A$1:$A$49,0),MATCH(orders!I$1,products!$A$1:$G$1,0))</f>
        <v/>
      </c>
      <c r="J414">
        <f>INDEX(products!$A$1:$G$49,MATCH(orders!$D414,products!$A$1:$A$49,0),MATCH(orders!J$1,products!$A$1:$G$1,0))</f>
        <v/>
      </c>
      <c r="K414" s="4">
        <f>INDEX(products!$A$1:$G$49,MATCH(orders!$D414,products!$A$1:$A$49,0),MATCH(orders!K$1,products!$A$1:$G$1,0))</f>
        <v/>
      </c>
      <c r="L414" s="5">
        <f>INDEX(products!$A$1:$G$49,MATCH(orders!$D414,products!$A$1:$A$49,0),MATCH(orders!L$1,products!$A$1:$G$1,0))</f>
        <v/>
      </c>
      <c r="M414" s="5">
        <f>L414*E414</f>
        <v/>
      </c>
      <c r="N414">
        <f>IF(I414="Rob","Robusta",IF(I414="Exc","Excelsa",IF(I414="Ara","Arabica",IF(I414="Lib","Liberica",""))))</f>
        <v/>
      </c>
      <c r="O414">
        <f>IF(J414="M","Medium",IF(J414="L","Light",IF(J414="D","Dark","")))</f>
        <v/>
      </c>
      <c r="P414">
        <f>_xlfn.XLOOKUP(Orders[[#This Row],[Customer ID]],customers!$A$1:$A$1001,customers!$I$1:$I$1001,,0)</f>
        <v/>
      </c>
    </row>
    <row r="415">
      <c r="A415" s="2" t="inlineStr">
        <is>
          <t>O6360</t>
        </is>
      </c>
      <c r="B415" s="3" t="inlineStr">
        <is>
          <t>2024-05-01</t>
        </is>
      </c>
      <c r="C415" s="2" t="inlineStr">
        <is>
          <t>O9399</t>
        </is>
      </c>
      <c r="D415" t="inlineStr">
        <is>
          <t>O3099</t>
        </is>
      </c>
      <c r="E415" s="2" t="n">
        <v>458</v>
      </c>
      <c r="F415" s="2">
        <f>_xlfn.XLOOKUP(C415,customers!$A$1:$A$1001,customers!$B$1:$B$1001,,0)</f>
        <v/>
      </c>
      <c r="G415" s="2">
        <f>IF(_xlfn.XLOOKUP(C415,customers!$A$1:$A$1001,customers!$C$1:$C$1001,,0)=0,"",_xlfn.XLOOKUP(C415,customers!$A$1:$A$1001,customers!$C$1:$C$1001,,0))</f>
        <v/>
      </c>
      <c r="H415" s="2">
        <f>_xlfn.XLOOKUP(C415,customers!$A$1:$A$1001,customers!$G$1:$G$1001,,0)</f>
        <v/>
      </c>
      <c r="I415">
        <f>INDEX(products!$A$1:$G$49,MATCH(orders!$D415,products!$A$1:$A$49,0),MATCH(orders!I$1,products!$A$1:$G$1,0))</f>
        <v/>
      </c>
      <c r="J415">
        <f>INDEX(products!$A$1:$G$49,MATCH(orders!$D415,products!$A$1:$A$49,0),MATCH(orders!J$1,products!$A$1:$G$1,0))</f>
        <v/>
      </c>
      <c r="K415" s="4">
        <f>INDEX(products!$A$1:$G$49,MATCH(orders!$D415,products!$A$1:$A$49,0),MATCH(orders!K$1,products!$A$1:$G$1,0))</f>
        <v/>
      </c>
      <c r="L415" s="5">
        <f>INDEX(products!$A$1:$G$49,MATCH(orders!$D415,products!$A$1:$A$49,0),MATCH(orders!L$1,products!$A$1:$G$1,0))</f>
        <v/>
      </c>
      <c r="M415" s="5">
        <f>L415*E415</f>
        <v/>
      </c>
      <c r="N415">
        <f>IF(I415="Rob","Robusta",IF(I415="Exc","Excelsa",IF(I415="Ara","Arabica",IF(I415="Lib","Liberica",""))))</f>
        <v/>
      </c>
      <c r="O415">
        <f>IF(J415="M","Medium",IF(J415="L","Light",IF(J415="D","Dark","")))</f>
        <v/>
      </c>
      <c r="P415">
        <f>_xlfn.XLOOKUP(Orders[[#This Row],[Customer ID]],customers!$A$1:$A$1001,customers!$I$1:$I$1001,,0)</f>
        <v/>
      </c>
    </row>
    <row r="416">
      <c r="A416" s="2" t="inlineStr">
        <is>
          <t>O1051</t>
        </is>
      </c>
      <c r="B416" s="3" t="inlineStr">
        <is>
          <t>2020-01-17</t>
        </is>
      </c>
      <c r="C416" s="2" t="inlineStr">
        <is>
          <t>O5018</t>
        </is>
      </c>
      <c r="D416" t="inlineStr">
        <is>
          <t>O5506</t>
        </is>
      </c>
      <c r="E416" s="2" t="n">
        <v>112</v>
      </c>
      <c r="F416" s="2">
        <f>_xlfn.XLOOKUP(C416,customers!$A$1:$A$1001,customers!$B$1:$B$1001,,0)</f>
        <v/>
      </c>
      <c r="G416" s="2">
        <f>IF(_xlfn.XLOOKUP(C416,customers!$A$1:$A$1001,customers!$C$1:$C$1001,,0)=0,"",_xlfn.XLOOKUP(C416,customers!$A$1:$A$1001,customers!$C$1:$C$1001,,0))</f>
        <v/>
      </c>
      <c r="H416" s="2">
        <f>_xlfn.XLOOKUP(C416,customers!$A$1:$A$1001,customers!$G$1:$G$1001,,0)</f>
        <v/>
      </c>
      <c r="I416">
        <f>INDEX(products!$A$1:$G$49,MATCH(orders!$D416,products!$A$1:$A$49,0),MATCH(orders!I$1,products!$A$1:$G$1,0))</f>
        <v/>
      </c>
      <c r="J416">
        <f>INDEX(products!$A$1:$G$49,MATCH(orders!$D416,products!$A$1:$A$49,0),MATCH(orders!J$1,products!$A$1:$G$1,0))</f>
        <v/>
      </c>
      <c r="K416" s="4">
        <f>INDEX(products!$A$1:$G$49,MATCH(orders!$D416,products!$A$1:$A$49,0),MATCH(orders!K$1,products!$A$1:$G$1,0))</f>
        <v/>
      </c>
      <c r="L416" s="5">
        <f>INDEX(products!$A$1:$G$49,MATCH(orders!$D416,products!$A$1:$A$49,0),MATCH(orders!L$1,products!$A$1:$G$1,0))</f>
        <v/>
      </c>
      <c r="M416" s="5">
        <f>L416*E416</f>
        <v/>
      </c>
      <c r="N416">
        <f>IF(I416="Rob","Robusta",IF(I416="Exc","Excelsa",IF(I416="Ara","Arabica",IF(I416="Lib","Liberica",""))))</f>
        <v/>
      </c>
      <c r="O416">
        <f>IF(J416="M","Medium",IF(J416="L","Light",IF(J416="D","Dark","")))</f>
        <v/>
      </c>
      <c r="P416">
        <f>_xlfn.XLOOKUP(Orders[[#This Row],[Customer ID]],customers!$A$1:$A$1001,customers!$I$1:$I$1001,,0)</f>
        <v/>
      </c>
    </row>
    <row r="417">
      <c r="A417" s="2" t="inlineStr">
        <is>
          <t>O9808</t>
        </is>
      </c>
      <c r="B417" s="3" t="inlineStr">
        <is>
          <t>2022-01-08</t>
        </is>
      </c>
      <c r="C417" s="2" t="inlineStr">
        <is>
          <t>O8275</t>
        </is>
      </c>
      <c r="D417" t="inlineStr">
        <is>
          <t>O5635</t>
        </is>
      </c>
      <c r="E417" s="2" t="n">
        <v>240</v>
      </c>
      <c r="F417" s="2">
        <f>_xlfn.XLOOKUP(C417,customers!$A$1:$A$1001,customers!$B$1:$B$1001,,0)</f>
        <v/>
      </c>
      <c r="G417" s="2">
        <f>IF(_xlfn.XLOOKUP(C417,customers!$A$1:$A$1001,customers!$C$1:$C$1001,,0)=0,"",_xlfn.XLOOKUP(C417,customers!$A$1:$A$1001,customers!$C$1:$C$1001,,0))</f>
        <v/>
      </c>
      <c r="H417" s="2">
        <f>_xlfn.XLOOKUP(C417,customers!$A$1:$A$1001,customers!$G$1:$G$1001,,0)</f>
        <v/>
      </c>
      <c r="I417">
        <f>INDEX(products!$A$1:$G$49,MATCH(orders!$D417,products!$A$1:$A$49,0),MATCH(orders!I$1,products!$A$1:$G$1,0))</f>
        <v/>
      </c>
      <c r="J417">
        <f>INDEX(products!$A$1:$G$49,MATCH(orders!$D417,products!$A$1:$A$49,0),MATCH(orders!J$1,products!$A$1:$G$1,0))</f>
        <v/>
      </c>
      <c r="K417" s="4">
        <f>INDEX(products!$A$1:$G$49,MATCH(orders!$D417,products!$A$1:$A$49,0),MATCH(orders!K$1,products!$A$1:$G$1,0))</f>
        <v/>
      </c>
      <c r="L417" s="5">
        <f>INDEX(products!$A$1:$G$49,MATCH(orders!$D417,products!$A$1:$A$49,0),MATCH(orders!L$1,products!$A$1:$G$1,0))</f>
        <v/>
      </c>
      <c r="M417" s="5">
        <f>L417*E417</f>
        <v/>
      </c>
      <c r="N417">
        <f>IF(I417="Rob","Robusta",IF(I417="Exc","Excelsa",IF(I417="Ara","Arabica",IF(I417="Lib","Liberica",""))))</f>
        <v/>
      </c>
      <c r="O417">
        <f>IF(J417="M","Medium",IF(J417="L","Light",IF(J417="D","Dark","")))</f>
        <v/>
      </c>
      <c r="P417">
        <f>_xlfn.XLOOKUP(Orders[[#This Row],[Customer ID]],customers!$A$1:$A$1001,customers!$I$1:$I$1001,,0)</f>
        <v/>
      </c>
    </row>
    <row r="418">
      <c r="A418" s="2" t="inlineStr">
        <is>
          <t>O5030</t>
        </is>
      </c>
      <c r="B418" s="3" t="inlineStr">
        <is>
          <t>2025-04-25</t>
        </is>
      </c>
      <c r="C418" s="2" t="inlineStr">
        <is>
          <t>O9669</t>
        </is>
      </c>
      <c r="D418" t="inlineStr">
        <is>
          <t>O8063</t>
        </is>
      </c>
      <c r="E418" s="2" t="n">
        <v>400</v>
      </c>
      <c r="F418" s="2">
        <f>_xlfn.XLOOKUP(C418,customers!$A$1:$A$1001,customers!$B$1:$B$1001,,0)</f>
        <v/>
      </c>
      <c r="G418" s="2">
        <f>IF(_xlfn.XLOOKUP(C418,customers!$A$1:$A$1001,customers!$C$1:$C$1001,,0)=0,"",_xlfn.XLOOKUP(C418,customers!$A$1:$A$1001,customers!$C$1:$C$1001,,0))</f>
        <v/>
      </c>
      <c r="H418" s="2">
        <f>_xlfn.XLOOKUP(C418,customers!$A$1:$A$1001,customers!$G$1:$G$1001,,0)</f>
        <v/>
      </c>
      <c r="I418">
        <f>INDEX(products!$A$1:$G$49,MATCH(orders!$D418,products!$A$1:$A$49,0),MATCH(orders!I$1,products!$A$1:$G$1,0))</f>
        <v/>
      </c>
      <c r="J418">
        <f>INDEX(products!$A$1:$G$49,MATCH(orders!$D418,products!$A$1:$A$49,0),MATCH(orders!J$1,products!$A$1:$G$1,0))</f>
        <v/>
      </c>
      <c r="K418" s="4">
        <f>INDEX(products!$A$1:$G$49,MATCH(orders!$D418,products!$A$1:$A$49,0),MATCH(orders!K$1,products!$A$1:$G$1,0))</f>
        <v/>
      </c>
      <c r="L418" s="5">
        <f>INDEX(products!$A$1:$G$49,MATCH(orders!$D418,products!$A$1:$A$49,0),MATCH(orders!L$1,products!$A$1:$G$1,0))</f>
        <v/>
      </c>
      <c r="M418" s="5">
        <f>L418*E418</f>
        <v/>
      </c>
      <c r="N418">
        <f>IF(I418="Rob","Robusta",IF(I418="Exc","Excelsa",IF(I418="Ara","Arabica",IF(I418="Lib","Liberica",""))))</f>
        <v/>
      </c>
      <c r="O418">
        <f>IF(J418="M","Medium",IF(J418="L","Light",IF(J418="D","Dark","")))</f>
        <v/>
      </c>
      <c r="P418">
        <f>_xlfn.XLOOKUP(Orders[[#This Row],[Customer ID]],customers!$A$1:$A$1001,customers!$I$1:$I$1001,,0)</f>
        <v/>
      </c>
    </row>
    <row r="419">
      <c r="A419" s="2" t="inlineStr">
        <is>
          <t>O7942</t>
        </is>
      </c>
      <c r="B419" s="3" t="inlineStr">
        <is>
          <t>2025-07-07</t>
        </is>
      </c>
      <c r="C419" s="2" t="inlineStr">
        <is>
          <t>O9876</t>
        </is>
      </c>
      <c r="D419" t="inlineStr">
        <is>
          <t>O5690</t>
        </is>
      </c>
      <c r="E419" s="2" t="n">
        <v>1</v>
      </c>
      <c r="F419" s="2">
        <f>_xlfn.XLOOKUP(C419,customers!$A$1:$A$1001,customers!$B$1:$B$1001,,0)</f>
        <v/>
      </c>
      <c r="G419" s="2">
        <f>IF(_xlfn.XLOOKUP(C419,customers!$A$1:$A$1001,customers!$C$1:$C$1001,,0)=0,"",_xlfn.XLOOKUP(C419,customers!$A$1:$A$1001,customers!$C$1:$C$1001,,0))</f>
        <v/>
      </c>
      <c r="H419" s="2">
        <f>_xlfn.XLOOKUP(C419,customers!$A$1:$A$1001,customers!$G$1:$G$1001,,0)</f>
        <v/>
      </c>
      <c r="I419">
        <f>INDEX(products!$A$1:$G$49,MATCH(orders!$D419,products!$A$1:$A$49,0),MATCH(orders!I$1,products!$A$1:$G$1,0))</f>
        <v/>
      </c>
      <c r="J419">
        <f>INDEX(products!$A$1:$G$49,MATCH(orders!$D419,products!$A$1:$A$49,0),MATCH(orders!J$1,products!$A$1:$G$1,0))</f>
        <v/>
      </c>
      <c r="K419" s="4">
        <f>INDEX(products!$A$1:$G$49,MATCH(orders!$D419,products!$A$1:$A$49,0),MATCH(orders!K$1,products!$A$1:$G$1,0))</f>
        <v/>
      </c>
      <c r="L419" s="5">
        <f>INDEX(products!$A$1:$G$49,MATCH(orders!$D419,products!$A$1:$A$49,0),MATCH(orders!L$1,products!$A$1:$G$1,0))</f>
        <v/>
      </c>
      <c r="M419" s="5">
        <f>L419*E419</f>
        <v/>
      </c>
      <c r="N419">
        <f>IF(I419="Rob","Robusta",IF(I419="Exc","Excelsa",IF(I419="Ara","Arabica",IF(I419="Lib","Liberica",""))))</f>
        <v/>
      </c>
      <c r="O419">
        <f>IF(J419="M","Medium",IF(J419="L","Light",IF(J419="D","Dark","")))</f>
        <v/>
      </c>
      <c r="P419">
        <f>_xlfn.XLOOKUP(Orders[[#This Row],[Customer ID]],customers!$A$1:$A$1001,customers!$I$1:$I$1001,,0)</f>
        <v/>
      </c>
    </row>
    <row r="420">
      <c r="A420" s="2" t="inlineStr">
        <is>
          <t>O4831</t>
        </is>
      </c>
      <c r="B420" s="3" t="inlineStr">
        <is>
          <t>2024-12-11</t>
        </is>
      </c>
      <c r="C420" s="2" t="inlineStr">
        <is>
          <t>O5007</t>
        </is>
      </c>
      <c r="D420" t="inlineStr">
        <is>
          <t>O7711</t>
        </is>
      </c>
      <c r="E420" s="2" t="n">
        <v>96</v>
      </c>
      <c r="F420" s="2">
        <f>_xlfn.XLOOKUP(C420,customers!$A$1:$A$1001,customers!$B$1:$B$1001,,0)</f>
        <v/>
      </c>
      <c r="G420" s="2">
        <f>IF(_xlfn.XLOOKUP(C420,customers!$A$1:$A$1001,customers!$C$1:$C$1001,,0)=0,"",_xlfn.XLOOKUP(C420,customers!$A$1:$A$1001,customers!$C$1:$C$1001,,0))</f>
        <v/>
      </c>
      <c r="H420" s="2">
        <f>_xlfn.XLOOKUP(C420,customers!$A$1:$A$1001,customers!$G$1:$G$1001,,0)</f>
        <v/>
      </c>
      <c r="I420">
        <f>INDEX(products!$A$1:$G$49,MATCH(orders!$D420,products!$A$1:$A$49,0),MATCH(orders!I$1,products!$A$1:$G$1,0))</f>
        <v/>
      </c>
      <c r="J420">
        <f>INDEX(products!$A$1:$G$49,MATCH(orders!$D420,products!$A$1:$A$49,0),MATCH(orders!J$1,products!$A$1:$G$1,0))</f>
        <v/>
      </c>
      <c r="K420" s="4">
        <f>INDEX(products!$A$1:$G$49,MATCH(orders!$D420,products!$A$1:$A$49,0),MATCH(orders!K$1,products!$A$1:$G$1,0))</f>
        <v/>
      </c>
      <c r="L420" s="5">
        <f>INDEX(products!$A$1:$G$49,MATCH(orders!$D420,products!$A$1:$A$49,0),MATCH(orders!L$1,products!$A$1:$G$1,0))</f>
        <v/>
      </c>
      <c r="M420" s="5">
        <f>L420*E420</f>
        <v/>
      </c>
      <c r="N420">
        <f>IF(I420="Rob","Robusta",IF(I420="Exc","Excelsa",IF(I420="Ara","Arabica",IF(I420="Lib","Liberica",""))))</f>
        <v/>
      </c>
      <c r="O420">
        <f>IF(J420="M","Medium",IF(J420="L","Light",IF(J420="D","Dark","")))</f>
        <v/>
      </c>
      <c r="P420">
        <f>_xlfn.XLOOKUP(Orders[[#This Row],[Customer ID]],customers!$A$1:$A$1001,customers!$I$1:$I$1001,,0)</f>
        <v/>
      </c>
    </row>
    <row r="421">
      <c r="A421" s="2" t="inlineStr">
        <is>
          <t>O8415</t>
        </is>
      </c>
      <c r="B421" s="3" t="inlineStr">
        <is>
          <t>2020-09-07</t>
        </is>
      </c>
      <c r="C421" s="2" t="inlineStr">
        <is>
          <t>O6124</t>
        </is>
      </c>
      <c r="D421" t="inlineStr">
        <is>
          <t>O1804</t>
        </is>
      </c>
      <c r="E421" s="2" t="n">
        <v>19</v>
      </c>
      <c r="F421" s="2">
        <f>_xlfn.XLOOKUP(C421,customers!$A$1:$A$1001,customers!$B$1:$B$1001,,0)</f>
        <v/>
      </c>
      <c r="G421" s="2">
        <f>IF(_xlfn.XLOOKUP(C421,customers!$A$1:$A$1001,customers!$C$1:$C$1001,,0)=0,"",_xlfn.XLOOKUP(C421,customers!$A$1:$A$1001,customers!$C$1:$C$1001,,0))</f>
        <v/>
      </c>
      <c r="H421" s="2">
        <f>_xlfn.XLOOKUP(C421,customers!$A$1:$A$1001,customers!$G$1:$G$1001,,0)</f>
        <v/>
      </c>
      <c r="I421">
        <f>INDEX(products!$A$1:$G$49,MATCH(orders!$D421,products!$A$1:$A$49,0),MATCH(orders!I$1,products!$A$1:$G$1,0))</f>
        <v/>
      </c>
      <c r="J421">
        <f>INDEX(products!$A$1:$G$49,MATCH(orders!$D421,products!$A$1:$A$49,0),MATCH(orders!J$1,products!$A$1:$G$1,0))</f>
        <v/>
      </c>
      <c r="K421" s="4">
        <f>INDEX(products!$A$1:$G$49,MATCH(orders!$D421,products!$A$1:$A$49,0),MATCH(orders!K$1,products!$A$1:$G$1,0))</f>
        <v/>
      </c>
      <c r="L421" s="5">
        <f>INDEX(products!$A$1:$G$49,MATCH(orders!$D421,products!$A$1:$A$49,0),MATCH(orders!L$1,products!$A$1:$G$1,0))</f>
        <v/>
      </c>
      <c r="M421" s="5">
        <f>L421*E421</f>
        <v/>
      </c>
      <c r="N421">
        <f>IF(I421="Rob","Robusta",IF(I421="Exc","Excelsa",IF(I421="Ara","Arabica",IF(I421="Lib","Liberica",""))))</f>
        <v/>
      </c>
      <c r="O421">
        <f>IF(J421="M","Medium",IF(J421="L","Light",IF(J421="D","Dark","")))</f>
        <v/>
      </c>
      <c r="P421">
        <f>_xlfn.XLOOKUP(Orders[[#This Row],[Customer ID]],customers!$A$1:$A$1001,customers!$I$1:$I$1001,,0)</f>
        <v/>
      </c>
    </row>
    <row r="422">
      <c r="A422" s="2" t="inlineStr">
        <is>
          <t>O4001</t>
        </is>
      </c>
      <c r="B422" s="3" t="inlineStr">
        <is>
          <t>2025-08-26</t>
        </is>
      </c>
      <c r="C422" s="2" t="inlineStr">
        <is>
          <t>O6785</t>
        </is>
      </c>
      <c r="D422" t="inlineStr">
        <is>
          <t>O1515</t>
        </is>
      </c>
      <c r="E422" s="2" t="n">
        <v>454</v>
      </c>
      <c r="F422" s="2">
        <f>_xlfn.XLOOKUP(C422,customers!$A$1:$A$1001,customers!$B$1:$B$1001,,0)</f>
        <v/>
      </c>
      <c r="G422" s="2">
        <f>IF(_xlfn.XLOOKUP(C422,customers!$A$1:$A$1001,customers!$C$1:$C$1001,,0)=0,"",_xlfn.XLOOKUP(C422,customers!$A$1:$A$1001,customers!$C$1:$C$1001,,0))</f>
        <v/>
      </c>
      <c r="H422" s="2">
        <f>_xlfn.XLOOKUP(C422,customers!$A$1:$A$1001,customers!$G$1:$G$1001,,0)</f>
        <v/>
      </c>
      <c r="I422">
        <f>INDEX(products!$A$1:$G$49,MATCH(orders!$D422,products!$A$1:$A$49,0),MATCH(orders!I$1,products!$A$1:$G$1,0))</f>
        <v/>
      </c>
      <c r="J422">
        <f>INDEX(products!$A$1:$G$49,MATCH(orders!$D422,products!$A$1:$A$49,0),MATCH(orders!J$1,products!$A$1:$G$1,0))</f>
        <v/>
      </c>
      <c r="K422" s="4">
        <f>INDEX(products!$A$1:$G$49,MATCH(orders!$D422,products!$A$1:$A$49,0),MATCH(orders!K$1,products!$A$1:$G$1,0))</f>
        <v/>
      </c>
      <c r="L422" s="5">
        <f>INDEX(products!$A$1:$G$49,MATCH(orders!$D422,products!$A$1:$A$49,0),MATCH(orders!L$1,products!$A$1:$G$1,0))</f>
        <v/>
      </c>
      <c r="M422" s="5">
        <f>L422*E422</f>
        <v/>
      </c>
      <c r="N422">
        <f>IF(I422="Rob","Robusta",IF(I422="Exc","Excelsa",IF(I422="Ara","Arabica",IF(I422="Lib","Liberica",""))))</f>
        <v/>
      </c>
      <c r="O422">
        <f>IF(J422="M","Medium",IF(J422="L","Light",IF(J422="D","Dark","")))</f>
        <v/>
      </c>
      <c r="P422">
        <f>_xlfn.XLOOKUP(Orders[[#This Row],[Customer ID]],customers!$A$1:$A$1001,customers!$I$1:$I$1001,,0)</f>
        <v/>
      </c>
    </row>
    <row r="423">
      <c r="A423" s="2" t="inlineStr">
        <is>
          <t>O2635</t>
        </is>
      </c>
      <c r="B423" s="3" t="inlineStr">
        <is>
          <t>2025-09-20</t>
        </is>
      </c>
      <c r="C423" s="2" t="inlineStr">
        <is>
          <t>O8821</t>
        </is>
      </c>
      <c r="D423" t="inlineStr">
        <is>
          <t>O9578</t>
        </is>
      </c>
      <c r="E423" s="2" t="n">
        <v>282</v>
      </c>
      <c r="F423" s="2">
        <f>_xlfn.XLOOKUP(C423,customers!$A$1:$A$1001,customers!$B$1:$B$1001,,0)</f>
        <v/>
      </c>
      <c r="G423" s="2">
        <f>IF(_xlfn.XLOOKUP(C423,customers!$A$1:$A$1001,customers!$C$1:$C$1001,,0)=0,"",_xlfn.XLOOKUP(C423,customers!$A$1:$A$1001,customers!$C$1:$C$1001,,0))</f>
        <v/>
      </c>
      <c r="H423" s="2">
        <f>_xlfn.XLOOKUP(C423,customers!$A$1:$A$1001,customers!$G$1:$G$1001,,0)</f>
        <v/>
      </c>
      <c r="I423">
        <f>INDEX(products!$A$1:$G$49,MATCH(orders!$D423,products!$A$1:$A$49,0),MATCH(orders!I$1,products!$A$1:$G$1,0))</f>
        <v/>
      </c>
      <c r="J423">
        <f>INDEX(products!$A$1:$G$49,MATCH(orders!$D423,products!$A$1:$A$49,0),MATCH(orders!J$1,products!$A$1:$G$1,0))</f>
        <v/>
      </c>
      <c r="K423" s="4">
        <f>INDEX(products!$A$1:$G$49,MATCH(orders!$D423,products!$A$1:$A$49,0),MATCH(orders!K$1,products!$A$1:$G$1,0))</f>
        <v/>
      </c>
      <c r="L423" s="5">
        <f>INDEX(products!$A$1:$G$49,MATCH(orders!$D423,products!$A$1:$A$49,0),MATCH(orders!L$1,products!$A$1:$G$1,0))</f>
        <v/>
      </c>
      <c r="M423" s="5">
        <f>L423*E423</f>
        <v/>
      </c>
      <c r="N423">
        <f>IF(I423="Rob","Robusta",IF(I423="Exc","Excelsa",IF(I423="Ara","Arabica",IF(I423="Lib","Liberica",""))))</f>
        <v/>
      </c>
      <c r="O423">
        <f>IF(J423="M","Medium",IF(J423="L","Light",IF(J423="D","Dark","")))</f>
        <v/>
      </c>
      <c r="P423">
        <f>_xlfn.XLOOKUP(Orders[[#This Row],[Customer ID]],customers!$A$1:$A$1001,customers!$I$1:$I$1001,,0)</f>
        <v/>
      </c>
    </row>
    <row r="424">
      <c r="A424" s="2" t="inlineStr">
        <is>
          <t>O6428</t>
        </is>
      </c>
      <c r="B424" s="3" t="inlineStr">
        <is>
          <t>2021-06-13</t>
        </is>
      </c>
      <c r="C424" s="2" t="inlineStr">
        <is>
          <t>O2594</t>
        </is>
      </c>
      <c r="D424" t="inlineStr">
        <is>
          <t>O1415</t>
        </is>
      </c>
      <c r="E424" s="2" t="n">
        <v>126</v>
      </c>
      <c r="F424" s="2">
        <f>_xlfn.XLOOKUP(C424,customers!$A$1:$A$1001,customers!$B$1:$B$1001,,0)</f>
        <v/>
      </c>
      <c r="G424" s="2">
        <f>IF(_xlfn.XLOOKUP(C424,customers!$A$1:$A$1001,customers!$C$1:$C$1001,,0)=0,"",_xlfn.XLOOKUP(C424,customers!$A$1:$A$1001,customers!$C$1:$C$1001,,0))</f>
        <v/>
      </c>
      <c r="H424" s="2">
        <f>_xlfn.XLOOKUP(C424,customers!$A$1:$A$1001,customers!$G$1:$G$1001,,0)</f>
        <v/>
      </c>
      <c r="I424">
        <f>INDEX(products!$A$1:$G$49,MATCH(orders!$D424,products!$A$1:$A$49,0),MATCH(orders!I$1,products!$A$1:$G$1,0))</f>
        <v/>
      </c>
      <c r="J424">
        <f>INDEX(products!$A$1:$G$49,MATCH(orders!$D424,products!$A$1:$A$49,0),MATCH(orders!J$1,products!$A$1:$G$1,0))</f>
        <v/>
      </c>
      <c r="K424" s="4">
        <f>INDEX(products!$A$1:$G$49,MATCH(orders!$D424,products!$A$1:$A$49,0),MATCH(orders!K$1,products!$A$1:$G$1,0))</f>
        <v/>
      </c>
      <c r="L424" s="5">
        <f>INDEX(products!$A$1:$G$49,MATCH(orders!$D424,products!$A$1:$A$49,0),MATCH(orders!L$1,products!$A$1:$G$1,0))</f>
        <v/>
      </c>
      <c r="M424" s="5">
        <f>L424*E424</f>
        <v/>
      </c>
      <c r="N424">
        <f>IF(I424="Rob","Robusta",IF(I424="Exc","Excelsa",IF(I424="Ara","Arabica",IF(I424="Lib","Liberica",""))))</f>
        <v/>
      </c>
      <c r="O424">
        <f>IF(J424="M","Medium",IF(J424="L","Light",IF(J424="D","Dark","")))</f>
        <v/>
      </c>
      <c r="P424">
        <f>_xlfn.XLOOKUP(Orders[[#This Row],[Customer ID]],customers!$A$1:$A$1001,customers!$I$1:$I$1001,,0)</f>
        <v/>
      </c>
    </row>
    <row r="425">
      <c r="A425" s="2" t="inlineStr">
        <is>
          <t>O3611</t>
        </is>
      </c>
      <c r="B425" s="3" t="inlineStr">
        <is>
          <t>2022-09-09</t>
        </is>
      </c>
      <c r="C425" s="2" t="inlineStr">
        <is>
          <t>O6921</t>
        </is>
      </c>
      <c r="D425" t="inlineStr">
        <is>
          <t>O3407</t>
        </is>
      </c>
      <c r="E425" s="2" t="n">
        <v>351</v>
      </c>
      <c r="F425" s="2">
        <f>_xlfn.XLOOKUP(C425,customers!$A$1:$A$1001,customers!$B$1:$B$1001,,0)</f>
        <v/>
      </c>
      <c r="G425" s="2">
        <f>IF(_xlfn.XLOOKUP(C425,customers!$A$1:$A$1001,customers!$C$1:$C$1001,,0)=0,"",_xlfn.XLOOKUP(C425,customers!$A$1:$A$1001,customers!$C$1:$C$1001,,0))</f>
        <v/>
      </c>
      <c r="H425" s="2">
        <f>_xlfn.XLOOKUP(C425,customers!$A$1:$A$1001,customers!$G$1:$G$1001,,0)</f>
        <v/>
      </c>
      <c r="I425">
        <f>INDEX(products!$A$1:$G$49,MATCH(orders!$D425,products!$A$1:$A$49,0),MATCH(orders!I$1,products!$A$1:$G$1,0))</f>
        <v/>
      </c>
      <c r="J425">
        <f>INDEX(products!$A$1:$G$49,MATCH(orders!$D425,products!$A$1:$A$49,0),MATCH(orders!J$1,products!$A$1:$G$1,0))</f>
        <v/>
      </c>
      <c r="K425" s="4">
        <f>INDEX(products!$A$1:$G$49,MATCH(orders!$D425,products!$A$1:$A$49,0),MATCH(orders!K$1,products!$A$1:$G$1,0))</f>
        <v/>
      </c>
      <c r="L425" s="5">
        <f>INDEX(products!$A$1:$G$49,MATCH(orders!$D425,products!$A$1:$A$49,0),MATCH(orders!L$1,products!$A$1:$G$1,0))</f>
        <v/>
      </c>
      <c r="M425" s="5">
        <f>L425*E425</f>
        <v/>
      </c>
      <c r="N425">
        <f>IF(I425="Rob","Robusta",IF(I425="Exc","Excelsa",IF(I425="Ara","Arabica",IF(I425="Lib","Liberica",""))))</f>
        <v/>
      </c>
      <c r="O425">
        <f>IF(J425="M","Medium",IF(J425="L","Light",IF(J425="D","Dark","")))</f>
        <v/>
      </c>
      <c r="P425">
        <f>_xlfn.XLOOKUP(Orders[[#This Row],[Customer ID]],customers!$A$1:$A$1001,customers!$I$1:$I$1001,,0)</f>
        <v/>
      </c>
    </row>
    <row r="426">
      <c r="A426" s="2" t="inlineStr">
        <is>
          <t>O4001</t>
        </is>
      </c>
      <c r="B426" s="3" t="inlineStr">
        <is>
          <t>2020-03-09</t>
        </is>
      </c>
      <c r="C426" s="2" t="inlineStr">
        <is>
          <t>O5481</t>
        </is>
      </c>
      <c r="D426" t="inlineStr">
        <is>
          <t>O3616</t>
        </is>
      </c>
      <c r="E426" s="2" t="n">
        <v>440</v>
      </c>
      <c r="F426" s="2">
        <f>_xlfn.XLOOKUP(C426,customers!$A$1:$A$1001,customers!$B$1:$B$1001,,0)</f>
        <v/>
      </c>
      <c r="G426" s="2">
        <f>IF(_xlfn.XLOOKUP(C426,customers!$A$1:$A$1001,customers!$C$1:$C$1001,,0)=0,"",_xlfn.XLOOKUP(C426,customers!$A$1:$A$1001,customers!$C$1:$C$1001,,0))</f>
        <v/>
      </c>
      <c r="H426" s="2">
        <f>_xlfn.XLOOKUP(C426,customers!$A$1:$A$1001,customers!$G$1:$G$1001,,0)</f>
        <v/>
      </c>
      <c r="I426">
        <f>INDEX(products!$A$1:$G$49,MATCH(orders!$D426,products!$A$1:$A$49,0),MATCH(orders!I$1,products!$A$1:$G$1,0))</f>
        <v/>
      </c>
      <c r="J426">
        <f>INDEX(products!$A$1:$G$49,MATCH(orders!$D426,products!$A$1:$A$49,0),MATCH(orders!J$1,products!$A$1:$G$1,0))</f>
        <v/>
      </c>
      <c r="K426" s="4">
        <f>INDEX(products!$A$1:$G$49,MATCH(orders!$D426,products!$A$1:$A$49,0),MATCH(orders!K$1,products!$A$1:$G$1,0))</f>
        <v/>
      </c>
      <c r="L426" s="5">
        <f>INDEX(products!$A$1:$G$49,MATCH(orders!$D426,products!$A$1:$A$49,0),MATCH(orders!L$1,products!$A$1:$G$1,0))</f>
        <v/>
      </c>
      <c r="M426" s="5">
        <f>L426*E426</f>
        <v/>
      </c>
      <c r="N426">
        <f>IF(I426="Rob","Robusta",IF(I426="Exc","Excelsa",IF(I426="Ara","Arabica",IF(I426="Lib","Liberica",""))))</f>
        <v/>
      </c>
      <c r="O426">
        <f>IF(J426="M","Medium",IF(J426="L","Light",IF(J426="D","Dark","")))</f>
        <v/>
      </c>
      <c r="P426">
        <f>_xlfn.XLOOKUP(Orders[[#This Row],[Customer ID]],customers!$A$1:$A$1001,customers!$I$1:$I$1001,,0)</f>
        <v/>
      </c>
    </row>
    <row r="427">
      <c r="A427" s="2" t="inlineStr">
        <is>
          <t>O5080</t>
        </is>
      </c>
      <c r="B427" s="3" t="inlineStr">
        <is>
          <t>2021-03-06</t>
        </is>
      </c>
      <c r="C427" s="2" t="inlineStr">
        <is>
          <t>O1657</t>
        </is>
      </c>
      <c r="D427" t="inlineStr">
        <is>
          <t>O8571</t>
        </is>
      </c>
      <c r="E427" s="2" t="n">
        <v>273</v>
      </c>
      <c r="F427" s="2">
        <f>_xlfn.XLOOKUP(C427,customers!$A$1:$A$1001,customers!$B$1:$B$1001,,0)</f>
        <v/>
      </c>
      <c r="G427" s="2">
        <f>IF(_xlfn.XLOOKUP(C427,customers!$A$1:$A$1001,customers!$C$1:$C$1001,,0)=0,"",_xlfn.XLOOKUP(C427,customers!$A$1:$A$1001,customers!$C$1:$C$1001,,0))</f>
        <v/>
      </c>
      <c r="H427" s="2">
        <f>_xlfn.XLOOKUP(C427,customers!$A$1:$A$1001,customers!$G$1:$G$1001,,0)</f>
        <v/>
      </c>
      <c r="I427">
        <f>INDEX(products!$A$1:$G$49,MATCH(orders!$D427,products!$A$1:$A$49,0),MATCH(orders!I$1,products!$A$1:$G$1,0))</f>
        <v/>
      </c>
      <c r="J427">
        <f>INDEX(products!$A$1:$G$49,MATCH(orders!$D427,products!$A$1:$A$49,0),MATCH(orders!J$1,products!$A$1:$G$1,0))</f>
        <v/>
      </c>
      <c r="K427" s="4">
        <f>INDEX(products!$A$1:$G$49,MATCH(orders!$D427,products!$A$1:$A$49,0),MATCH(orders!K$1,products!$A$1:$G$1,0))</f>
        <v/>
      </c>
      <c r="L427" s="5">
        <f>INDEX(products!$A$1:$G$49,MATCH(orders!$D427,products!$A$1:$A$49,0),MATCH(orders!L$1,products!$A$1:$G$1,0))</f>
        <v/>
      </c>
      <c r="M427" s="5">
        <f>L427*E427</f>
        <v/>
      </c>
      <c r="N427">
        <f>IF(I427="Rob","Robusta",IF(I427="Exc","Excelsa",IF(I427="Ara","Arabica",IF(I427="Lib","Liberica",""))))</f>
        <v/>
      </c>
      <c r="O427">
        <f>IF(J427="M","Medium",IF(J427="L","Light",IF(J427="D","Dark","")))</f>
        <v/>
      </c>
      <c r="P427">
        <f>_xlfn.XLOOKUP(Orders[[#This Row],[Customer ID]],customers!$A$1:$A$1001,customers!$I$1:$I$1001,,0)</f>
        <v/>
      </c>
    </row>
    <row r="428">
      <c r="A428" s="2" t="inlineStr">
        <is>
          <t>O4369</t>
        </is>
      </c>
      <c r="B428" s="3" t="inlineStr">
        <is>
          <t>2023-10-04</t>
        </is>
      </c>
      <c r="C428" s="2" t="inlineStr">
        <is>
          <t>O8763</t>
        </is>
      </c>
      <c r="D428" t="inlineStr">
        <is>
          <t>O6969</t>
        </is>
      </c>
      <c r="E428" s="2" t="n">
        <v>434</v>
      </c>
      <c r="F428" s="2">
        <f>_xlfn.XLOOKUP(C428,customers!$A$1:$A$1001,customers!$B$1:$B$1001,,0)</f>
        <v/>
      </c>
      <c r="G428" s="2">
        <f>IF(_xlfn.XLOOKUP(C428,customers!$A$1:$A$1001,customers!$C$1:$C$1001,,0)=0,"",_xlfn.XLOOKUP(C428,customers!$A$1:$A$1001,customers!$C$1:$C$1001,,0))</f>
        <v/>
      </c>
      <c r="H428" s="2">
        <f>_xlfn.XLOOKUP(C428,customers!$A$1:$A$1001,customers!$G$1:$G$1001,,0)</f>
        <v/>
      </c>
      <c r="I428">
        <f>INDEX(products!$A$1:$G$49,MATCH(orders!$D428,products!$A$1:$A$49,0),MATCH(orders!I$1,products!$A$1:$G$1,0))</f>
        <v/>
      </c>
      <c r="J428">
        <f>INDEX(products!$A$1:$G$49,MATCH(orders!$D428,products!$A$1:$A$49,0),MATCH(orders!J$1,products!$A$1:$G$1,0))</f>
        <v/>
      </c>
      <c r="K428" s="4">
        <f>INDEX(products!$A$1:$G$49,MATCH(orders!$D428,products!$A$1:$A$49,0),MATCH(orders!K$1,products!$A$1:$G$1,0))</f>
        <v/>
      </c>
      <c r="L428" s="5">
        <f>INDEX(products!$A$1:$G$49,MATCH(orders!$D428,products!$A$1:$A$49,0),MATCH(orders!L$1,products!$A$1:$G$1,0))</f>
        <v/>
      </c>
      <c r="M428" s="5">
        <f>L428*E428</f>
        <v/>
      </c>
      <c r="N428">
        <f>IF(I428="Rob","Robusta",IF(I428="Exc","Excelsa",IF(I428="Ara","Arabica",IF(I428="Lib","Liberica",""))))</f>
        <v/>
      </c>
      <c r="O428">
        <f>IF(J428="M","Medium",IF(J428="L","Light",IF(J428="D","Dark","")))</f>
        <v/>
      </c>
      <c r="P428">
        <f>_xlfn.XLOOKUP(Orders[[#This Row],[Customer ID]],customers!$A$1:$A$1001,customers!$I$1:$I$1001,,0)</f>
        <v/>
      </c>
    </row>
    <row r="429">
      <c r="A429" s="2" t="inlineStr">
        <is>
          <t>O5875</t>
        </is>
      </c>
      <c r="B429" s="3" t="inlineStr">
        <is>
          <t>2020-02-09</t>
        </is>
      </c>
      <c r="C429" s="2" t="inlineStr">
        <is>
          <t>O1644</t>
        </is>
      </c>
      <c r="D429" t="inlineStr">
        <is>
          <t>O1394</t>
        </is>
      </c>
      <c r="E429" s="2" t="n">
        <v>192</v>
      </c>
      <c r="F429" s="2">
        <f>_xlfn.XLOOKUP(C429,customers!$A$1:$A$1001,customers!$B$1:$B$1001,,0)</f>
        <v/>
      </c>
      <c r="G429" s="2">
        <f>IF(_xlfn.XLOOKUP(C429,customers!$A$1:$A$1001,customers!$C$1:$C$1001,,0)=0,"",_xlfn.XLOOKUP(C429,customers!$A$1:$A$1001,customers!$C$1:$C$1001,,0))</f>
        <v/>
      </c>
      <c r="H429" s="2">
        <f>_xlfn.XLOOKUP(C429,customers!$A$1:$A$1001,customers!$G$1:$G$1001,,0)</f>
        <v/>
      </c>
      <c r="I429">
        <f>INDEX(products!$A$1:$G$49,MATCH(orders!$D429,products!$A$1:$A$49,0),MATCH(orders!I$1,products!$A$1:$G$1,0))</f>
        <v/>
      </c>
      <c r="J429">
        <f>INDEX(products!$A$1:$G$49,MATCH(orders!$D429,products!$A$1:$A$49,0),MATCH(orders!J$1,products!$A$1:$G$1,0))</f>
        <v/>
      </c>
      <c r="K429" s="4">
        <f>INDEX(products!$A$1:$G$49,MATCH(orders!$D429,products!$A$1:$A$49,0),MATCH(orders!K$1,products!$A$1:$G$1,0))</f>
        <v/>
      </c>
      <c r="L429" s="5">
        <f>INDEX(products!$A$1:$G$49,MATCH(orders!$D429,products!$A$1:$A$49,0),MATCH(orders!L$1,products!$A$1:$G$1,0))</f>
        <v/>
      </c>
      <c r="M429" s="5">
        <f>L429*E429</f>
        <v/>
      </c>
      <c r="N429">
        <f>IF(I429="Rob","Robusta",IF(I429="Exc","Excelsa",IF(I429="Ara","Arabica",IF(I429="Lib","Liberica",""))))</f>
        <v/>
      </c>
      <c r="O429">
        <f>IF(J429="M","Medium",IF(J429="L","Light",IF(J429="D","Dark","")))</f>
        <v/>
      </c>
      <c r="P429">
        <f>_xlfn.XLOOKUP(Orders[[#This Row],[Customer ID]],customers!$A$1:$A$1001,customers!$I$1:$I$1001,,0)</f>
        <v/>
      </c>
    </row>
    <row r="430">
      <c r="A430" s="2" t="inlineStr">
        <is>
          <t>O9300</t>
        </is>
      </c>
      <c r="B430" s="3" t="inlineStr">
        <is>
          <t>2020-03-10</t>
        </is>
      </c>
      <c r="C430" s="2" t="inlineStr">
        <is>
          <t>O8899</t>
        </is>
      </c>
      <c r="D430" t="inlineStr">
        <is>
          <t>O5000</t>
        </is>
      </c>
      <c r="E430" s="2" t="n">
        <v>215</v>
      </c>
      <c r="F430" s="2">
        <f>_xlfn.XLOOKUP(C430,customers!$A$1:$A$1001,customers!$B$1:$B$1001,,0)</f>
        <v/>
      </c>
      <c r="G430" s="2">
        <f>IF(_xlfn.XLOOKUP(C430,customers!$A$1:$A$1001,customers!$C$1:$C$1001,,0)=0,"",_xlfn.XLOOKUP(C430,customers!$A$1:$A$1001,customers!$C$1:$C$1001,,0))</f>
        <v/>
      </c>
      <c r="H430" s="2">
        <f>_xlfn.XLOOKUP(C430,customers!$A$1:$A$1001,customers!$G$1:$G$1001,,0)</f>
        <v/>
      </c>
      <c r="I430">
        <f>INDEX(products!$A$1:$G$49,MATCH(orders!$D430,products!$A$1:$A$49,0),MATCH(orders!I$1,products!$A$1:$G$1,0))</f>
        <v/>
      </c>
      <c r="J430">
        <f>INDEX(products!$A$1:$G$49,MATCH(orders!$D430,products!$A$1:$A$49,0),MATCH(orders!J$1,products!$A$1:$G$1,0))</f>
        <v/>
      </c>
      <c r="K430" s="4">
        <f>INDEX(products!$A$1:$G$49,MATCH(orders!$D430,products!$A$1:$A$49,0),MATCH(orders!K$1,products!$A$1:$G$1,0))</f>
        <v/>
      </c>
      <c r="L430" s="5">
        <f>INDEX(products!$A$1:$G$49,MATCH(orders!$D430,products!$A$1:$A$49,0),MATCH(orders!L$1,products!$A$1:$G$1,0))</f>
        <v/>
      </c>
      <c r="M430" s="5">
        <f>L430*E430</f>
        <v/>
      </c>
      <c r="N430">
        <f>IF(I430="Rob","Robusta",IF(I430="Exc","Excelsa",IF(I430="Ara","Arabica",IF(I430="Lib","Liberica",""))))</f>
        <v/>
      </c>
      <c r="O430">
        <f>IF(J430="M","Medium",IF(J430="L","Light",IF(J430="D","Dark","")))</f>
        <v/>
      </c>
      <c r="P430">
        <f>_xlfn.XLOOKUP(Orders[[#This Row],[Customer ID]],customers!$A$1:$A$1001,customers!$I$1:$I$1001,,0)</f>
        <v/>
      </c>
    </row>
    <row r="431">
      <c r="A431" s="2" t="inlineStr">
        <is>
          <t>O4676</t>
        </is>
      </c>
      <c r="B431" s="3" t="inlineStr">
        <is>
          <t>2020-02-27</t>
        </is>
      </c>
      <c r="C431" s="2" t="inlineStr">
        <is>
          <t>O2212</t>
        </is>
      </c>
      <c r="D431" t="inlineStr">
        <is>
          <t>O4231</t>
        </is>
      </c>
      <c r="E431" s="2" t="n">
        <v>333</v>
      </c>
      <c r="F431" s="2">
        <f>_xlfn.XLOOKUP(C431,customers!$A$1:$A$1001,customers!$B$1:$B$1001,,0)</f>
        <v/>
      </c>
      <c r="G431" s="2">
        <f>IF(_xlfn.XLOOKUP(C431,customers!$A$1:$A$1001,customers!$C$1:$C$1001,,0)=0,"",_xlfn.XLOOKUP(C431,customers!$A$1:$A$1001,customers!$C$1:$C$1001,,0))</f>
        <v/>
      </c>
      <c r="H431" s="2">
        <f>_xlfn.XLOOKUP(C431,customers!$A$1:$A$1001,customers!$G$1:$G$1001,,0)</f>
        <v/>
      </c>
      <c r="I431">
        <f>INDEX(products!$A$1:$G$49,MATCH(orders!$D431,products!$A$1:$A$49,0),MATCH(orders!I$1,products!$A$1:$G$1,0))</f>
        <v/>
      </c>
      <c r="J431">
        <f>INDEX(products!$A$1:$G$49,MATCH(orders!$D431,products!$A$1:$A$49,0),MATCH(orders!J$1,products!$A$1:$G$1,0))</f>
        <v/>
      </c>
      <c r="K431" s="4">
        <f>INDEX(products!$A$1:$G$49,MATCH(orders!$D431,products!$A$1:$A$49,0),MATCH(orders!K$1,products!$A$1:$G$1,0))</f>
        <v/>
      </c>
      <c r="L431" s="5">
        <f>INDEX(products!$A$1:$G$49,MATCH(orders!$D431,products!$A$1:$A$49,0),MATCH(orders!L$1,products!$A$1:$G$1,0))</f>
        <v/>
      </c>
      <c r="M431" s="5">
        <f>L431*E431</f>
        <v/>
      </c>
      <c r="N431">
        <f>IF(I431="Rob","Robusta",IF(I431="Exc","Excelsa",IF(I431="Ara","Arabica",IF(I431="Lib","Liberica",""))))</f>
        <v/>
      </c>
      <c r="O431">
        <f>IF(J431="M","Medium",IF(J431="L","Light",IF(J431="D","Dark","")))</f>
        <v/>
      </c>
      <c r="P431">
        <f>_xlfn.XLOOKUP(Orders[[#This Row],[Customer ID]],customers!$A$1:$A$1001,customers!$I$1:$I$1001,,0)</f>
        <v/>
      </c>
    </row>
    <row r="432">
      <c r="A432" s="2" t="inlineStr">
        <is>
          <t>O7719</t>
        </is>
      </c>
      <c r="B432" s="3" t="inlineStr">
        <is>
          <t>2020-02-22</t>
        </is>
      </c>
      <c r="C432" s="2" t="inlineStr">
        <is>
          <t>O4715</t>
        </is>
      </c>
      <c r="D432" t="inlineStr">
        <is>
          <t>O3208</t>
        </is>
      </c>
      <c r="E432" s="2" t="n">
        <v>237</v>
      </c>
      <c r="F432" s="2">
        <f>_xlfn.XLOOKUP(C432,customers!$A$1:$A$1001,customers!$B$1:$B$1001,,0)</f>
        <v/>
      </c>
      <c r="G432" s="2">
        <f>IF(_xlfn.XLOOKUP(C432,customers!$A$1:$A$1001,customers!$C$1:$C$1001,,0)=0,"",_xlfn.XLOOKUP(C432,customers!$A$1:$A$1001,customers!$C$1:$C$1001,,0))</f>
        <v/>
      </c>
      <c r="H432" s="2">
        <f>_xlfn.XLOOKUP(C432,customers!$A$1:$A$1001,customers!$G$1:$G$1001,,0)</f>
        <v/>
      </c>
      <c r="I432">
        <f>INDEX(products!$A$1:$G$49,MATCH(orders!$D432,products!$A$1:$A$49,0),MATCH(orders!I$1,products!$A$1:$G$1,0))</f>
        <v/>
      </c>
      <c r="J432">
        <f>INDEX(products!$A$1:$G$49,MATCH(orders!$D432,products!$A$1:$A$49,0),MATCH(orders!J$1,products!$A$1:$G$1,0))</f>
        <v/>
      </c>
      <c r="K432" s="4">
        <f>INDEX(products!$A$1:$G$49,MATCH(orders!$D432,products!$A$1:$A$49,0),MATCH(orders!K$1,products!$A$1:$G$1,0))</f>
        <v/>
      </c>
      <c r="L432" s="5">
        <f>INDEX(products!$A$1:$G$49,MATCH(orders!$D432,products!$A$1:$A$49,0),MATCH(orders!L$1,products!$A$1:$G$1,0))</f>
        <v/>
      </c>
      <c r="M432" s="5">
        <f>L432*E432</f>
        <v/>
      </c>
      <c r="N432">
        <f>IF(I432="Rob","Robusta",IF(I432="Exc","Excelsa",IF(I432="Ara","Arabica",IF(I432="Lib","Liberica",""))))</f>
        <v/>
      </c>
      <c r="O432">
        <f>IF(J432="M","Medium",IF(J432="L","Light",IF(J432="D","Dark","")))</f>
        <v/>
      </c>
      <c r="P432">
        <f>_xlfn.XLOOKUP(Orders[[#This Row],[Customer ID]],customers!$A$1:$A$1001,customers!$I$1:$I$1001,,0)</f>
        <v/>
      </c>
    </row>
    <row r="433">
      <c r="A433" s="2" t="inlineStr">
        <is>
          <t>O2696</t>
        </is>
      </c>
      <c r="B433" s="3" t="inlineStr">
        <is>
          <t>2024-03-14</t>
        </is>
      </c>
      <c r="C433" s="2" t="inlineStr">
        <is>
          <t>O5440</t>
        </is>
      </c>
      <c r="D433" t="inlineStr">
        <is>
          <t>O5713</t>
        </is>
      </c>
      <c r="E433" s="2" t="n">
        <v>275</v>
      </c>
      <c r="F433" s="2">
        <f>_xlfn.XLOOKUP(C433,customers!$A$1:$A$1001,customers!$B$1:$B$1001,,0)</f>
        <v/>
      </c>
      <c r="G433" s="2">
        <f>IF(_xlfn.XLOOKUP(C433,customers!$A$1:$A$1001,customers!$C$1:$C$1001,,0)=0,"",_xlfn.XLOOKUP(C433,customers!$A$1:$A$1001,customers!$C$1:$C$1001,,0))</f>
        <v/>
      </c>
      <c r="H433" s="2">
        <f>_xlfn.XLOOKUP(C433,customers!$A$1:$A$1001,customers!$G$1:$G$1001,,0)</f>
        <v/>
      </c>
      <c r="I433">
        <f>INDEX(products!$A$1:$G$49,MATCH(orders!$D433,products!$A$1:$A$49,0),MATCH(orders!I$1,products!$A$1:$G$1,0))</f>
        <v/>
      </c>
      <c r="J433">
        <f>INDEX(products!$A$1:$G$49,MATCH(orders!$D433,products!$A$1:$A$49,0),MATCH(orders!J$1,products!$A$1:$G$1,0))</f>
        <v/>
      </c>
      <c r="K433" s="4">
        <f>INDEX(products!$A$1:$G$49,MATCH(orders!$D433,products!$A$1:$A$49,0),MATCH(orders!K$1,products!$A$1:$G$1,0))</f>
        <v/>
      </c>
      <c r="L433" s="5">
        <f>INDEX(products!$A$1:$G$49,MATCH(orders!$D433,products!$A$1:$A$49,0),MATCH(orders!L$1,products!$A$1:$G$1,0))</f>
        <v/>
      </c>
      <c r="M433" s="5">
        <f>L433*E433</f>
        <v/>
      </c>
      <c r="N433">
        <f>IF(I433="Rob","Robusta",IF(I433="Exc","Excelsa",IF(I433="Ara","Arabica",IF(I433="Lib","Liberica",""))))</f>
        <v/>
      </c>
      <c r="O433">
        <f>IF(J433="M","Medium",IF(J433="L","Light",IF(J433="D","Dark","")))</f>
        <v/>
      </c>
      <c r="P433">
        <f>_xlfn.XLOOKUP(Orders[[#This Row],[Customer ID]],customers!$A$1:$A$1001,customers!$I$1:$I$1001,,0)</f>
        <v/>
      </c>
    </row>
    <row r="434">
      <c r="A434" s="2" t="inlineStr">
        <is>
          <t>O3463</t>
        </is>
      </c>
      <c r="B434" s="3" t="inlineStr">
        <is>
          <t>2024-06-19</t>
        </is>
      </c>
      <c r="C434" s="2" t="inlineStr">
        <is>
          <t>O4082</t>
        </is>
      </c>
      <c r="D434" t="inlineStr">
        <is>
          <t>O1311</t>
        </is>
      </c>
      <c r="E434" s="2" t="n">
        <v>57</v>
      </c>
      <c r="F434" s="2">
        <f>_xlfn.XLOOKUP(C434,customers!$A$1:$A$1001,customers!$B$1:$B$1001,,0)</f>
        <v/>
      </c>
      <c r="G434" s="2">
        <f>IF(_xlfn.XLOOKUP(C434,customers!$A$1:$A$1001,customers!$C$1:$C$1001,,0)=0,"",_xlfn.XLOOKUP(C434,customers!$A$1:$A$1001,customers!$C$1:$C$1001,,0))</f>
        <v/>
      </c>
      <c r="H434" s="2">
        <f>_xlfn.XLOOKUP(C434,customers!$A$1:$A$1001,customers!$G$1:$G$1001,,0)</f>
        <v/>
      </c>
      <c r="I434">
        <f>INDEX(products!$A$1:$G$49,MATCH(orders!$D434,products!$A$1:$A$49,0),MATCH(orders!I$1,products!$A$1:$G$1,0))</f>
        <v/>
      </c>
      <c r="J434">
        <f>INDEX(products!$A$1:$G$49,MATCH(orders!$D434,products!$A$1:$A$49,0),MATCH(orders!J$1,products!$A$1:$G$1,0))</f>
        <v/>
      </c>
      <c r="K434" s="4">
        <f>INDEX(products!$A$1:$G$49,MATCH(orders!$D434,products!$A$1:$A$49,0),MATCH(orders!K$1,products!$A$1:$G$1,0))</f>
        <v/>
      </c>
      <c r="L434" s="5">
        <f>INDEX(products!$A$1:$G$49,MATCH(orders!$D434,products!$A$1:$A$49,0),MATCH(orders!L$1,products!$A$1:$G$1,0))</f>
        <v/>
      </c>
      <c r="M434" s="5">
        <f>L434*E434</f>
        <v/>
      </c>
      <c r="N434">
        <f>IF(I434="Rob","Robusta",IF(I434="Exc","Excelsa",IF(I434="Ara","Arabica",IF(I434="Lib","Liberica",""))))</f>
        <v/>
      </c>
      <c r="O434">
        <f>IF(J434="M","Medium",IF(J434="L","Light",IF(J434="D","Dark","")))</f>
        <v/>
      </c>
      <c r="P434">
        <f>_xlfn.XLOOKUP(Orders[[#This Row],[Customer ID]],customers!$A$1:$A$1001,customers!$I$1:$I$1001,,0)</f>
        <v/>
      </c>
    </row>
    <row r="435">
      <c r="A435" s="2" t="inlineStr">
        <is>
          <t>O9306</t>
        </is>
      </c>
      <c r="B435" s="3" t="inlineStr">
        <is>
          <t>2021-01-11</t>
        </is>
      </c>
      <c r="C435" s="2" t="inlineStr">
        <is>
          <t>O8664</t>
        </is>
      </c>
      <c r="D435" t="inlineStr">
        <is>
          <t>O8849</t>
        </is>
      </c>
      <c r="E435" s="2" t="n">
        <v>384</v>
      </c>
      <c r="F435" s="2">
        <f>_xlfn.XLOOKUP(C435,customers!$A$1:$A$1001,customers!$B$1:$B$1001,,0)</f>
        <v/>
      </c>
      <c r="G435" s="2">
        <f>IF(_xlfn.XLOOKUP(C435,customers!$A$1:$A$1001,customers!$C$1:$C$1001,,0)=0,"",_xlfn.XLOOKUP(C435,customers!$A$1:$A$1001,customers!$C$1:$C$1001,,0))</f>
        <v/>
      </c>
      <c r="H435" s="2">
        <f>_xlfn.XLOOKUP(C435,customers!$A$1:$A$1001,customers!$G$1:$G$1001,,0)</f>
        <v/>
      </c>
      <c r="I435">
        <f>INDEX(products!$A$1:$G$49,MATCH(orders!$D435,products!$A$1:$A$49,0),MATCH(orders!I$1,products!$A$1:$G$1,0))</f>
        <v/>
      </c>
      <c r="J435">
        <f>INDEX(products!$A$1:$G$49,MATCH(orders!$D435,products!$A$1:$A$49,0),MATCH(orders!J$1,products!$A$1:$G$1,0))</f>
        <v/>
      </c>
      <c r="K435" s="4">
        <f>INDEX(products!$A$1:$G$49,MATCH(orders!$D435,products!$A$1:$A$49,0),MATCH(orders!K$1,products!$A$1:$G$1,0))</f>
        <v/>
      </c>
      <c r="L435" s="5">
        <f>INDEX(products!$A$1:$G$49,MATCH(orders!$D435,products!$A$1:$A$49,0),MATCH(orders!L$1,products!$A$1:$G$1,0))</f>
        <v/>
      </c>
      <c r="M435" s="5">
        <f>L435*E435</f>
        <v/>
      </c>
      <c r="N435">
        <f>IF(I435="Rob","Robusta",IF(I435="Exc","Excelsa",IF(I435="Ara","Arabica",IF(I435="Lib","Liberica",""))))</f>
        <v/>
      </c>
      <c r="O435">
        <f>IF(J435="M","Medium",IF(J435="L","Light",IF(J435="D","Dark","")))</f>
        <v/>
      </c>
      <c r="P435">
        <f>_xlfn.XLOOKUP(Orders[[#This Row],[Customer ID]],customers!$A$1:$A$1001,customers!$I$1:$I$1001,,0)</f>
        <v/>
      </c>
    </row>
    <row r="436">
      <c r="A436" s="2" t="inlineStr">
        <is>
          <t>O5897</t>
        </is>
      </c>
      <c r="B436" s="3" t="inlineStr">
        <is>
          <t>2021-01-14</t>
        </is>
      </c>
      <c r="C436" s="2" t="inlineStr">
        <is>
          <t>O7836</t>
        </is>
      </c>
      <c r="D436" t="inlineStr">
        <is>
          <t>O4433</t>
        </is>
      </c>
      <c r="E436" s="2" t="n">
        <v>244</v>
      </c>
      <c r="F436" s="2">
        <f>_xlfn.XLOOKUP(C436,customers!$A$1:$A$1001,customers!$B$1:$B$1001,,0)</f>
        <v/>
      </c>
      <c r="G436" s="2">
        <f>IF(_xlfn.XLOOKUP(C436,customers!$A$1:$A$1001,customers!$C$1:$C$1001,,0)=0,"",_xlfn.XLOOKUP(C436,customers!$A$1:$A$1001,customers!$C$1:$C$1001,,0))</f>
        <v/>
      </c>
      <c r="H436" s="2">
        <f>_xlfn.XLOOKUP(C436,customers!$A$1:$A$1001,customers!$G$1:$G$1001,,0)</f>
        <v/>
      </c>
      <c r="I436">
        <f>INDEX(products!$A$1:$G$49,MATCH(orders!$D436,products!$A$1:$A$49,0),MATCH(orders!I$1,products!$A$1:$G$1,0))</f>
        <v/>
      </c>
      <c r="J436">
        <f>INDEX(products!$A$1:$G$49,MATCH(orders!$D436,products!$A$1:$A$49,0),MATCH(orders!J$1,products!$A$1:$G$1,0))</f>
        <v/>
      </c>
      <c r="K436" s="4">
        <f>INDEX(products!$A$1:$G$49,MATCH(orders!$D436,products!$A$1:$A$49,0),MATCH(orders!K$1,products!$A$1:$G$1,0))</f>
        <v/>
      </c>
      <c r="L436" s="5">
        <f>INDEX(products!$A$1:$G$49,MATCH(orders!$D436,products!$A$1:$A$49,0),MATCH(orders!L$1,products!$A$1:$G$1,0))</f>
        <v/>
      </c>
      <c r="M436" s="5">
        <f>L436*E436</f>
        <v/>
      </c>
      <c r="N436">
        <f>IF(I436="Rob","Robusta",IF(I436="Exc","Excelsa",IF(I436="Ara","Arabica",IF(I436="Lib","Liberica",""))))</f>
        <v/>
      </c>
      <c r="O436">
        <f>IF(J436="M","Medium",IF(J436="L","Light",IF(J436="D","Dark","")))</f>
        <v/>
      </c>
      <c r="P436">
        <f>_xlfn.XLOOKUP(Orders[[#This Row],[Customer ID]],customers!$A$1:$A$1001,customers!$I$1:$I$1001,,0)</f>
        <v/>
      </c>
    </row>
    <row r="437">
      <c r="A437" s="2" t="inlineStr">
        <is>
          <t>O5937</t>
        </is>
      </c>
      <c r="B437" s="3" t="inlineStr">
        <is>
          <t>2022-06-08</t>
        </is>
      </c>
      <c r="C437" s="2" t="inlineStr">
        <is>
          <t>O5512</t>
        </is>
      </c>
      <c r="D437" t="inlineStr">
        <is>
          <t>O6418</t>
        </is>
      </c>
      <c r="E437" s="2" t="n">
        <v>406</v>
      </c>
      <c r="F437" s="2">
        <f>_xlfn.XLOOKUP(C437,customers!$A$1:$A$1001,customers!$B$1:$B$1001,,0)</f>
        <v/>
      </c>
      <c r="G437" s="2">
        <f>IF(_xlfn.XLOOKUP(C437,customers!$A$1:$A$1001,customers!$C$1:$C$1001,,0)=0,"",_xlfn.XLOOKUP(C437,customers!$A$1:$A$1001,customers!$C$1:$C$1001,,0))</f>
        <v/>
      </c>
      <c r="H437" s="2">
        <f>_xlfn.XLOOKUP(C437,customers!$A$1:$A$1001,customers!$G$1:$G$1001,,0)</f>
        <v/>
      </c>
      <c r="I437">
        <f>INDEX(products!$A$1:$G$49,MATCH(orders!$D437,products!$A$1:$A$49,0),MATCH(orders!I$1,products!$A$1:$G$1,0))</f>
        <v/>
      </c>
      <c r="J437">
        <f>INDEX(products!$A$1:$G$49,MATCH(orders!$D437,products!$A$1:$A$49,0),MATCH(orders!J$1,products!$A$1:$G$1,0))</f>
        <v/>
      </c>
      <c r="K437" s="4">
        <f>INDEX(products!$A$1:$G$49,MATCH(orders!$D437,products!$A$1:$A$49,0),MATCH(orders!K$1,products!$A$1:$G$1,0))</f>
        <v/>
      </c>
      <c r="L437" s="5">
        <f>INDEX(products!$A$1:$G$49,MATCH(orders!$D437,products!$A$1:$A$49,0),MATCH(orders!L$1,products!$A$1:$G$1,0))</f>
        <v/>
      </c>
      <c r="M437" s="5">
        <f>L437*E437</f>
        <v/>
      </c>
      <c r="N437">
        <f>IF(I437="Rob","Robusta",IF(I437="Exc","Excelsa",IF(I437="Ara","Arabica",IF(I437="Lib","Liberica",""))))</f>
        <v/>
      </c>
      <c r="O437">
        <f>IF(J437="M","Medium",IF(J437="L","Light",IF(J437="D","Dark","")))</f>
        <v/>
      </c>
      <c r="P437">
        <f>_xlfn.XLOOKUP(Orders[[#This Row],[Customer ID]],customers!$A$1:$A$1001,customers!$I$1:$I$1001,,0)</f>
        <v/>
      </c>
    </row>
    <row r="438">
      <c r="A438" s="2" t="inlineStr">
        <is>
          <t>O3652</t>
        </is>
      </c>
      <c r="B438" s="3" t="inlineStr">
        <is>
          <t>2020-10-25</t>
        </is>
      </c>
      <c r="C438" s="2" t="inlineStr">
        <is>
          <t>O5153</t>
        </is>
      </c>
      <c r="D438" t="inlineStr">
        <is>
          <t>O4006</t>
        </is>
      </c>
      <c r="E438" s="2" t="n">
        <v>197</v>
      </c>
      <c r="F438" s="2">
        <f>_xlfn.XLOOKUP(C438,customers!$A$1:$A$1001,customers!$B$1:$B$1001,,0)</f>
        <v/>
      </c>
      <c r="G438" s="2">
        <f>IF(_xlfn.XLOOKUP(C438,customers!$A$1:$A$1001,customers!$C$1:$C$1001,,0)=0,"",_xlfn.XLOOKUP(C438,customers!$A$1:$A$1001,customers!$C$1:$C$1001,,0))</f>
        <v/>
      </c>
      <c r="H438" s="2">
        <f>_xlfn.XLOOKUP(C438,customers!$A$1:$A$1001,customers!$G$1:$G$1001,,0)</f>
        <v/>
      </c>
      <c r="I438">
        <f>INDEX(products!$A$1:$G$49,MATCH(orders!$D438,products!$A$1:$A$49,0),MATCH(orders!I$1,products!$A$1:$G$1,0))</f>
        <v/>
      </c>
      <c r="J438">
        <f>INDEX(products!$A$1:$G$49,MATCH(orders!$D438,products!$A$1:$A$49,0),MATCH(orders!J$1,products!$A$1:$G$1,0))</f>
        <v/>
      </c>
      <c r="K438" s="4">
        <f>INDEX(products!$A$1:$G$49,MATCH(orders!$D438,products!$A$1:$A$49,0),MATCH(orders!K$1,products!$A$1:$G$1,0))</f>
        <v/>
      </c>
      <c r="L438" s="5">
        <f>INDEX(products!$A$1:$G$49,MATCH(orders!$D438,products!$A$1:$A$49,0),MATCH(orders!L$1,products!$A$1:$G$1,0))</f>
        <v/>
      </c>
      <c r="M438" s="5">
        <f>L438*E438</f>
        <v/>
      </c>
      <c r="N438">
        <f>IF(I438="Rob","Robusta",IF(I438="Exc","Excelsa",IF(I438="Ara","Arabica",IF(I438="Lib","Liberica",""))))</f>
        <v/>
      </c>
      <c r="O438">
        <f>IF(J438="M","Medium",IF(J438="L","Light",IF(J438="D","Dark","")))</f>
        <v/>
      </c>
      <c r="P438">
        <f>_xlfn.XLOOKUP(Orders[[#This Row],[Customer ID]],customers!$A$1:$A$1001,customers!$I$1:$I$1001,,0)</f>
        <v/>
      </c>
    </row>
    <row r="439">
      <c r="A439" s="2" t="inlineStr">
        <is>
          <t>O9158</t>
        </is>
      </c>
      <c r="B439" s="3" t="inlineStr">
        <is>
          <t>2023-08-23</t>
        </is>
      </c>
      <c r="C439" s="2" t="inlineStr">
        <is>
          <t>O2094</t>
        </is>
      </c>
      <c r="D439" t="inlineStr">
        <is>
          <t>O3796</t>
        </is>
      </c>
      <c r="E439" s="2" t="n">
        <v>241</v>
      </c>
      <c r="F439" s="2">
        <f>_xlfn.XLOOKUP(C439,customers!$A$1:$A$1001,customers!$B$1:$B$1001,,0)</f>
        <v/>
      </c>
      <c r="G439" s="2">
        <f>IF(_xlfn.XLOOKUP(C439,customers!$A$1:$A$1001,customers!$C$1:$C$1001,,0)=0,"",_xlfn.XLOOKUP(C439,customers!$A$1:$A$1001,customers!$C$1:$C$1001,,0))</f>
        <v/>
      </c>
      <c r="H439" s="2">
        <f>_xlfn.XLOOKUP(C439,customers!$A$1:$A$1001,customers!$G$1:$G$1001,,0)</f>
        <v/>
      </c>
      <c r="I439">
        <f>INDEX(products!$A$1:$G$49,MATCH(orders!$D439,products!$A$1:$A$49,0),MATCH(orders!I$1,products!$A$1:$G$1,0))</f>
        <v/>
      </c>
      <c r="J439">
        <f>INDEX(products!$A$1:$G$49,MATCH(orders!$D439,products!$A$1:$A$49,0),MATCH(orders!J$1,products!$A$1:$G$1,0))</f>
        <v/>
      </c>
      <c r="K439" s="4">
        <f>INDEX(products!$A$1:$G$49,MATCH(orders!$D439,products!$A$1:$A$49,0),MATCH(orders!K$1,products!$A$1:$G$1,0))</f>
        <v/>
      </c>
      <c r="L439" s="5">
        <f>INDEX(products!$A$1:$G$49,MATCH(orders!$D439,products!$A$1:$A$49,0),MATCH(orders!L$1,products!$A$1:$G$1,0))</f>
        <v/>
      </c>
      <c r="M439" s="5">
        <f>L439*E439</f>
        <v/>
      </c>
      <c r="N439">
        <f>IF(I439="Rob","Robusta",IF(I439="Exc","Excelsa",IF(I439="Ara","Arabica",IF(I439="Lib","Liberica",""))))</f>
        <v/>
      </c>
      <c r="O439">
        <f>IF(J439="M","Medium",IF(J439="L","Light",IF(J439="D","Dark","")))</f>
        <v/>
      </c>
      <c r="P439">
        <f>_xlfn.XLOOKUP(Orders[[#This Row],[Customer ID]],customers!$A$1:$A$1001,customers!$I$1:$I$1001,,0)</f>
        <v/>
      </c>
    </row>
    <row r="440">
      <c r="A440" s="2" t="inlineStr">
        <is>
          <t>O8603</t>
        </is>
      </c>
      <c r="B440" s="3" t="inlineStr">
        <is>
          <t>2021-03-16</t>
        </is>
      </c>
      <c r="C440" s="2" t="inlineStr">
        <is>
          <t>O8751</t>
        </is>
      </c>
      <c r="D440" t="inlineStr">
        <is>
          <t>O9212</t>
        </is>
      </c>
      <c r="E440" s="2" t="n">
        <v>474</v>
      </c>
      <c r="F440" s="2">
        <f>_xlfn.XLOOKUP(C440,customers!$A$1:$A$1001,customers!$B$1:$B$1001,,0)</f>
        <v/>
      </c>
      <c r="G440" s="2">
        <f>IF(_xlfn.XLOOKUP(C440,customers!$A$1:$A$1001,customers!$C$1:$C$1001,,0)=0,"",_xlfn.XLOOKUP(C440,customers!$A$1:$A$1001,customers!$C$1:$C$1001,,0))</f>
        <v/>
      </c>
      <c r="H440" s="2">
        <f>_xlfn.XLOOKUP(C440,customers!$A$1:$A$1001,customers!$G$1:$G$1001,,0)</f>
        <v/>
      </c>
      <c r="I440">
        <f>INDEX(products!$A$1:$G$49,MATCH(orders!$D440,products!$A$1:$A$49,0),MATCH(orders!I$1,products!$A$1:$G$1,0))</f>
        <v/>
      </c>
      <c r="J440">
        <f>INDEX(products!$A$1:$G$49,MATCH(orders!$D440,products!$A$1:$A$49,0),MATCH(orders!J$1,products!$A$1:$G$1,0))</f>
        <v/>
      </c>
      <c r="K440" s="4">
        <f>INDEX(products!$A$1:$G$49,MATCH(orders!$D440,products!$A$1:$A$49,0),MATCH(orders!K$1,products!$A$1:$G$1,0))</f>
        <v/>
      </c>
      <c r="L440" s="5">
        <f>INDEX(products!$A$1:$G$49,MATCH(orders!$D440,products!$A$1:$A$49,0),MATCH(orders!L$1,products!$A$1:$G$1,0))</f>
        <v/>
      </c>
      <c r="M440" s="5">
        <f>L440*E440</f>
        <v/>
      </c>
      <c r="N440">
        <f>IF(I440="Rob","Robusta",IF(I440="Exc","Excelsa",IF(I440="Ara","Arabica",IF(I440="Lib","Liberica",""))))</f>
        <v/>
      </c>
      <c r="O440">
        <f>IF(J440="M","Medium",IF(J440="L","Light",IF(J440="D","Dark","")))</f>
        <v/>
      </c>
      <c r="P440">
        <f>_xlfn.XLOOKUP(Orders[[#This Row],[Customer ID]],customers!$A$1:$A$1001,customers!$I$1:$I$1001,,0)</f>
        <v/>
      </c>
    </row>
    <row r="441">
      <c r="A441" s="2" t="inlineStr">
        <is>
          <t>O3139</t>
        </is>
      </c>
      <c r="B441" s="3" t="inlineStr">
        <is>
          <t>2024-09-23</t>
        </is>
      </c>
      <c r="C441" s="2" t="inlineStr">
        <is>
          <t>O2364</t>
        </is>
      </c>
      <c r="D441" t="inlineStr">
        <is>
          <t>O6626</t>
        </is>
      </c>
      <c r="E441" s="2" t="n">
        <v>475</v>
      </c>
      <c r="F441" s="2">
        <f>_xlfn.XLOOKUP(C441,customers!$A$1:$A$1001,customers!$B$1:$B$1001,,0)</f>
        <v/>
      </c>
      <c r="G441" s="2">
        <f>IF(_xlfn.XLOOKUP(C441,customers!$A$1:$A$1001,customers!$C$1:$C$1001,,0)=0,"",_xlfn.XLOOKUP(C441,customers!$A$1:$A$1001,customers!$C$1:$C$1001,,0))</f>
        <v/>
      </c>
      <c r="H441" s="2">
        <f>_xlfn.XLOOKUP(C441,customers!$A$1:$A$1001,customers!$G$1:$G$1001,,0)</f>
        <v/>
      </c>
      <c r="I441">
        <f>INDEX(products!$A$1:$G$49,MATCH(orders!$D441,products!$A$1:$A$49,0),MATCH(orders!I$1,products!$A$1:$G$1,0))</f>
        <v/>
      </c>
      <c r="J441">
        <f>INDEX(products!$A$1:$G$49,MATCH(orders!$D441,products!$A$1:$A$49,0),MATCH(orders!J$1,products!$A$1:$G$1,0))</f>
        <v/>
      </c>
      <c r="K441" s="4">
        <f>INDEX(products!$A$1:$G$49,MATCH(orders!$D441,products!$A$1:$A$49,0),MATCH(orders!K$1,products!$A$1:$G$1,0))</f>
        <v/>
      </c>
      <c r="L441" s="5">
        <f>INDEX(products!$A$1:$G$49,MATCH(orders!$D441,products!$A$1:$A$49,0),MATCH(orders!L$1,products!$A$1:$G$1,0))</f>
        <v/>
      </c>
      <c r="M441" s="5">
        <f>L441*E441</f>
        <v/>
      </c>
      <c r="N441">
        <f>IF(I441="Rob","Robusta",IF(I441="Exc","Excelsa",IF(I441="Ara","Arabica",IF(I441="Lib","Liberica",""))))</f>
        <v/>
      </c>
      <c r="O441">
        <f>IF(J441="M","Medium",IF(J441="L","Light",IF(J441="D","Dark","")))</f>
        <v/>
      </c>
      <c r="P441">
        <f>_xlfn.XLOOKUP(Orders[[#This Row],[Customer ID]],customers!$A$1:$A$1001,customers!$I$1:$I$1001,,0)</f>
        <v/>
      </c>
    </row>
    <row r="442">
      <c r="A442" s="2" t="inlineStr">
        <is>
          <t>O1367</t>
        </is>
      </c>
      <c r="B442" s="3" t="inlineStr">
        <is>
          <t>2024-08-16</t>
        </is>
      </c>
      <c r="C442" s="2" t="inlineStr">
        <is>
          <t>O7841</t>
        </is>
      </c>
      <c r="D442" t="inlineStr">
        <is>
          <t>O9959</t>
        </is>
      </c>
      <c r="E442" s="2" t="n">
        <v>430</v>
      </c>
      <c r="F442" s="2">
        <f>_xlfn.XLOOKUP(C442,customers!$A$1:$A$1001,customers!$B$1:$B$1001,,0)</f>
        <v/>
      </c>
      <c r="G442" s="2">
        <f>IF(_xlfn.XLOOKUP(C442,customers!$A$1:$A$1001,customers!$C$1:$C$1001,,0)=0,"",_xlfn.XLOOKUP(C442,customers!$A$1:$A$1001,customers!$C$1:$C$1001,,0))</f>
        <v/>
      </c>
      <c r="H442" s="2">
        <f>_xlfn.XLOOKUP(C442,customers!$A$1:$A$1001,customers!$G$1:$G$1001,,0)</f>
        <v/>
      </c>
      <c r="I442">
        <f>INDEX(products!$A$1:$G$49,MATCH(orders!$D442,products!$A$1:$A$49,0),MATCH(orders!I$1,products!$A$1:$G$1,0))</f>
        <v/>
      </c>
      <c r="J442">
        <f>INDEX(products!$A$1:$G$49,MATCH(orders!$D442,products!$A$1:$A$49,0),MATCH(orders!J$1,products!$A$1:$G$1,0))</f>
        <v/>
      </c>
      <c r="K442" s="4">
        <f>INDEX(products!$A$1:$G$49,MATCH(orders!$D442,products!$A$1:$A$49,0),MATCH(orders!K$1,products!$A$1:$G$1,0))</f>
        <v/>
      </c>
      <c r="L442" s="5">
        <f>INDEX(products!$A$1:$G$49,MATCH(orders!$D442,products!$A$1:$A$49,0),MATCH(orders!L$1,products!$A$1:$G$1,0))</f>
        <v/>
      </c>
      <c r="M442" s="5">
        <f>L442*E442</f>
        <v/>
      </c>
      <c r="N442">
        <f>IF(I442="Rob","Robusta",IF(I442="Exc","Excelsa",IF(I442="Ara","Arabica",IF(I442="Lib","Liberica",""))))</f>
        <v/>
      </c>
      <c r="O442">
        <f>IF(J442="M","Medium",IF(J442="L","Light",IF(J442="D","Dark","")))</f>
        <v/>
      </c>
      <c r="P442">
        <f>_xlfn.XLOOKUP(Orders[[#This Row],[Customer ID]],customers!$A$1:$A$1001,customers!$I$1:$I$1001,,0)</f>
        <v/>
      </c>
    </row>
    <row r="443">
      <c r="A443" s="2" t="inlineStr">
        <is>
          <t>O2592</t>
        </is>
      </c>
      <c r="B443" s="3" t="inlineStr">
        <is>
          <t>2021-02-10</t>
        </is>
      </c>
      <c r="C443" s="2" t="inlineStr">
        <is>
          <t>O3425</t>
        </is>
      </c>
      <c r="D443" t="inlineStr">
        <is>
          <t>O4676</t>
        </is>
      </c>
      <c r="E443" s="2" t="n">
        <v>431</v>
      </c>
      <c r="F443" s="2">
        <f>_xlfn.XLOOKUP(C443,customers!$A$1:$A$1001,customers!$B$1:$B$1001,,0)</f>
        <v/>
      </c>
      <c r="G443" s="2">
        <f>IF(_xlfn.XLOOKUP(C443,customers!$A$1:$A$1001,customers!$C$1:$C$1001,,0)=0,"",_xlfn.XLOOKUP(C443,customers!$A$1:$A$1001,customers!$C$1:$C$1001,,0))</f>
        <v/>
      </c>
      <c r="H443" s="2">
        <f>_xlfn.XLOOKUP(C443,customers!$A$1:$A$1001,customers!$G$1:$G$1001,,0)</f>
        <v/>
      </c>
      <c r="I443">
        <f>INDEX(products!$A$1:$G$49,MATCH(orders!$D443,products!$A$1:$A$49,0),MATCH(orders!I$1,products!$A$1:$G$1,0))</f>
        <v/>
      </c>
      <c r="J443">
        <f>INDEX(products!$A$1:$G$49,MATCH(orders!$D443,products!$A$1:$A$49,0),MATCH(orders!J$1,products!$A$1:$G$1,0))</f>
        <v/>
      </c>
      <c r="K443" s="4">
        <f>INDEX(products!$A$1:$G$49,MATCH(orders!$D443,products!$A$1:$A$49,0),MATCH(orders!K$1,products!$A$1:$G$1,0))</f>
        <v/>
      </c>
      <c r="L443" s="5">
        <f>INDEX(products!$A$1:$G$49,MATCH(orders!$D443,products!$A$1:$A$49,0),MATCH(orders!L$1,products!$A$1:$G$1,0))</f>
        <v/>
      </c>
      <c r="M443" s="5">
        <f>L443*E443</f>
        <v/>
      </c>
      <c r="N443">
        <f>IF(I443="Rob","Robusta",IF(I443="Exc","Excelsa",IF(I443="Ara","Arabica",IF(I443="Lib","Liberica",""))))</f>
        <v/>
      </c>
      <c r="O443">
        <f>IF(J443="M","Medium",IF(J443="L","Light",IF(J443="D","Dark","")))</f>
        <v/>
      </c>
      <c r="P443">
        <f>_xlfn.XLOOKUP(Orders[[#This Row],[Customer ID]],customers!$A$1:$A$1001,customers!$I$1:$I$1001,,0)</f>
        <v/>
      </c>
    </row>
    <row r="444">
      <c r="A444" s="2" t="inlineStr">
        <is>
          <t>O3351</t>
        </is>
      </c>
      <c r="B444" s="3" t="inlineStr">
        <is>
          <t>2021-08-18</t>
        </is>
      </c>
      <c r="C444" s="2" t="inlineStr">
        <is>
          <t>O1751</t>
        </is>
      </c>
      <c r="D444" t="inlineStr">
        <is>
          <t>O3656</t>
        </is>
      </c>
      <c r="E444" s="2" t="n">
        <v>221</v>
      </c>
      <c r="F444" s="2">
        <f>_xlfn.XLOOKUP(C444,customers!$A$1:$A$1001,customers!$B$1:$B$1001,,0)</f>
        <v/>
      </c>
      <c r="G444" s="2">
        <f>IF(_xlfn.XLOOKUP(C444,customers!$A$1:$A$1001,customers!$C$1:$C$1001,,0)=0,"",_xlfn.XLOOKUP(C444,customers!$A$1:$A$1001,customers!$C$1:$C$1001,,0))</f>
        <v/>
      </c>
      <c r="H444" s="2">
        <f>_xlfn.XLOOKUP(C444,customers!$A$1:$A$1001,customers!$G$1:$G$1001,,0)</f>
        <v/>
      </c>
      <c r="I444">
        <f>INDEX(products!$A$1:$G$49,MATCH(orders!$D444,products!$A$1:$A$49,0),MATCH(orders!I$1,products!$A$1:$G$1,0))</f>
        <v/>
      </c>
      <c r="J444">
        <f>INDEX(products!$A$1:$G$49,MATCH(orders!$D444,products!$A$1:$A$49,0),MATCH(orders!J$1,products!$A$1:$G$1,0))</f>
        <v/>
      </c>
      <c r="K444" s="4">
        <f>INDEX(products!$A$1:$G$49,MATCH(orders!$D444,products!$A$1:$A$49,0),MATCH(orders!K$1,products!$A$1:$G$1,0))</f>
        <v/>
      </c>
      <c r="L444" s="5">
        <f>INDEX(products!$A$1:$G$49,MATCH(orders!$D444,products!$A$1:$A$49,0),MATCH(orders!L$1,products!$A$1:$G$1,0))</f>
        <v/>
      </c>
      <c r="M444" s="5">
        <f>L444*E444</f>
        <v/>
      </c>
      <c r="N444">
        <f>IF(I444="Rob","Robusta",IF(I444="Exc","Excelsa",IF(I444="Ara","Arabica",IF(I444="Lib","Liberica",""))))</f>
        <v/>
      </c>
      <c r="O444">
        <f>IF(J444="M","Medium",IF(J444="L","Light",IF(J444="D","Dark","")))</f>
        <v/>
      </c>
      <c r="P444">
        <f>_xlfn.XLOOKUP(Orders[[#This Row],[Customer ID]],customers!$A$1:$A$1001,customers!$I$1:$I$1001,,0)</f>
        <v/>
      </c>
    </row>
    <row r="445">
      <c r="A445" s="2" t="inlineStr">
        <is>
          <t>O7831</t>
        </is>
      </c>
      <c r="B445" s="3" t="inlineStr">
        <is>
          <t>2023-01-04</t>
        </is>
      </c>
      <c r="C445" s="2" t="inlineStr">
        <is>
          <t>O1071</t>
        </is>
      </c>
      <c r="D445" t="inlineStr">
        <is>
          <t>O2619</t>
        </is>
      </c>
      <c r="E445" s="2" t="n">
        <v>353</v>
      </c>
      <c r="F445" s="2">
        <f>_xlfn.XLOOKUP(C445,customers!$A$1:$A$1001,customers!$B$1:$B$1001,,0)</f>
        <v/>
      </c>
      <c r="G445" s="2">
        <f>IF(_xlfn.XLOOKUP(C445,customers!$A$1:$A$1001,customers!$C$1:$C$1001,,0)=0,"",_xlfn.XLOOKUP(C445,customers!$A$1:$A$1001,customers!$C$1:$C$1001,,0))</f>
        <v/>
      </c>
      <c r="H445" s="2">
        <f>_xlfn.XLOOKUP(C445,customers!$A$1:$A$1001,customers!$G$1:$G$1001,,0)</f>
        <v/>
      </c>
      <c r="I445">
        <f>INDEX(products!$A$1:$G$49,MATCH(orders!$D445,products!$A$1:$A$49,0),MATCH(orders!I$1,products!$A$1:$G$1,0))</f>
        <v/>
      </c>
      <c r="J445">
        <f>INDEX(products!$A$1:$G$49,MATCH(orders!$D445,products!$A$1:$A$49,0),MATCH(orders!J$1,products!$A$1:$G$1,0))</f>
        <v/>
      </c>
      <c r="K445" s="4">
        <f>INDEX(products!$A$1:$G$49,MATCH(orders!$D445,products!$A$1:$A$49,0),MATCH(orders!K$1,products!$A$1:$G$1,0))</f>
        <v/>
      </c>
      <c r="L445" s="5">
        <f>INDEX(products!$A$1:$G$49,MATCH(orders!$D445,products!$A$1:$A$49,0),MATCH(orders!L$1,products!$A$1:$G$1,0))</f>
        <v/>
      </c>
      <c r="M445" s="5">
        <f>L445*E445</f>
        <v/>
      </c>
      <c r="N445">
        <f>IF(I445="Rob","Robusta",IF(I445="Exc","Excelsa",IF(I445="Ara","Arabica",IF(I445="Lib","Liberica",""))))</f>
        <v/>
      </c>
      <c r="O445">
        <f>IF(J445="M","Medium",IF(J445="L","Light",IF(J445="D","Dark","")))</f>
        <v/>
      </c>
      <c r="P445">
        <f>_xlfn.XLOOKUP(Orders[[#This Row],[Customer ID]],customers!$A$1:$A$1001,customers!$I$1:$I$1001,,0)</f>
        <v/>
      </c>
    </row>
    <row r="446">
      <c r="A446" s="2" t="inlineStr">
        <is>
          <t>O6110</t>
        </is>
      </c>
      <c r="B446" s="3" t="inlineStr">
        <is>
          <t>2020-06-13</t>
        </is>
      </c>
      <c r="C446" s="2" t="inlineStr">
        <is>
          <t>O6833</t>
        </is>
      </c>
      <c r="D446" t="inlineStr">
        <is>
          <t>O2446</t>
        </is>
      </c>
      <c r="E446" s="2" t="n">
        <v>207</v>
      </c>
      <c r="F446" s="2">
        <f>_xlfn.XLOOKUP(C446,customers!$A$1:$A$1001,customers!$B$1:$B$1001,,0)</f>
        <v/>
      </c>
      <c r="G446" s="2">
        <f>IF(_xlfn.XLOOKUP(C446,customers!$A$1:$A$1001,customers!$C$1:$C$1001,,0)=0,"",_xlfn.XLOOKUP(C446,customers!$A$1:$A$1001,customers!$C$1:$C$1001,,0))</f>
        <v/>
      </c>
      <c r="H446" s="2">
        <f>_xlfn.XLOOKUP(C446,customers!$A$1:$A$1001,customers!$G$1:$G$1001,,0)</f>
        <v/>
      </c>
      <c r="I446">
        <f>INDEX(products!$A$1:$G$49,MATCH(orders!$D446,products!$A$1:$A$49,0),MATCH(orders!I$1,products!$A$1:$G$1,0))</f>
        <v/>
      </c>
      <c r="J446">
        <f>INDEX(products!$A$1:$G$49,MATCH(orders!$D446,products!$A$1:$A$49,0),MATCH(orders!J$1,products!$A$1:$G$1,0))</f>
        <v/>
      </c>
      <c r="K446" s="4">
        <f>INDEX(products!$A$1:$G$49,MATCH(orders!$D446,products!$A$1:$A$49,0),MATCH(orders!K$1,products!$A$1:$G$1,0))</f>
        <v/>
      </c>
      <c r="L446" s="5">
        <f>INDEX(products!$A$1:$G$49,MATCH(orders!$D446,products!$A$1:$A$49,0),MATCH(orders!L$1,products!$A$1:$G$1,0))</f>
        <v/>
      </c>
      <c r="M446" s="5">
        <f>L446*E446</f>
        <v/>
      </c>
      <c r="N446">
        <f>IF(I446="Rob","Robusta",IF(I446="Exc","Excelsa",IF(I446="Ara","Arabica",IF(I446="Lib","Liberica",""))))</f>
        <v/>
      </c>
      <c r="O446">
        <f>IF(J446="M","Medium",IF(J446="L","Light",IF(J446="D","Dark","")))</f>
        <v/>
      </c>
      <c r="P446">
        <f>_xlfn.XLOOKUP(Orders[[#This Row],[Customer ID]],customers!$A$1:$A$1001,customers!$I$1:$I$1001,,0)</f>
        <v/>
      </c>
    </row>
    <row r="447">
      <c r="A447" s="2" t="inlineStr">
        <is>
          <t>O6619</t>
        </is>
      </c>
      <c r="B447" s="3" t="inlineStr">
        <is>
          <t>2024-08-07</t>
        </is>
      </c>
      <c r="C447" s="2" t="inlineStr">
        <is>
          <t>O1611</t>
        </is>
      </c>
      <c r="D447" t="inlineStr">
        <is>
          <t>O5602</t>
        </is>
      </c>
      <c r="E447" s="2" t="n">
        <v>345</v>
      </c>
      <c r="F447" s="2">
        <f>_xlfn.XLOOKUP(C447,customers!$A$1:$A$1001,customers!$B$1:$B$1001,,0)</f>
        <v/>
      </c>
      <c r="G447" s="2">
        <f>IF(_xlfn.XLOOKUP(C447,customers!$A$1:$A$1001,customers!$C$1:$C$1001,,0)=0,"",_xlfn.XLOOKUP(C447,customers!$A$1:$A$1001,customers!$C$1:$C$1001,,0))</f>
        <v/>
      </c>
      <c r="H447" s="2">
        <f>_xlfn.XLOOKUP(C447,customers!$A$1:$A$1001,customers!$G$1:$G$1001,,0)</f>
        <v/>
      </c>
      <c r="I447">
        <f>INDEX(products!$A$1:$G$49,MATCH(orders!$D447,products!$A$1:$A$49,0),MATCH(orders!I$1,products!$A$1:$G$1,0))</f>
        <v/>
      </c>
      <c r="J447">
        <f>INDEX(products!$A$1:$G$49,MATCH(orders!$D447,products!$A$1:$A$49,0),MATCH(orders!J$1,products!$A$1:$G$1,0))</f>
        <v/>
      </c>
      <c r="K447" s="4">
        <f>INDEX(products!$A$1:$G$49,MATCH(orders!$D447,products!$A$1:$A$49,0),MATCH(orders!K$1,products!$A$1:$G$1,0))</f>
        <v/>
      </c>
      <c r="L447" s="5">
        <f>INDEX(products!$A$1:$G$49,MATCH(orders!$D447,products!$A$1:$A$49,0),MATCH(orders!L$1,products!$A$1:$G$1,0))</f>
        <v/>
      </c>
      <c r="M447" s="5">
        <f>L447*E447</f>
        <v/>
      </c>
      <c r="N447">
        <f>IF(I447="Rob","Robusta",IF(I447="Exc","Excelsa",IF(I447="Ara","Arabica",IF(I447="Lib","Liberica",""))))</f>
        <v/>
      </c>
      <c r="O447">
        <f>IF(J447="M","Medium",IF(J447="L","Light",IF(J447="D","Dark","")))</f>
        <v/>
      </c>
      <c r="P447">
        <f>_xlfn.XLOOKUP(Orders[[#This Row],[Customer ID]],customers!$A$1:$A$1001,customers!$I$1:$I$1001,,0)</f>
        <v/>
      </c>
    </row>
    <row r="448">
      <c r="A448" s="2" t="inlineStr">
        <is>
          <t>O2634</t>
        </is>
      </c>
      <c r="B448" s="3" t="inlineStr">
        <is>
          <t>2021-12-06</t>
        </is>
      </c>
      <c r="C448" s="2" t="inlineStr">
        <is>
          <t>O6614</t>
        </is>
      </c>
      <c r="D448" t="inlineStr">
        <is>
          <t>O9727</t>
        </is>
      </c>
      <c r="E448" s="2" t="n">
        <v>348</v>
      </c>
      <c r="F448" s="2">
        <f>_xlfn.XLOOKUP(C448,customers!$A$1:$A$1001,customers!$B$1:$B$1001,,0)</f>
        <v/>
      </c>
      <c r="G448" s="2">
        <f>IF(_xlfn.XLOOKUP(C448,customers!$A$1:$A$1001,customers!$C$1:$C$1001,,0)=0,"",_xlfn.XLOOKUP(C448,customers!$A$1:$A$1001,customers!$C$1:$C$1001,,0))</f>
        <v/>
      </c>
      <c r="H448" s="2">
        <f>_xlfn.XLOOKUP(C448,customers!$A$1:$A$1001,customers!$G$1:$G$1001,,0)</f>
        <v/>
      </c>
      <c r="I448">
        <f>INDEX(products!$A$1:$G$49,MATCH(orders!$D448,products!$A$1:$A$49,0),MATCH(orders!I$1,products!$A$1:$G$1,0))</f>
        <v/>
      </c>
      <c r="J448">
        <f>INDEX(products!$A$1:$G$49,MATCH(orders!$D448,products!$A$1:$A$49,0),MATCH(orders!J$1,products!$A$1:$G$1,0))</f>
        <v/>
      </c>
      <c r="K448" s="4">
        <f>INDEX(products!$A$1:$G$49,MATCH(orders!$D448,products!$A$1:$A$49,0),MATCH(orders!K$1,products!$A$1:$G$1,0))</f>
        <v/>
      </c>
      <c r="L448" s="5">
        <f>INDEX(products!$A$1:$G$49,MATCH(orders!$D448,products!$A$1:$A$49,0),MATCH(orders!L$1,products!$A$1:$G$1,0))</f>
        <v/>
      </c>
      <c r="M448" s="5">
        <f>L448*E448</f>
        <v/>
      </c>
      <c r="N448">
        <f>IF(I448="Rob","Robusta",IF(I448="Exc","Excelsa",IF(I448="Ara","Arabica",IF(I448="Lib","Liberica",""))))</f>
        <v/>
      </c>
      <c r="O448">
        <f>IF(J448="M","Medium",IF(J448="L","Light",IF(J448="D","Dark","")))</f>
        <v/>
      </c>
      <c r="P448">
        <f>_xlfn.XLOOKUP(Orders[[#This Row],[Customer ID]],customers!$A$1:$A$1001,customers!$I$1:$I$1001,,0)</f>
        <v/>
      </c>
    </row>
    <row r="449">
      <c r="A449" s="2" t="inlineStr">
        <is>
          <t>O2073</t>
        </is>
      </c>
      <c r="B449" s="3" t="inlineStr">
        <is>
          <t>2025-05-03</t>
        </is>
      </c>
      <c r="C449" s="2" t="inlineStr">
        <is>
          <t>O5846</t>
        </is>
      </c>
      <c r="D449" t="inlineStr">
        <is>
          <t>O2522</t>
        </is>
      </c>
      <c r="E449" s="2" t="n">
        <v>387</v>
      </c>
      <c r="F449" s="2">
        <f>_xlfn.XLOOKUP(C449,customers!$A$1:$A$1001,customers!$B$1:$B$1001,,0)</f>
        <v/>
      </c>
      <c r="G449" s="2">
        <f>IF(_xlfn.XLOOKUP(C449,customers!$A$1:$A$1001,customers!$C$1:$C$1001,,0)=0,"",_xlfn.XLOOKUP(C449,customers!$A$1:$A$1001,customers!$C$1:$C$1001,,0))</f>
        <v/>
      </c>
      <c r="H449" s="2">
        <f>_xlfn.XLOOKUP(C449,customers!$A$1:$A$1001,customers!$G$1:$G$1001,,0)</f>
        <v/>
      </c>
      <c r="I449">
        <f>INDEX(products!$A$1:$G$49,MATCH(orders!$D449,products!$A$1:$A$49,0),MATCH(orders!I$1,products!$A$1:$G$1,0))</f>
        <v/>
      </c>
      <c r="J449">
        <f>INDEX(products!$A$1:$G$49,MATCH(orders!$D449,products!$A$1:$A$49,0),MATCH(orders!J$1,products!$A$1:$G$1,0))</f>
        <v/>
      </c>
      <c r="K449" s="4">
        <f>INDEX(products!$A$1:$G$49,MATCH(orders!$D449,products!$A$1:$A$49,0),MATCH(orders!K$1,products!$A$1:$G$1,0))</f>
        <v/>
      </c>
      <c r="L449" s="5">
        <f>INDEX(products!$A$1:$G$49,MATCH(orders!$D449,products!$A$1:$A$49,0),MATCH(orders!L$1,products!$A$1:$G$1,0))</f>
        <v/>
      </c>
      <c r="M449" s="5">
        <f>L449*E449</f>
        <v/>
      </c>
      <c r="N449">
        <f>IF(I449="Rob","Robusta",IF(I449="Exc","Excelsa",IF(I449="Ara","Arabica",IF(I449="Lib","Liberica",""))))</f>
        <v/>
      </c>
      <c r="O449">
        <f>IF(J449="M","Medium",IF(J449="L","Light",IF(J449="D","Dark","")))</f>
        <v/>
      </c>
      <c r="P449">
        <f>_xlfn.XLOOKUP(Orders[[#This Row],[Customer ID]],customers!$A$1:$A$1001,customers!$I$1:$I$1001,,0)</f>
        <v/>
      </c>
    </row>
    <row r="450">
      <c r="A450" s="2" t="inlineStr">
        <is>
          <t>O3853</t>
        </is>
      </c>
      <c r="B450" s="3" t="inlineStr">
        <is>
          <t>2020-04-24</t>
        </is>
      </c>
      <c r="C450" s="2" t="inlineStr">
        <is>
          <t>O6628</t>
        </is>
      </c>
      <c r="D450" t="inlineStr">
        <is>
          <t>O5823</t>
        </is>
      </c>
      <c r="E450" s="2" t="n">
        <v>357</v>
      </c>
      <c r="F450" s="2">
        <f>_xlfn.XLOOKUP(C450,customers!$A$1:$A$1001,customers!$B$1:$B$1001,,0)</f>
        <v/>
      </c>
      <c r="G450" s="2">
        <f>IF(_xlfn.XLOOKUP(C450,customers!$A$1:$A$1001,customers!$C$1:$C$1001,,0)=0,"",_xlfn.XLOOKUP(C450,customers!$A$1:$A$1001,customers!$C$1:$C$1001,,0))</f>
        <v/>
      </c>
      <c r="H450" s="2">
        <f>_xlfn.XLOOKUP(C450,customers!$A$1:$A$1001,customers!$G$1:$G$1001,,0)</f>
        <v/>
      </c>
      <c r="I450">
        <f>INDEX(products!$A$1:$G$49,MATCH(orders!$D450,products!$A$1:$A$49,0),MATCH(orders!I$1,products!$A$1:$G$1,0))</f>
        <v/>
      </c>
      <c r="J450">
        <f>INDEX(products!$A$1:$G$49,MATCH(orders!$D450,products!$A$1:$A$49,0),MATCH(orders!J$1,products!$A$1:$G$1,0))</f>
        <v/>
      </c>
      <c r="K450" s="4">
        <f>INDEX(products!$A$1:$G$49,MATCH(orders!$D450,products!$A$1:$A$49,0),MATCH(orders!K$1,products!$A$1:$G$1,0))</f>
        <v/>
      </c>
      <c r="L450" s="5">
        <f>INDEX(products!$A$1:$G$49,MATCH(orders!$D450,products!$A$1:$A$49,0),MATCH(orders!L$1,products!$A$1:$G$1,0))</f>
        <v/>
      </c>
      <c r="M450" s="5">
        <f>L450*E450</f>
        <v/>
      </c>
      <c r="N450">
        <f>IF(I450="Rob","Robusta",IF(I450="Exc","Excelsa",IF(I450="Ara","Arabica",IF(I450="Lib","Liberica",""))))</f>
        <v/>
      </c>
      <c r="O450">
        <f>IF(J450="M","Medium",IF(J450="L","Light",IF(J450="D","Dark","")))</f>
        <v/>
      </c>
      <c r="P450">
        <f>_xlfn.XLOOKUP(Orders[[#This Row],[Customer ID]],customers!$A$1:$A$1001,customers!$I$1:$I$1001,,0)</f>
        <v/>
      </c>
    </row>
    <row r="451">
      <c r="A451" s="2" t="inlineStr">
        <is>
          <t>O6518</t>
        </is>
      </c>
      <c r="B451" s="3" t="inlineStr">
        <is>
          <t>2023-05-16</t>
        </is>
      </c>
      <c r="C451" s="2" t="inlineStr">
        <is>
          <t>O9807</t>
        </is>
      </c>
      <c r="D451" t="inlineStr">
        <is>
          <t>O7574</t>
        </is>
      </c>
      <c r="E451" s="2" t="n">
        <v>131</v>
      </c>
      <c r="F451" s="2">
        <f>_xlfn.XLOOKUP(C451,customers!$A$1:$A$1001,customers!$B$1:$B$1001,,0)</f>
        <v/>
      </c>
      <c r="G451" s="2">
        <f>IF(_xlfn.XLOOKUP(C451,customers!$A$1:$A$1001,customers!$C$1:$C$1001,,0)=0,"",_xlfn.XLOOKUP(C451,customers!$A$1:$A$1001,customers!$C$1:$C$1001,,0))</f>
        <v/>
      </c>
      <c r="H451" s="2">
        <f>_xlfn.XLOOKUP(C451,customers!$A$1:$A$1001,customers!$G$1:$G$1001,,0)</f>
        <v/>
      </c>
      <c r="I451">
        <f>INDEX(products!$A$1:$G$49,MATCH(orders!$D451,products!$A$1:$A$49,0),MATCH(orders!I$1,products!$A$1:$G$1,0))</f>
        <v/>
      </c>
      <c r="J451">
        <f>INDEX(products!$A$1:$G$49,MATCH(orders!$D451,products!$A$1:$A$49,0),MATCH(orders!J$1,products!$A$1:$G$1,0))</f>
        <v/>
      </c>
      <c r="K451" s="4">
        <f>INDEX(products!$A$1:$G$49,MATCH(orders!$D451,products!$A$1:$A$49,0),MATCH(orders!K$1,products!$A$1:$G$1,0))</f>
        <v/>
      </c>
      <c r="L451" s="5">
        <f>INDEX(products!$A$1:$G$49,MATCH(orders!$D451,products!$A$1:$A$49,0),MATCH(orders!L$1,products!$A$1:$G$1,0))</f>
        <v/>
      </c>
      <c r="M451" s="5">
        <f>L451*E451</f>
        <v/>
      </c>
      <c r="N451">
        <f>IF(I451="Rob","Robusta",IF(I451="Exc","Excelsa",IF(I451="Ara","Arabica",IF(I451="Lib","Liberica",""))))</f>
        <v/>
      </c>
      <c r="O451">
        <f>IF(J451="M","Medium",IF(J451="L","Light",IF(J451="D","Dark","")))</f>
        <v/>
      </c>
      <c r="P451">
        <f>_xlfn.XLOOKUP(Orders[[#This Row],[Customer ID]],customers!$A$1:$A$1001,customers!$I$1:$I$1001,,0)</f>
        <v/>
      </c>
    </row>
    <row r="452">
      <c r="A452" s="2" t="inlineStr">
        <is>
          <t>O8927</t>
        </is>
      </c>
      <c r="B452" s="3" t="inlineStr">
        <is>
          <t>2024-03-20</t>
        </is>
      </c>
      <c r="C452" s="2" t="inlineStr">
        <is>
          <t>O8247</t>
        </is>
      </c>
      <c r="D452" t="inlineStr">
        <is>
          <t>O6028</t>
        </is>
      </c>
      <c r="E452" s="2" t="n">
        <v>434</v>
      </c>
      <c r="F452" s="2">
        <f>_xlfn.XLOOKUP(C452,customers!$A$1:$A$1001,customers!$B$1:$B$1001,,0)</f>
        <v/>
      </c>
      <c r="G452" s="2">
        <f>IF(_xlfn.XLOOKUP(C452,customers!$A$1:$A$1001,customers!$C$1:$C$1001,,0)=0,"",_xlfn.XLOOKUP(C452,customers!$A$1:$A$1001,customers!$C$1:$C$1001,,0))</f>
        <v/>
      </c>
      <c r="H452" s="2">
        <f>_xlfn.XLOOKUP(C452,customers!$A$1:$A$1001,customers!$G$1:$G$1001,,0)</f>
        <v/>
      </c>
      <c r="I452">
        <f>INDEX(products!$A$1:$G$49,MATCH(orders!$D452,products!$A$1:$A$49,0),MATCH(orders!I$1,products!$A$1:$G$1,0))</f>
        <v/>
      </c>
      <c r="J452">
        <f>INDEX(products!$A$1:$G$49,MATCH(orders!$D452,products!$A$1:$A$49,0),MATCH(orders!J$1,products!$A$1:$G$1,0))</f>
        <v/>
      </c>
      <c r="K452" s="4">
        <f>INDEX(products!$A$1:$G$49,MATCH(orders!$D452,products!$A$1:$A$49,0),MATCH(orders!K$1,products!$A$1:$G$1,0))</f>
        <v/>
      </c>
      <c r="L452" s="5">
        <f>INDEX(products!$A$1:$G$49,MATCH(orders!$D452,products!$A$1:$A$49,0),MATCH(orders!L$1,products!$A$1:$G$1,0))</f>
        <v/>
      </c>
      <c r="M452" s="5">
        <f>L452*E452</f>
        <v/>
      </c>
      <c r="N452">
        <f>IF(I452="Rob","Robusta",IF(I452="Exc","Excelsa",IF(I452="Ara","Arabica",IF(I452="Lib","Liberica",""))))</f>
        <v/>
      </c>
      <c r="O452">
        <f>IF(J452="M","Medium",IF(J452="L","Light",IF(J452="D","Dark","")))</f>
        <v/>
      </c>
      <c r="P452">
        <f>_xlfn.XLOOKUP(Orders[[#This Row],[Customer ID]],customers!$A$1:$A$1001,customers!$I$1:$I$1001,,0)</f>
        <v/>
      </c>
    </row>
    <row r="453">
      <c r="A453" s="2" t="inlineStr">
        <is>
          <t>O5991</t>
        </is>
      </c>
      <c r="B453" s="3" t="inlineStr">
        <is>
          <t>2022-10-11</t>
        </is>
      </c>
      <c r="C453" s="2" t="inlineStr">
        <is>
          <t>O5533</t>
        </is>
      </c>
      <c r="D453" t="inlineStr">
        <is>
          <t>O1957</t>
        </is>
      </c>
      <c r="E453" s="2" t="n">
        <v>54</v>
      </c>
      <c r="F453" s="2">
        <f>_xlfn.XLOOKUP(C453,customers!$A$1:$A$1001,customers!$B$1:$B$1001,,0)</f>
        <v/>
      </c>
      <c r="G453" s="2">
        <f>IF(_xlfn.XLOOKUP(C453,customers!$A$1:$A$1001,customers!$C$1:$C$1001,,0)=0,"",_xlfn.XLOOKUP(C453,customers!$A$1:$A$1001,customers!$C$1:$C$1001,,0))</f>
        <v/>
      </c>
      <c r="H453" s="2">
        <f>_xlfn.XLOOKUP(C453,customers!$A$1:$A$1001,customers!$G$1:$G$1001,,0)</f>
        <v/>
      </c>
      <c r="I453">
        <f>INDEX(products!$A$1:$G$49,MATCH(orders!$D453,products!$A$1:$A$49,0),MATCH(orders!I$1,products!$A$1:$G$1,0))</f>
        <v/>
      </c>
      <c r="J453">
        <f>INDEX(products!$A$1:$G$49,MATCH(orders!$D453,products!$A$1:$A$49,0),MATCH(orders!J$1,products!$A$1:$G$1,0))</f>
        <v/>
      </c>
      <c r="K453" s="4">
        <f>INDEX(products!$A$1:$G$49,MATCH(orders!$D453,products!$A$1:$A$49,0),MATCH(orders!K$1,products!$A$1:$G$1,0))</f>
        <v/>
      </c>
      <c r="L453" s="5">
        <f>INDEX(products!$A$1:$G$49,MATCH(orders!$D453,products!$A$1:$A$49,0),MATCH(orders!L$1,products!$A$1:$G$1,0))</f>
        <v/>
      </c>
      <c r="M453" s="5">
        <f>L453*E453</f>
        <v/>
      </c>
      <c r="N453">
        <f>IF(I453="Rob","Robusta",IF(I453="Exc","Excelsa",IF(I453="Ara","Arabica",IF(I453="Lib","Liberica",""))))</f>
        <v/>
      </c>
      <c r="O453">
        <f>IF(J453="M","Medium",IF(J453="L","Light",IF(J453="D","Dark","")))</f>
        <v/>
      </c>
      <c r="P453">
        <f>_xlfn.XLOOKUP(Orders[[#This Row],[Customer ID]],customers!$A$1:$A$1001,customers!$I$1:$I$1001,,0)</f>
        <v/>
      </c>
    </row>
    <row r="454">
      <c r="A454" s="2" t="inlineStr">
        <is>
          <t>O1997</t>
        </is>
      </c>
      <c r="B454" s="3" t="inlineStr">
        <is>
          <t>2021-11-28</t>
        </is>
      </c>
      <c r="C454" s="2" t="inlineStr">
        <is>
          <t>O2695</t>
        </is>
      </c>
      <c r="D454" t="inlineStr">
        <is>
          <t>O7480</t>
        </is>
      </c>
      <c r="E454" s="2" t="n">
        <v>156</v>
      </c>
      <c r="F454" s="2">
        <f>_xlfn.XLOOKUP(C454,customers!$A$1:$A$1001,customers!$B$1:$B$1001,,0)</f>
        <v/>
      </c>
      <c r="G454" s="2">
        <f>IF(_xlfn.XLOOKUP(C454,customers!$A$1:$A$1001,customers!$C$1:$C$1001,,0)=0,"",_xlfn.XLOOKUP(C454,customers!$A$1:$A$1001,customers!$C$1:$C$1001,,0))</f>
        <v/>
      </c>
      <c r="H454" s="2">
        <f>_xlfn.XLOOKUP(C454,customers!$A$1:$A$1001,customers!$G$1:$G$1001,,0)</f>
        <v/>
      </c>
      <c r="I454">
        <f>INDEX(products!$A$1:$G$49,MATCH(orders!$D454,products!$A$1:$A$49,0),MATCH(orders!I$1,products!$A$1:$G$1,0))</f>
        <v/>
      </c>
      <c r="J454">
        <f>INDEX(products!$A$1:$G$49,MATCH(orders!$D454,products!$A$1:$A$49,0),MATCH(orders!J$1,products!$A$1:$G$1,0))</f>
        <v/>
      </c>
      <c r="K454" s="4">
        <f>INDEX(products!$A$1:$G$49,MATCH(orders!$D454,products!$A$1:$A$49,0),MATCH(orders!K$1,products!$A$1:$G$1,0))</f>
        <v/>
      </c>
      <c r="L454" s="5">
        <f>INDEX(products!$A$1:$G$49,MATCH(orders!$D454,products!$A$1:$A$49,0),MATCH(orders!L$1,products!$A$1:$G$1,0))</f>
        <v/>
      </c>
      <c r="M454" s="5">
        <f>L454*E454</f>
        <v/>
      </c>
      <c r="N454">
        <f>IF(I454="Rob","Robusta",IF(I454="Exc","Excelsa",IF(I454="Ara","Arabica",IF(I454="Lib","Liberica",""))))</f>
        <v/>
      </c>
      <c r="O454">
        <f>IF(J454="M","Medium",IF(J454="L","Light",IF(J454="D","Dark","")))</f>
        <v/>
      </c>
      <c r="P454">
        <f>_xlfn.XLOOKUP(Orders[[#This Row],[Customer ID]],customers!$A$1:$A$1001,customers!$I$1:$I$1001,,0)</f>
        <v/>
      </c>
    </row>
    <row r="455">
      <c r="A455" s="2" t="inlineStr">
        <is>
          <t>O1940</t>
        </is>
      </c>
      <c r="B455" s="3" t="inlineStr">
        <is>
          <t>2024-03-07</t>
        </is>
      </c>
      <c r="C455" s="2" t="inlineStr">
        <is>
          <t>O4424</t>
        </is>
      </c>
      <c r="D455" t="inlineStr">
        <is>
          <t>O4088</t>
        </is>
      </c>
      <c r="E455" s="2" t="n">
        <v>4</v>
      </c>
      <c r="F455" s="2">
        <f>_xlfn.XLOOKUP(C455,customers!$A$1:$A$1001,customers!$B$1:$B$1001,,0)</f>
        <v/>
      </c>
      <c r="G455" s="2">
        <f>IF(_xlfn.XLOOKUP(C455,customers!$A$1:$A$1001,customers!$C$1:$C$1001,,0)=0,"",_xlfn.XLOOKUP(C455,customers!$A$1:$A$1001,customers!$C$1:$C$1001,,0))</f>
        <v/>
      </c>
      <c r="H455" s="2">
        <f>_xlfn.XLOOKUP(C455,customers!$A$1:$A$1001,customers!$G$1:$G$1001,,0)</f>
        <v/>
      </c>
      <c r="I455">
        <f>INDEX(products!$A$1:$G$49,MATCH(orders!$D455,products!$A$1:$A$49,0),MATCH(orders!I$1,products!$A$1:$G$1,0))</f>
        <v/>
      </c>
      <c r="J455">
        <f>INDEX(products!$A$1:$G$49,MATCH(orders!$D455,products!$A$1:$A$49,0),MATCH(orders!J$1,products!$A$1:$G$1,0))</f>
        <v/>
      </c>
      <c r="K455" s="4">
        <f>INDEX(products!$A$1:$G$49,MATCH(orders!$D455,products!$A$1:$A$49,0),MATCH(orders!K$1,products!$A$1:$G$1,0))</f>
        <v/>
      </c>
      <c r="L455" s="5">
        <f>INDEX(products!$A$1:$G$49,MATCH(orders!$D455,products!$A$1:$A$49,0),MATCH(orders!L$1,products!$A$1:$G$1,0))</f>
        <v/>
      </c>
      <c r="M455" s="5">
        <f>L455*E455</f>
        <v/>
      </c>
      <c r="N455">
        <f>IF(I455="Rob","Robusta",IF(I455="Exc","Excelsa",IF(I455="Ara","Arabica",IF(I455="Lib","Liberica",""))))</f>
        <v/>
      </c>
      <c r="O455">
        <f>IF(J455="M","Medium",IF(J455="L","Light",IF(J455="D","Dark","")))</f>
        <v/>
      </c>
      <c r="P455">
        <f>_xlfn.XLOOKUP(Orders[[#This Row],[Customer ID]],customers!$A$1:$A$1001,customers!$I$1:$I$1001,,0)</f>
        <v/>
      </c>
    </row>
    <row r="456">
      <c r="A456" s="2" t="inlineStr">
        <is>
          <t>O9802</t>
        </is>
      </c>
      <c r="B456" s="3" t="inlineStr">
        <is>
          <t>2025-05-30</t>
        </is>
      </c>
      <c r="C456" s="2" t="inlineStr">
        <is>
          <t>O8488</t>
        </is>
      </c>
      <c r="D456" t="inlineStr">
        <is>
          <t>O7284</t>
        </is>
      </c>
      <c r="E456" s="2" t="n">
        <v>366</v>
      </c>
      <c r="F456" s="2">
        <f>_xlfn.XLOOKUP(C456,customers!$A$1:$A$1001,customers!$B$1:$B$1001,,0)</f>
        <v/>
      </c>
      <c r="G456" s="2">
        <f>IF(_xlfn.XLOOKUP(C456,customers!$A$1:$A$1001,customers!$C$1:$C$1001,,0)=0,"",_xlfn.XLOOKUP(C456,customers!$A$1:$A$1001,customers!$C$1:$C$1001,,0))</f>
        <v/>
      </c>
      <c r="H456" s="2">
        <f>_xlfn.XLOOKUP(C456,customers!$A$1:$A$1001,customers!$G$1:$G$1001,,0)</f>
        <v/>
      </c>
      <c r="I456">
        <f>INDEX(products!$A$1:$G$49,MATCH(orders!$D456,products!$A$1:$A$49,0),MATCH(orders!I$1,products!$A$1:$G$1,0))</f>
        <v/>
      </c>
      <c r="J456">
        <f>INDEX(products!$A$1:$G$49,MATCH(orders!$D456,products!$A$1:$A$49,0),MATCH(orders!J$1,products!$A$1:$G$1,0))</f>
        <v/>
      </c>
      <c r="K456" s="4">
        <f>INDEX(products!$A$1:$G$49,MATCH(orders!$D456,products!$A$1:$A$49,0),MATCH(orders!K$1,products!$A$1:$G$1,0))</f>
        <v/>
      </c>
      <c r="L456" s="5">
        <f>INDEX(products!$A$1:$G$49,MATCH(orders!$D456,products!$A$1:$A$49,0),MATCH(orders!L$1,products!$A$1:$G$1,0))</f>
        <v/>
      </c>
      <c r="M456" s="5">
        <f>L456*E456</f>
        <v/>
      </c>
      <c r="N456">
        <f>IF(I456="Rob","Robusta",IF(I456="Exc","Excelsa",IF(I456="Ara","Arabica",IF(I456="Lib","Liberica",""))))</f>
        <v/>
      </c>
      <c r="O456">
        <f>IF(J456="M","Medium",IF(J456="L","Light",IF(J456="D","Dark","")))</f>
        <v/>
      </c>
      <c r="P456">
        <f>_xlfn.XLOOKUP(Orders[[#This Row],[Customer ID]],customers!$A$1:$A$1001,customers!$I$1:$I$1001,,0)</f>
        <v/>
      </c>
    </row>
    <row r="457">
      <c r="A457" s="2" t="inlineStr">
        <is>
          <t>O3423</t>
        </is>
      </c>
      <c r="B457" s="3" t="inlineStr">
        <is>
          <t>2020-08-23</t>
        </is>
      </c>
      <c r="C457" s="2" t="inlineStr">
        <is>
          <t>O9038</t>
        </is>
      </c>
      <c r="D457" t="inlineStr">
        <is>
          <t>O9987</t>
        </is>
      </c>
      <c r="E457" s="2" t="n">
        <v>7</v>
      </c>
      <c r="F457" s="2">
        <f>_xlfn.XLOOKUP(C457,customers!$A$1:$A$1001,customers!$B$1:$B$1001,,0)</f>
        <v/>
      </c>
      <c r="G457" s="2">
        <f>IF(_xlfn.XLOOKUP(C457,customers!$A$1:$A$1001,customers!$C$1:$C$1001,,0)=0,"",_xlfn.XLOOKUP(C457,customers!$A$1:$A$1001,customers!$C$1:$C$1001,,0))</f>
        <v/>
      </c>
      <c r="H457" s="2">
        <f>_xlfn.XLOOKUP(C457,customers!$A$1:$A$1001,customers!$G$1:$G$1001,,0)</f>
        <v/>
      </c>
      <c r="I457">
        <f>INDEX(products!$A$1:$G$49,MATCH(orders!$D457,products!$A$1:$A$49,0),MATCH(orders!I$1,products!$A$1:$G$1,0))</f>
        <v/>
      </c>
      <c r="J457">
        <f>INDEX(products!$A$1:$G$49,MATCH(orders!$D457,products!$A$1:$A$49,0),MATCH(orders!J$1,products!$A$1:$G$1,0))</f>
        <v/>
      </c>
      <c r="K457" s="4">
        <f>INDEX(products!$A$1:$G$49,MATCH(orders!$D457,products!$A$1:$A$49,0),MATCH(orders!K$1,products!$A$1:$G$1,0))</f>
        <v/>
      </c>
      <c r="L457" s="5">
        <f>INDEX(products!$A$1:$G$49,MATCH(orders!$D457,products!$A$1:$A$49,0),MATCH(orders!L$1,products!$A$1:$G$1,0))</f>
        <v/>
      </c>
      <c r="M457" s="5">
        <f>L457*E457</f>
        <v/>
      </c>
      <c r="N457">
        <f>IF(I457="Rob","Robusta",IF(I457="Exc","Excelsa",IF(I457="Ara","Arabica",IF(I457="Lib","Liberica",""))))</f>
        <v/>
      </c>
      <c r="O457">
        <f>IF(J457="M","Medium",IF(J457="L","Light",IF(J457="D","Dark","")))</f>
        <v/>
      </c>
      <c r="P457">
        <f>_xlfn.XLOOKUP(Orders[[#This Row],[Customer ID]],customers!$A$1:$A$1001,customers!$I$1:$I$1001,,0)</f>
        <v/>
      </c>
    </row>
    <row r="458">
      <c r="A458" s="2" t="inlineStr">
        <is>
          <t>O4934</t>
        </is>
      </c>
      <c r="B458" s="3" t="inlineStr">
        <is>
          <t>2022-01-20</t>
        </is>
      </c>
      <c r="C458" s="2" t="inlineStr">
        <is>
          <t>O8521</t>
        </is>
      </c>
      <c r="D458" t="inlineStr">
        <is>
          <t>O3889</t>
        </is>
      </c>
      <c r="E458" s="2" t="n">
        <v>128</v>
      </c>
      <c r="F458" s="2">
        <f>_xlfn.XLOOKUP(C458,customers!$A$1:$A$1001,customers!$B$1:$B$1001,,0)</f>
        <v/>
      </c>
      <c r="G458" s="2">
        <f>IF(_xlfn.XLOOKUP(C458,customers!$A$1:$A$1001,customers!$C$1:$C$1001,,0)=0,"",_xlfn.XLOOKUP(C458,customers!$A$1:$A$1001,customers!$C$1:$C$1001,,0))</f>
        <v/>
      </c>
      <c r="H458" s="2">
        <f>_xlfn.XLOOKUP(C458,customers!$A$1:$A$1001,customers!$G$1:$G$1001,,0)</f>
        <v/>
      </c>
      <c r="I458">
        <f>INDEX(products!$A$1:$G$49,MATCH(orders!$D458,products!$A$1:$A$49,0),MATCH(orders!I$1,products!$A$1:$G$1,0))</f>
        <v/>
      </c>
      <c r="J458">
        <f>INDEX(products!$A$1:$G$49,MATCH(orders!$D458,products!$A$1:$A$49,0),MATCH(orders!J$1,products!$A$1:$G$1,0))</f>
        <v/>
      </c>
      <c r="K458" s="4">
        <f>INDEX(products!$A$1:$G$49,MATCH(orders!$D458,products!$A$1:$A$49,0),MATCH(orders!K$1,products!$A$1:$G$1,0))</f>
        <v/>
      </c>
      <c r="L458" s="5">
        <f>INDEX(products!$A$1:$G$49,MATCH(orders!$D458,products!$A$1:$A$49,0),MATCH(orders!L$1,products!$A$1:$G$1,0))</f>
        <v/>
      </c>
      <c r="M458" s="5">
        <f>L458*E458</f>
        <v/>
      </c>
      <c r="N458">
        <f>IF(I458="Rob","Robusta",IF(I458="Exc","Excelsa",IF(I458="Ara","Arabica",IF(I458="Lib","Liberica",""))))</f>
        <v/>
      </c>
      <c r="O458">
        <f>IF(J458="M","Medium",IF(J458="L","Light",IF(J458="D","Dark","")))</f>
        <v/>
      </c>
      <c r="P458">
        <f>_xlfn.XLOOKUP(Orders[[#This Row],[Customer ID]],customers!$A$1:$A$1001,customers!$I$1:$I$1001,,0)</f>
        <v/>
      </c>
    </row>
    <row r="459">
      <c r="A459" s="2" t="inlineStr">
        <is>
          <t>O8526</t>
        </is>
      </c>
      <c r="B459" s="3" t="inlineStr">
        <is>
          <t>2021-11-23</t>
        </is>
      </c>
      <c r="C459" s="2" t="inlineStr">
        <is>
          <t>O3954</t>
        </is>
      </c>
      <c r="D459" t="inlineStr">
        <is>
          <t>O6917</t>
        </is>
      </c>
      <c r="E459" s="2" t="n">
        <v>21</v>
      </c>
      <c r="F459" s="2">
        <f>_xlfn.XLOOKUP(C459,customers!$A$1:$A$1001,customers!$B$1:$B$1001,,0)</f>
        <v/>
      </c>
      <c r="G459" s="2">
        <f>IF(_xlfn.XLOOKUP(C459,customers!$A$1:$A$1001,customers!$C$1:$C$1001,,0)=0,"",_xlfn.XLOOKUP(C459,customers!$A$1:$A$1001,customers!$C$1:$C$1001,,0))</f>
        <v/>
      </c>
      <c r="H459" s="2">
        <f>_xlfn.XLOOKUP(C459,customers!$A$1:$A$1001,customers!$G$1:$G$1001,,0)</f>
        <v/>
      </c>
      <c r="I459">
        <f>INDEX(products!$A$1:$G$49,MATCH(orders!$D459,products!$A$1:$A$49,0),MATCH(orders!I$1,products!$A$1:$G$1,0))</f>
        <v/>
      </c>
      <c r="J459">
        <f>INDEX(products!$A$1:$G$49,MATCH(orders!$D459,products!$A$1:$A$49,0),MATCH(orders!J$1,products!$A$1:$G$1,0))</f>
        <v/>
      </c>
      <c r="K459" s="4">
        <f>INDEX(products!$A$1:$G$49,MATCH(orders!$D459,products!$A$1:$A$49,0),MATCH(orders!K$1,products!$A$1:$G$1,0))</f>
        <v/>
      </c>
      <c r="L459" s="5">
        <f>INDEX(products!$A$1:$G$49,MATCH(orders!$D459,products!$A$1:$A$49,0),MATCH(orders!L$1,products!$A$1:$G$1,0))</f>
        <v/>
      </c>
      <c r="M459" s="5">
        <f>L459*E459</f>
        <v/>
      </c>
      <c r="N459">
        <f>IF(I459="Rob","Robusta",IF(I459="Exc","Excelsa",IF(I459="Ara","Arabica",IF(I459="Lib","Liberica",""))))</f>
        <v/>
      </c>
      <c r="O459">
        <f>IF(J459="M","Medium",IF(J459="L","Light",IF(J459="D","Dark","")))</f>
        <v/>
      </c>
      <c r="P459">
        <f>_xlfn.XLOOKUP(Orders[[#This Row],[Customer ID]],customers!$A$1:$A$1001,customers!$I$1:$I$1001,,0)</f>
        <v/>
      </c>
    </row>
    <row r="460">
      <c r="A460" s="2" t="inlineStr">
        <is>
          <t>O4217</t>
        </is>
      </c>
      <c r="B460" s="3" t="inlineStr">
        <is>
          <t>2020-04-13</t>
        </is>
      </c>
      <c r="C460" s="2" t="inlineStr">
        <is>
          <t>O2647</t>
        </is>
      </c>
      <c r="D460" t="inlineStr">
        <is>
          <t>O3261</t>
        </is>
      </c>
      <c r="E460" s="2" t="n">
        <v>158</v>
      </c>
      <c r="F460" s="2">
        <f>_xlfn.XLOOKUP(C460,customers!$A$1:$A$1001,customers!$B$1:$B$1001,,0)</f>
        <v/>
      </c>
      <c r="G460" s="2">
        <f>IF(_xlfn.XLOOKUP(C460,customers!$A$1:$A$1001,customers!$C$1:$C$1001,,0)=0,"",_xlfn.XLOOKUP(C460,customers!$A$1:$A$1001,customers!$C$1:$C$1001,,0))</f>
        <v/>
      </c>
      <c r="H460" s="2">
        <f>_xlfn.XLOOKUP(C460,customers!$A$1:$A$1001,customers!$G$1:$G$1001,,0)</f>
        <v/>
      </c>
      <c r="I460">
        <f>INDEX(products!$A$1:$G$49,MATCH(orders!$D460,products!$A$1:$A$49,0),MATCH(orders!I$1,products!$A$1:$G$1,0))</f>
        <v/>
      </c>
      <c r="J460">
        <f>INDEX(products!$A$1:$G$49,MATCH(orders!$D460,products!$A$1:$A$49,0),MATCH(orders!J$1,products!$A$1:$G$1,0))</f>
        <v/>
      </c>
      <c r="K460" s="4">
        <f>INDEX(products!$A$1:$G$49,MATCH(orders!$D460,products!$A$1:$A$49,0),MATCH(orders!K$1,products!$A$1:$G$1,0))</f>
        <v/>
      </c>
      <c r="L460" s="5">
        <f>INDEX(products!$A$1:$G$49,MATCH(orders!$D460,products!$A$1:$A$49,0),MATCH(orders!L$1,products!$A$1:$G$1,0))</f>
        <v/>
      </c>
      <c r="M460" s="5">
        <f>L460*E460</f>
        <v/>
      </c>
      <c r="N460">
        <f>IF(I460="Rob","Robusta",IF(I460="Exc","Excelsa",IF(I460="Ara","Arabica",IF(I460="Lib","Liberica",""))))</f>
        <v/>
      </c>
      <c r="O460">
        <f>IF(J460="M","Medium",IF(J460="L","Light",IF(J460="D","Dark","")))</f>
        <v/>
      </c>
      <c r="P460">
        <f>_xlfn.XLOOKUP(Orders[[#This Row],[Customer ID]],customers!$A$1:$A$1001,customers!$I$1:$I$1001,,0)</f>
        <v/>
      </c>
    </row>
    <row r="461">
      <c r="A461" s="2" t="inlineStr">
        <is>
          <t>O9767</t>
        </is>
      </c>
      <c r="B461" s="3" t="inlineStr">
        <is>
          <t>2020-01-16</t>
        </is>
      </c>
      <c r="C461" s="2" t="inlineStr">
        <is>
          <t>O9785</t>
        </is>
      </c>
      <c r="D461" t="inlineStr">
        <is>
          <t>O3647</t>
        </is>
      </c>
      <c r="E461" s="2" t="n">
        <v>204</v>
      </c>
      <c r="F461" s="2">
        <f>_xlfn.XLOOKUP(C461,customers!$A$1:$A$1001,customers!$B$1:$B$1001,,0)</f>
        <v/>
      </c>
      <c r="G461" s="2">
        <f>IF(_xlfn.XLOOKUP(C461,customers!$A$1:$A$1001,customers!$C$1:$C$1001,,0)=0,"",_xlfn.XLOOKUP(C461,customers!$A$1:$A$1001,customers!$C$1:$C$1001,,0))</f>
        <v/>
      </c>
      <c r="H461" s="2">
        <f>_xlfn.XLOOKUP(C461,customers!$A$1:$A$1001,customers!$G$1:$G$1001,,0)</f>
        <v/>
      </c>
      <c r="I461">
        <f>INDEX(products!$A$1:$G$49,MATCH(orders!$D461,products!$A$1:$A$49,0),MATCH(orders!I$1,products!$A$1:$G$1,0))</f>
        <v/>
      </c>
      <c r="J461">
        <f>INDEX(products!$A$1:$G$49,MATCH(orders!$D461,products!$A$1:$A$49,0),MATCH(orders!J$1,products!$A$1:$G$1,0))</f>
        <v/>
      </c>
      <c r="K461" s="4">
        <f>INDEX(products!$A$1:$G$49,MATCH(orders!$D461,products!$A$1:$A$49,0),MATCH(orders!K$1,products!$A$1:$G$1,0))</f>
        <v/>
      </c>
      <c r="L461" s="5">
        <f>INDEX(products!$A$1:$G$49,MATCH(orders!$D461,products!$A$1:$A$49,0),MATCH(orders!L$1,products!$A$1:$G$1,0))</f>
        <v/>
      </c>
      <c r="M461" s="5">
        <f>L461*E461</f>
        <v/>
      </c>
      <c r="N461">
        <f>IF(I461="Rob","Robusta",IF(I461="Exc","Excelsa",IF(I461="Ara","Arabica",IF(I461="Lib","Liberica",""))))</f>
        <v/>
      </c>
      <c r="O461">
        <f>IF(J461="M","Medium",IF(J461="L","Light",IF(J461="D","Dark","")))</f>
        <v/>
      </c>
      <c r="P461">
        <f>_xlfn.XLOOKUP(Orders[[#This Row],[Customer ID]],customers!$A$1:$A$1001,customers!$I$1:$I$1001,,0)</f>
        <v/>
      </c>
    </row>
    <row r="462">
      <c r="A462" s="2" t="inlineStr">
        <is>
          <t>O6123</t>
        </is>
      </c>
      <c r="B462" s="3" t="inlineStr">
        <is>
          <t>2022-04-05</t>
        </is>
      </c>
      <c r="C462" s="2" t="inlineStr">
        <is>
          <t>O5306</t>
        </is>
      </c>
      <c r="D462" t="inlineStr">
        <is>
          <t>O6132</t>
        </is>
      </c>
      <c r="E462" s="2" t="n">
        <v>318</v>
      </c>
      <c r="F462" s="2">
        <f>_xlfn.XLOOKUP(C462,customers!$A$1:$A$1001,customers!$B$1:$B$1001,,0)</f>
        <v/>
      </c>
      <c r="G462" s="2">
        <f>IF(_xlfn.XLOOKUP(C462,customers!$A$1:$A$1001,customers!$C$1:$C$1001,,0)=0,"",_xlfn.XLOOKUP(C462,customers!$A$1:$A$1001,customers!$C$1:$C$1001,,0))</f>
        <v/>
      </c>
      <c r="H462" s="2">
        <f>_xlfn.XLOOKUP(C462,customers!$A$1:$A$1001,customers!$G$1:$G$1001,,0)</f>
        <v/>
      </c>
      <c r="I462">
        <f>INDEX(products!$A$1:$G$49,MATCH(orders!$D462,products!$A$1:$A$49,0),MATCH(orders!I$1,products!$A$1:$G$1,0))</f>
        <v/>
      </c>
      <c r="J462">
        <f>INDEX(products!$A$1:$G$49,MATCH(orders!$D462,products!$A$1:$A$49,0),MATCH(orders!J$1,products!$A$1:$G$1,0))</f>
        <v/>
      </c>
      <c r="K462" s="4">
        <f>INDEX(products!$A$1:$G$49,MATCH(orders!$D462,products!$A$1:$A$49,0),MATCH(orders!K$1,products!$A$1:$G$1,0))</f>
        <v/>
      </c>
      <c r="L462" s="5">
        <f>INDEX(products!$A$1:$G$49,MATCH(orders!$D462,products!$A$1:$A$49,0),MATCH(orders!L$1,products!$A$1:$G$1,0))</f>
        <v/>
      </c>
      <c r="M462" s="5">
        <f>L462*E462</f>
        <v/>
      </c>
      <c r="N462">
        <f>IF(I462="Rob","Robusta",IF(I462="Exc","Excelsa",IF(I462="Ara","Arabica",IF(I462="Lib","Liberica",""))))</f>
        <v/>
      </c>
      <c r="O462">
        <f>IF(J462="M","Medium",IF(J462="L","Light",IF(J462="D","Dark","")))</f>
        <v/>
      </c>
      <c r="P462">
        <f>_xlfn.XLOOKUP(Orders[[#This Row],[Customer ID]],customers!$A$1:$A$1001,customers!$I$1:$I$1001,,0)</f>
        <v/>
      </c>
    </row>
    <row r="463">
      <c r="A463" s="2" t="inlineStr">
        <is>
          <t>O7784</t>
        </is>
      </c>
      <c r="B463" s="3" t="inlineStr">
        <is>
          <t>2024-07-16</t>
        </is>
      </c>
      <c r="C463" s="2" t="inlineStr">
        <is>
          <t>O4366</t>
        </is>
      </c>
      <c r="D463" t="inlineStr">
        <is>
          <t>O6871</t>
        </is>
      </c>
      <c r="E463" s="2" t="n">
        <v>75</v>
      </c>
      <c r="F463" s="2">
        <f>_xlfn.XLOOKUP(C463,customers!$A$1:$A$1001,customers!$B$1:$B$1001,,0)</f>
        <v/>
      </c>
      <c r="G463" s="2">
        <f>IF(_xlfn.XLOOKUP(C463,customers!$A$1:$A$1001,customers!$C$1:$C$1001,,0)=0,"",_xlfn.XLOOKUP(C463,customers!$A$1:$A$1001,customers!$C$1:$C$1001,,0))</f>
        <v/>
      </c>
      <c r="H463" s="2">
        <f>_xlfn.XLOOKUP(C463,customers!$A$1:$A$1001,customers!$G$1:$G$1001,,0)</f>
        <v/>
      </c>
      <c r="I463">
        <f>INDEX(products!$A$1:$G$49,MATCH(orders!$D463,products!$A$1:$A$49,0),MATCH(orders!I$1,products!$A$1:$G$1,0))</f>
        <v/>
      </c>
      <c r="J463">
        <f>INDEX(products!$A$1:$G$49,MATCH(orders!$D463,products!$A$1:$A$49,0),MATCH(orders!J$1,products!$A$1:$G$1,0))</f>
        <v/>
      </c>
      <c r="K463" s="4">
        <f>INDEX(products!$A$1:$G$49,MATCH(orders!$D463,products!$A$1:$A$49,0),MATCH(orders!K$1,products!$A$1:$G$1,0))</f>
        <v/>
      </c>
      <c r="L463" s="5">
        <f>INDEX(products!$A$1:$G$49,MATCH(orders!$D463,products!$A$1:$A$49,0),MATCH(orders!L$1,products!$A$1:$G$1,0))</f>
        <v/>
      </c>
      <c r="M463" s="5">
        <f>L463*E463</f>
        <v/>
      </c>
      <c r="N463">
        <f>IF(I463="Rob","Robusta",IF(I463="Exc","Excelsa",IF(I463="Ara","Arabica",IF(I463="Lib","Liberica",""))))</f>
        <v/>
      </c>
      <c r="O463">
        <f>IF(J463="M","Medium",IF(J463="L","Light",IF(J463="D","Dark","")))</f>
        <v/>
      </c>
      <c r="P463">
        <f>_xlfn.XLOOKUP(Orders[[#This Row],[Customer ID]],customers!$A$1:$A$1001,customers!$I$1:$I$1001,,0)</f>
        <v/>
      </c>
    </row>
    <row r="464">
      <c r="A464" s="2" t="inlineStr">
        <is>
          <t>O4240</t>
        </is>
      </c>
      <c r="B464" s="3" t="inlineStr">
        <is>
          <t>2020-12-15</t>
        </is>
      </c>
      <c r="C464" s="2" t="inlineStr">
        <is>
          <t>O7963</t>
        </is>
      </c>
      <c r="D464" t="inlineStr">
        <is>
          <t>O5913</t>
        </is>
      </c>
      <c r="E464" s="2" t="n">
        <v>442</v>
      </c>
      <c r="F464" s="2">
        <f>_xlfn.XLOOKUP(C464,customers!$A$1:$A$1001,customers!$B$1:$B$1001,,0)</f>
        <v/>
      </c>
      <c r="G464" s="2">
        <f>IF(_xlfn.XLOOKUP(C464,customers!$A$1:$A$1001,customers!$C$1:$C$1001,,0)=0,"",_xlfn.XLOOKUP(C464,customers!$A$1:$A$1001,customers!$C$1:$C$1001,,0))</f>
        <v/>
      </c>
      <c r="H464" s="2">
        <f>_xlfn.XLOOKUP(C464,customers!$A$1:$A$1001,customers!$G$1:$G$1001,,0)</f>
        <v/>
      </c>
      <c r="I464">
        <f>INDEX(products!$A$1:$G$49,MATCH(orders!$D464,products!$A$1:$A$49,0),MATCH(orders!I$1,products!$A$1:$G$1,0))</f>
        <v/>
      </c>
      <c r="J464">
        <f>INDEX(products!$A$1:$G$49,MATCH(orders!$D464,products!$A$1:$A$49,0),MATCH(orders!J$1,products!$A$1:$G$1,0))</f>
        <v/>
      </c>
      <c r="K464" s="4">
        <f>INDEX(products!$A$1:$G$49,MATCH(orders!$D464,products!$A$1:$A$49,0),MATCH(orders!K$1,products!$A$1:$G$1,0))</f>
        <v/>
      </c>
      <c r="L464" s="5">
        <f>INDEX(products!$A$1:$G$49,MATCH(orders!$D464,products!$A$1:$A$49,0),MATCH(orders!L$1,products!$A$1:$G$1,0))</f>
        <v/>
      </c>
      <c r="M464" s="5">
        <f>L464*E464</f>
        <v/>
      </c>
      <c r="N464">
        <f>IF(I464="Rob","Robusta",IF(I464="Exc","Excelsa",IF(I464="Ara","Arabica",IF(I464="Lib","Liberica",""))))</f>
        <v/>
      </c>
      <c r="O464">
        <f>IF(J464="M","Medium",IF(J464="L","Light",IF(J464="D","Dark","")))</f>
        <v/>
      </c>
      <c r="P464">
        <f>_xlfn.XLOOKUP(Orders[[#This Row],[Customer ID]],customers!$A$1:$A$1001,customers!$I$1:$I$1001,,0)</f>
        <v/>
      </c>
    </row>
    <row r="465">
      <c r="A465" s="2" t="inlineStr">
        <is>
          <t>O9045</t>
        </is>
      </c>
      <c r="B465" s="3" t="inlineStr">
        <is>
          <t>2023-01-22</t>
        </is>
      </c>
      <c r="C465" s="2" t="inlineStr">
        <is>
          <t>O3466</t>
        </is>
      </c>
      <c r="D465" t="inlineStr">
        <is>
          <t>O9568</t>
        </is>
      </c>
      <c r="E465" s="2" t="n">
        <v>227</v>
      </c>
      <c r="F465" s="2">
        <f>_xlfn.XLOOKUP(C465,customers!$A$1:$A$1001,customers!$B$1:$B$1001,,0)</f>
        <v/>
      </c>
      <c r="G465" s="2">
        <f>IF(_xlfn.XLOOKUP(C465,customers!$A$1:$A$1001,customers!$C$1:$C$1001,,0)=0,"",_xlfn.XLOOKUP(C465,customers!$A$1:$A$1001,customers!$C$1:$C$1001,,0))</f>
        <v/>
      </c>
      <c r="H465" s="2">
        <f>_xlfn.XLOOKUP(C465,customers!$A$1:$A$1001,customers!$G$1:$G$1001,,0)</f>
        <v/>
      </c>
      <c r="I465">
        <f>INDEX(products!$A$1:$G$49,MATCH(orders!$D465,products!$A$1:$A$49,0),MATCH(orders!I$1,products!$A$1:$G$1,0))</f>
        <v/>
      </c>
      <c r="J465">
        <f>INDEX(products!$A$1:$G$49,MATCH(orders!$D465,products!$A$1:$A$49,0),MATCH(orders!J$1,products!$A$1:$G$1,0))</f>
        <v/>
      </c>
      <c r="K465" s="4">
        <f>INDEX(products!$A$1:$G$49,MATCH(orders!$D465,products!$A$1:$A$49,0),MATCH(orders!K$1,products!$A$1:$G$1,0))</f>
        <v/>
      </c>
      <c r="L465" s="5">
        <f>INDEX(products!$A$1:$G$49,MATCH(orders!$D465,products!$A$1:$A$49,0),MATCH(orders!L$1,products!$A$1:$G$1,0))</f>
        <v/>
      </c>
      <c r="M465" s="5">
        <f>L465*E465</f>
        <v/>
      </c>
      <c r="N465">
        <f>IF(I465="Rob","Robusta",IF(I465="Exc","Excelsa",IF(I465="Ara","Arabica",IF(I465="Lib","Liberica",""))))</f>
        <v/>
      </c>
      <c r="O465">
        <f>IF(J465="M","Medium",IF(J465="L","Light",IF(J465="D","Dark","")))</f>
        <v/>
      </c>
      <c r="P465">
        <f>_xlfn.XLOOKUP(Orders[[#This Row],[Customer ID]],customers!$A$1:$A$1001,customers!$I$1:$I$1001,,0)</f>
        <v/>
      </c>
    </row>
    <row r="466">
      <c r="A466" s="2" t="inlineStr">
        <is>
          <t>O7644</t>
        </is>
      </c>
      <c r="B466" s="3" t="inlineStr">
        <is>
          <t>2024-02-17</t>
        </is>
      </c>
      <c r="C466" s="2" t="inlineStr">
        <is>
          <t>O9977</t>
        </is>
      </c>
      <c r="D466" t="inlineStr">
        <is>
          <t>O4821</t>
        </is>
      </c>
      <c r="E466" s="2" t="n">
        <v>300</v>
      </c>
      <c r="F466" s="2">
        <f>_xlfn.XLOOKUP(C466,customers!$A$1:$A$1001,customers!$B$1:$B$1001,,0)</f>
        <v/>
      </c>
      <c r="G466" s="2">
        <f>IF(_xlfn.XLOOKUP(C466,customers!$A$1:$A$1001,customers!$C$1:$C$1001,,0)=0,"",_xlfn.XLOOKUP(C466,customers!$A$1:$A$1001,customers!$C$1:$C$1001,,0))</f>
        <v/>
      </c>
      <c r="H466" s="2">
        <f>_xlfn.XLOOKUP(C466,customers!$A$1:$A$1001,customers!$G$1:$G$1001,,0)</f>
        <v/>
      </c>
      <c r="I466">
        <f>INDEX(products!$A$1:$G$49,MATCH(orders!$D466,products!$A$1:$A$49,0),MATCH(orders!I$1,products!$A$1:$G$1,0))</f>
        <v/>
      </c>
      <c r="J466">
        <f>INDEX(products!$A$1:$G$49,MATCH(orders!$D466,products!$A$1:$A$49,0),MATCH(orders!J$1,products!$A$1:$G$1,0))</f>
        <v/>
      </c>
      <c r="K466" s="4">
        <f>INDEX(products!$A$1:$G$49,MATCH(orders!$D466,products!$A$1:$A$49,0),MATCH(orders!K$1,products!$A$1:$G$1,0))</f>
        <v/>
      </c>
      <c r="L466" s="5">
        <f>INDEX(products!$A$1:$G$49,MATCH(orders!$D466,products!$A$1:$A$49,0),MATCH(orders!L$1,products!$A$1:$G$1,0))</f>
        <v/>
      </c>
      <c r="M466" s="5">
        <f>L466*E466</f>
        <v/>
      </c>
      <c r="N466">
        <f>IF(I466="Rob","Robusta",IF(I466="Exc","Excelsa",IF(I466="Ara","Arabica",IF(I466="Lib","Liberica",""))))</f>
        <v/>
      </c>
      <c r="O466">
        <f>IF(J466="M","Medium",IF(J466="L","Light",IF(J466="D","Dark","")))</f>
        <v/>
      </c>
      <c r="P466">
        <f>_xlfn.XLOOKUP(Orders[[#This Row],[Customer ID]],customers!$A$1:$A$1001,customers!$I$1:$I$1001,,0)</f>
        <v/>
      </c>
    </row>
    <row r="467">
      <c r="A467" s="2" t="inlineStr">
        <is>
          <t>O4371</t>
        </is>
      </c>
      <c r="B467" s="3" t="inlineStr">
        <is>
          <t>2023-04-02</t>
        </is>
      </c>
      <c r="C467" s="2" t="inlineStr">
        <is>
          <t>O1424</t>
        </is>
      </c>
      <c r="D467" t="inlineStr">
        <is>
          <t>O7233</t>
        </is>
      </c>
      <c r="E467" s="2" t="n">
        <v>100</v>
      </c>
      <c r="F467" s="2">
        <f>_xlfn.XLOOKUP(C467,customers!$A$1:$A$1001,customers!$B$1:$B$1001,,0)</f>
        <v/>
      </c>
      <c r="G467" s="2">
        <f>IF(_xlfn.XLOOKUP(C467,customers!$A$1:$A$1001,customers!$C$1:$C$1001,,0)=0,"",_xlfn.XLOOKUP(C467,customers!$A$1:$A$1001,customers!$C$1:$C$1001,,0))</f>
        <v/>
      </c>
      <c r="H467" s="2">
        <f>_xlfn.XLOOKUP(C467,customers!$A$1:$A$1001,customers!$G$1:$G$1001,,0)</f>
        <v/>
      </c>
      <c r="I467">
        <f>INDEX(products!$A$1:$G$49,MATCH(orders!$D467,products!$A$1:$A$49,0),MATCH(orders!I$1,products!$A$1:$G$1,0))</f>
        <v/>
      </c>
      <c r="J467">
        <f>INDEX(products!$A$1:$G$49,MATCH(orders!$D467,products!$A$1:$A$49,0),MATCH(orders!J$1,products!$A$1:$G$1,0))</f>
        <v/>
      </c>
      <c r="K467" s="4">
        <f>INDEX(products!$A$1:$G$49,MATCH(orders!$D467,products!$A$1:$A$49,0),MATCH(orders!K$1,products!$A$1:$G$1,0))</f>
        <v/>
      </c>
      <c r="L467" s="5">
        <f>INDEX(products!$A$1:$G$49,MATCH(orders!$D467,products!$A$1:$A$49,0),MATCH(orders!L$1,products!$A$1:$G$1,0))</f>
        <v/>
      </c>
      <c r="M467" s="5">
        <f>L467*E467</f>
        <v/>
      </c>
      <c r="N467">
        <f>IF(I467="Rob","Robusta",IF(I467="Exc","Excelsa",IF(I467="Ara","Arabica",IF(I467="Lib","Liberica",""))))</f>
        <v/>
      </c>
      <c r="O467">
        <f>IF(J467="M","Medium",IF(J467="L","Light",IF(J467="D","Dark","")))</f>
        <v/>
      </c>
      <c r="P467">
        <f>_xlfn.XLOOKUP(Orders[[#This Row],[Customer ID]],customers!$A$1:$A$1001,customers!$I$1:$I$1001,,0)</f>
        <v/>
      </c>
    </row>
    <row r="468">
      <c r="A468" s="2" t="inlineStr">
        <is>
          <t>O7590</t>
        </is>
      </c>
      <c r="B468" s="3" t="inlineStr">
        <is>
          <t>2022-01-28</t>
        </is>
      </c>
      <c r="C468" s="2" t="inlineStr">
        <is>
          <t>O6724</t>
        </is>
      </c>
      <c r="D468" t="inlineStr">
        <is>
          <t>O3130</t>
        </is>
      </c>
      <c r="E468" s="2" t="n">
        <v>338</v>
      </c>
      <c r="F468" s="2">
        <f>_xlfn.XLOOKUP(C468,customers!$A$1:$A$1001,customers!$B$1:$B$1001,,0)</f>
        <v/>
      </c>
      <c r="G468" s="2">
        <f>IF(_xlfn.XLOOKUP(C468,customers!$A$1:$A$1001,customers!$C$1:$C$1001,,0)=0,"",_xlfn.XLOOKUP(C468,customers!$A$1:$A$1001,customers!$C$1:$C$1001,,0))</f>
        <v/>
      </c>
      <c r="H468" s="2">
        <f>_xlfn.XLOOKUP(C468,customers!$A$1:$A$1001,customers!$G$1:$G$1001,,0)</f>
        <v/>
      </c>
      <c r="I468">
        <f>INDEX(products!$A$1:$G$49,MATCH(orders!$D468,products!$A$1:$A$49,0),MATCH(orders!I$1,products!$A$1:$G$1,0))</f>
        <v/>
      </c>
      <c r="J468">
        <f>INDEX(products!$A$1:$G$49,MATCH(orders!$D468,products!$A$1:$A$49,0),MATCH(orders!J$1,products!$A$1:$G$1,0))</f>
        <v/>
      </c>
      <c r="K468" s="4">
        <f>INDEX(products!$A$1:$G$49,MATCH(orders!$D468,products!$A$1:$A$49,0),MATCH(orders!K$1,products!$A$1:$G$1,0))</f>
        <v/>
      </c>
      <c r="L468" s="5">
        <f>INDEX(products!$A$1:$G$49,MATCH(orders!$D468,products!$A$1:$A$49,0),MATCH(orders!L$1,products!$A$1:$G$1,0))</f>
        <v/>
      </c>
      <c r="M468" s="5">
        <f>L468*E468</f>
        <v/>
      </c>
      <c r="N468">
        <f>IF(I468="Rob","Robusta",IF(I468="Exc","Excelsa",IF(I468="Ara","Arabica",IF(I468="Lib","Liberica",""))))</f>
        <v/>
      </c>
      <c r="O468">
        <f>IF(J468="M","Medium",IF(J468="L","Light",IF(J468="D","Dark","")))</f>
        <v/>
      </c>
      <c r="P468">
        <f>_xlfn.XLOOKUP(Orders[[#This Row],[Customer ID]],customers!$A$1:$A$1001,customers!$I$1:$I$1001,,0)</f>
        <v/>
      </c>
    </row>
    <row r="469">
      <c r="A469" s="2" t="inlineStr">
        <is>
          <t>O1792</t>
        </is>
      </c>
      <c r="B469" s="3" t="inlineStr">
        <is>
          <t>2020-09-24</t>
        </is>
      </c>
      <c r="C469" s="2" t="inlineStr">
        <is>
          <t>O2396</t>
        </is>
      </c>
      <c r="D469" t="inlineStr">
        <is>
          <t>O5646</t>
        </is>
      </c>
      <c r="E469" s="2" t="n">
        <v>371</v>
      </c>
      <c r="F469" s="2">
        <f>_xlfn.XLOOKUP(C469,customers!$A$1:$A$1001,customers!$B$1:$B$1001,,0)</f>
        <v/>
      </c>
      <c r="G469" s="2">
        <f>IF(_xlfn.XLOOKUP(C469,customers!$A$1:$A$1001,customers!$C$1:$C$1001,,0)=0,"",_xlfn.XLOOKUP(C469,customers!$A$1:$A$1001,customers!$C$1:$C$1001,,0))</f>
        <v/>
      </c>
      <c r="H469" s="2">
        <f>_xlfn.XLOOKUP(C469,customers!$A$1:$A$1001,customers!$G$1:$G$1001,,0)</f>
        <v/>
      </c>
      <c r="I469">
        <f>INDEX(products!$A$1:$G$49,MATCH(orders!$D469,products!$A$1:$A$49,0),MATCH(orders!I$1,products!$A$1:$G$1,0))</f>
        <v/>
      </c>
      <c r="J469">
        <f>INDEX(products!$A$1:$G$49,MATCH(orders!$D469,products!$A$1:$A$49,0),MATCH(orders!J$1,products!$A$1:$G$1,0))</f>
        <v/>
      </c>
      <c r="K469" s="4">
        <f>INDEX(products!$A$1:$G$49,MATCH(orders!$D469,products!$A$1:$A$49,0),MATCH(orders!K$1,products!$A$1:$G$1,0))</f>
        <v/>
      </c>
      <c r="L469" s="5">
        <f>INDEX(products!$A$1:$G$49,MATCH(orders!$D469,products!$A$1:$A$49,0),MATCH(orders!L$1,products!$A$1:$G$1,0))</f>
        <v/>
      </c>
      <c r="M469" s="5">
        <f>L469*E469</f>
        <v/>
      </c>
      <c r="N469">
        <f>IF(I469="Rob","Robusta",IF(I469="Exc","Excelsa",IF(I469="Ara","Arabica",IF(I469="Lib","Liberica",""))))</f>
        <v/>
      </c>
      <c r="O469">
        <f>IF(J469="M","Medium",IF(J469="L","Light",IF(J469="D","Dark","")))</f>
        <v/>
      </c>
      <c r="P469">
        <f>_xlfn.XLOOKUP(Orders[[#This Row],[Customer ID]],customers!$A$1:$A$1001,customers!$I$1:$I$1001,,0)</f>
        <v/>
      </c>
    </row>
    <row r="470">
      <c r="A470" s="2" t="inlineStr">
        <is>
          <t>O2458</t>
        </is>
      </c>
      <c r="B470" s="3" t="inlineStr">
        <is>
          <t>2022-02-27</t>
        </is>
      </c>
      <c r="C470" s="2" t="inlineStr">
        <is>
          <t>O2607</t>
        </is>
      </c>
      <c r="D470" t="inlineStr">
        <is>
          <t>O5792</t>
        </is>
      </c>
      <c r="E470" s="2" t="n">
        <v>191</v>
      </c>
      <c r="F470" s="2">
        <f>_xlfn.XLOOKUP(C470,customers!$A$1:$A$1001,customers!$B$1:$B$1001,,0)</f>
        <v/>
      </c>
      <c r="G470" s="2">
        <f>IF(_xlfn.XLOOKUP(C470,customers!$A$1:$A$1001,customers!$C$1:$C$1001,,0)=0,"",_xlfn.XLOOKUP(C470,customers!$A$1:$A$1001,customers!$C$1:$C$1001,,0))</f>
        <v/>
      </c>
      <c r="H470" s="2">
        <f>_xlfn.XLOOKUP(C470,customers!$A$1:$A$1001,customers!$G$1:$G$1001,,0)</f>
        <v/>
      </c>
      <c r="I470">
        <f>INDEX(products!$A$1:$G$49,MATCH(orders!$D470,products!$A$1:$A$49,0),MATCH(orders!I$1,products!$A$1:$G$1,0))</f>
        <v/>
      </c>
      <c r="J470">
        <f>INDEX(products!$A$1:$G$49,MATCH(orders!$D470,products!$A$1:$A$49,0),MATCH(orders!J$1,products!$A$1:$G$1,0))</f>
        <v/>
      </c>
      <c r="K470" s="4">
        <f>INDEX(products!$A$1:$G$49,MATCH(orders!$D470,products!$A$1:$A$49,0),MATCH(orders!K$1,products!$A$1:$G$1,0))</f>
        <v/>
      </c>
      <c r="L470" s="5">
        <f>INDEX(products!$A$1:$G$49,MATCH(orders!$D470,products!$A$1:$A$49,0),MATCH(orders!L$1,products!$A$1:$G$1,0))</f>
        <v/>
      </c>
      <c r="M470" s="5">
        <f>L470*E470</f>
        <v/>
      </c>
      <c r="N470">
        <f>IF(I470="Rob","Robusta",IF(I470="Exc","Excelsa",IF(I470="Ara","Arabica",IF(I470="Lib","Liberica",""))))</f>
        <v/>
      </c>
      <c r="O470">
        <f>IF(J470="M","Medium",IF(J470="L","Light",IF(J470="D","Dark","")))</f>
        <v/>
      </c>
      <c r="P470">
        <f>_xlfn.XLOOKUP(Orders[[#This Row],[Customer ID]],customers!$A$1:$A$1001,customers!$I$1:$I$1001,,0)</f>
        <v/>
      </c>
    </row>
    <row r="471">
      <c r="A471" s="2" t="inlineStr">
        <is>
          <t>O5966</t>
        </is>
      </c>
      <c r="B471" s="3" t="inlineStr">
        <is>
          <t>2020-04-25</t>
        </is>
      </c>
      <c r="C471" s="2" t="inlineStr">
        <is>
          <t>O1165</t>
        </is>
      </c>
      <c r="D471" t="inlineStr">
        <is>
          <t>O3053</t>
        </is>
      </c>
      <c r="E471" s="2" t="n">
        <v>282</v>
      </c>
      <c r="F471" s="2">
        <f>_xlfn.XLOOKUP(C471,customers!$A$1:$A$1001,customers!$B$1:$B$1001,,0)</f>
        <v/>
      </c>
      <c r="G471" s="2">
        <f>IF(_xlfn.XLOOKUP(C471,customers!$A$1:$A$1001,customers!$C$1:$C$1001,,0)=0,"",_xlfn.XLOOKUP(C471,customers!$A$1:$A$1001,customers!$C$1:$C$1001,,0))</f>
        <v/>
      </c>
      <c r="H471" s="2">
        <f>_xlfn.XLOOKUP(C471,customers!$A$1:$A$1001,customers!$G$1:$G$1001,,0)</f>
        <v/>
      </c>
      <c r="I471">
        <f>INDEX(products!$A$1:$G$49,MATCH(orders!$D471,products!$A$1:$A$49,0),MATCH(orders!I$1,products!$A$1:$G$1,0))</f>
        <v/>
      </c>
      <c r="J471">
        <f>INDEX(products!$A$1:$G$49,MATCH(orders!$D471,products!$A$1:$A$49,0),MATCH(orders!J$1,products!$A$1:$G$1,0))</f>
        <v/>
      </c>
      <c r="K471" s="4">
        <f>INDEX(products!$A$1:$G$49,MATCH(orders!$D471,products!$A$1:$A$49,0),MATCH(orders!K$1,products!$A$1:$G$1,0))</f>
        <v/>
      </c>
      <c r="L471" s="5">
        <f>INDEX(products!$A$1:$G$49,MATCH(orders!$D471,products!$A$1:$A$49,0),MATCH(orders!L$1,products!$A$1:$G$1,0))</f>
        <v/>
      </c>
      <c r="M471" s="5">
        <f>L471*E471</f>
        <v/>
      </c>
      <c r="N471">
        <f>IF(I471="Rob","Robusta",IF(I471="Exc","Excelsa",IF(I471="Ara","Arabica",IF(I471="Lib","Liberica",""))))</f>
        <v/>
      </c>
      <c r="O471">
        <f>IF(J471="M","Medium",IF(J471="L","Light",IF(J471="D","Dark","")))</f>
        <v/>
      </c>
      <c r="P471">
        <f>_xlfn.XLOOKUP(Orders[[#This Row],[Customer ID]],customers!$A$1:$A$1001,customers!$I$1:$I$1001,,0)</f>
        <v/>
      </c>
    </row>
    <row r="472">
      <c r="A472" s="2" t="inlineStr">
        <is>
          <t>O8476</t>
        </is>
      </c>
      <c r="B472" s="3" t="inlineStr">
        <is>
          <t>2024-09-15</t>
        </is>
      </c>
      <c r="C472" s="2" t="inlineStr">
        <is>
          <t>O2143</t>
        </is>
      </c>
      <c r="D472" t="inlineStr">
        <is>
          <t>O1028</t>
        </is>
      </c>
      <c r="E472" s="2" t="n">
        <v>133</v>
      </c>
      <c r="F472" s="2">
        <f>_xlfn.XLOOKUP(C472,customers!$A$1:$A$1001,customers!$B$1:$B$1001,,0)</f>
        <v/>
      </c>
      <c r="G472" s="2">
        <f>IF(_xlfn.XLOOKUP(C472,customers!$A$1:$A$1001,customers!$C$1:$C$1001,,0)=0,"",_xlfn.XLOOKUP(C472,customers!$A$1:$A$1001,customers!$C$1:$C$1001,,0))</f>
        <v/>
      </c>
      <c r="H472" s="2">
        <f>_xlfn.XLOOKUP(C472,customers!$A$1:$A$1001,customers!$G$1:$G$1001,,0)</f>
        <v/>
      </c>
      <c r="I472">
        <f>INDEX(products!$A$1:$G$49,MATCH(orders!$D472,products!$A$1:$A$49,0),MATCH(orders!I$1,products!$A$1:$G$1,0))</f>
        <v/>
      </c>
      <c r="J472">
        <f>INDEX(products!$A$1:$G$49,MATCH(orders!$D472,products!$A$1:$A$49,0),MATCH(orders!J$1,products!$A$1:$G$1,0))</f>
        <v/>
      </c>
      <c r="K472" s="4">
        <f>INDEX(products!$A$1:$G$49,MATCH(orders!$D472,products!$A$1:$A$49,0),MATCH(orders!K$1,products!$A$1:$G$1,0))</f>
        <v/>
      </c>
      <c r="L472" s="5">
        <f>INDEX(products!$A$1:$G$49,MATCH(orders!$D472,products!$A$1:$A$49,0),MATCH(orders!L$1,products!$A$1:$G$1,0))</f>
        <v/>
      </c>
      <c r="M472" s="5">
        <f>L472*E472</f>
        <v/>
      </c>
      <c r="N472">
        <f>IF(I472="Rob","Robusta",IF(I472="Exc","Excelsa",IF(I472="Ara","Arabica",IF(I472="Lib","Liberica",""))))</f>
        <v/>
      </c>
      <c r="O472">
        <f>IF(J472="M","Medium",IF(J472="L","Light",IF(J472="D","Dark","")))</f>
        <v/>
      </c>
      <c r="P472">
        <f>_xlfn.XLOOKUP(Orders[[#This Row],[Customer ID]],customers!$A$1:$A$1001,customers!$I$1:$I$1001,,0)</f>
        <v/>
      </c>
    </row>
    <row r="473">
      <c r="A473" s="2" t="inlineStr">
        <is>
          <t>O6152</t>
        </is>
      </c>
      <c r="B473" s="3" t="inlineStr">
        <is>
          <t>2023-03-30</t>
        </is>
      </c>
      <c r="C473" s="2" t="inlineStr">
        <is>
          <t>O1081</t>
        </is>
      </c>
      <c r="D473" t="inlineStr">
        <is>
          <t>O2579</t>
        </is>
      </c>
      <c r="E473" s="2" t="n">
        <v>383</v>
      </c>
      <c r="F473" s="2">
        <f>_xlfn.XLOOKUP(C473,customers!$A$1:$A$1001,customers!$B$1:$B$1001,,0)</f>
        <v/>
      </c>
      <c r="G473" s="2">
        <f>IF(_xlfn.XLOOKUP(C473,customers!$A$1:$A$1001,customers!$C$1:$C$1001,,0)=0,"",_xlfn.XLOOKUP(C473,customers!$A$1:$A$1001,customers!$C$1:$C$1001,,0))</f>
        <v/>
      </c>
      <c r="H473" s="2">
        <f>_xlfn.XLOOKUP(C473,customers!$A$1:$A$1001,customers!$G$1:$G$1001,,0)</f>
        <v/>
      </c>
      <c r="I473">
        <f>INDEX(products!$A$1:$G$49,MATCH(orders!$D473,products!$A$1:$A$49,0),MATCH(orders!I$1,products!$A$1:$G$1,0))</f>
        <v/>
      </c>
      <c r="J473">
        <f>INDEX(products!$A$1:$G$49,MATCH(orders!$D473,products!$A$1:$A$49,0),MATCH(orders!J$1,products!$A$1:$G$1,0))</f>
        <v/>
      </c>
      <c r="K473" s="4">
        <f>INDEX(products!$A$1:$G$49,MATCH(orders!$D473,products!$A$1:$A$49,0),MATCH(orders!K$1,products!$A$1:$G$1,0))</f>
        <v/>
      </c>
      <c r="L473" s="5">
        <f>INDEX(products!$A$1:$G$49,MATCH(orders!$D473,products!$A$1:$A$49,0),MATCH(orders!L$1,products!$A$1:$G$1,0))</f>
        <v/>
      </c>
      <c r="M473" s="5">
        <f>L473*E473</f>
        <v/>
      </c>
      <c r="N473">
        <f>IF(I473="Rob","Robusta",IF(I473="Exc","Excelsa",IF(I473="Ara","Arabica",IF(I473="Lib","Liberica",""))))</f>
        <v/>
      </c>
      <c r="O473">
        <f>IF(J473="M","Medium",IF(J473="L","Light",IF(J473="D","Dark","")))</f>
        <v/>
      </c>
      <c r="P473">
        <f>_xlfn.XLOOKUP(Orders[[#This Row],[Customer ID]],customers!$A$1:$A$1001,customers!$I$1:$I$1001,,0)</f>
        <v/>
      </c>
    </row>
    <row r="474">
      <c r="A474" s="2" t="inlineStr">
        <is>
          <t>O4492</t>
        </is>
      </c>
      <c r="B474" s="3" t="inlineStr">
        <is>
          <t>2022-05-22</t>
        </is>
      </c>
      <c r="C474" s="2" t="inlineStr">
        <is>
          <t>O7323</t>
        </is>
      </c>
      <c r="D474" t="inlineStr">
        <is>
          <t>O7344</t>
        </is>
      </c>
      <c r="E474" s="2" t="n">
        <v>408</v>
      </c>
      <c r="F474" s="2">
        <f>_xlfn.XLOOKUP(C474,customers!$A$1:$A$1001,customers!$B$1:$B$1001,,0)</f>
        <v/>
      </c>
      <c r="G474" s="2">
        <f>IF(_xlfn.XLOOKUP(C474,customers!$A$1:$A$1001,customers!$C$1:$C$1001,,0)=0,"",_xlfn.XLOOKUP(C474,customers!$A$1:$A$1001,customers!$C$1:$C$1001,,0))</f>
        <v/>
      </c>
      <c r="H474" s="2">
        <f>_xlfn.XLOOKUP(C474,customers!$A$1:$A$1001,customers!$G$1:$G$1001,,0)</f>
        <v/>
      </c>
      <c r="I474">
        <f>INDEX(products!$A$1:$G$49,MATCH(orders!$D474,products!$A$1:$A$49,0),MATCH(orders!I$1,products!$A$1:$G$1,0))</f>
        <v/>
      </c>
      <c r="J474">
        <f>INDEX(products!$A$1:$G$49,MATCH(orders!$D474,products!$A$1:$A$49,0),MATCH(orders!J$1,products!$A$1:$G$1,0))</f>
        <v/>
      </c>
      <c r="K474" s="4">
        <f>INDEX(products!$A$1:$G$49,MATCH(orders!$D474,products!$A$1:$A$49,0),MATCH(orders!K$1,products!$A$1:$G$1,0))</f>
        <v/>
      </c>
      <c r="L474" s="5">
        <f>INDEX(products!$A$1:$G$49,MATCH(orders!$D474,products!$A$1:$A$49,0),MATCH(orders!L$1,products!$A$1:$G$1,0))</f>
        <v/>
      </c>
      <c r="M474" s="5">
        <f>L474*E474</f>
        <v/>
      </c>
      <c r="N474">
        <f>IF(I474="Rob","Robusta",IF(I474="Exc","Excelsa",IF(I474="Ara","Arabica",IF(I474="Lib","Liberica",""))))</f>
        <v/>
      </c>
      <c r="O474">
        <f>IF(J474="M","Medium",IF(J474="L","Light",IF(J474="D","Dark","")))</f>
        <v/>
      </c>
      <c r="P474">
        <f>_xlfn.XLOOKUP(Orders[[#This Row],[Customer ID]],customers!$A$1:$A$1001,customers!$I$1:$I$1001,,0)</f>
        <v/>
      </c>
    </row>
    <row r="475">
      <c r="A475" s="2" t="inlineStr">
        <is>
          <t>O6392</t>
        </is>
      </c>
      <c r="B475" s="3" t="inlineStr">
        <is>
          <t>2021-09-23</t>
        </is>
      </c>
      <c r="C475" s="2" t="inlineStr">
        <is>
          <t>O3384</t>
        </is>
      </c>
      <c r="D475" t="inlineStr">
        <is>
          <t>O3265</t>
        </is>
      </c>
      <c r="E475" s="2" t="n">
        <v>143</v>
      </c>
      <c r="F475" s="2">
        <f>_xlfn.XLOOKUP(C475,customers!$A$1:$A$1001,customers!$B$1:$B$1001,,0)</f>
        <v/>
      </c>
      <c r="G475" s="2">
        <f>IF(_xlfn.XLOOKUP(C475,customers!$A$1:$A$1001,customers!$C$1:$C$1001,,0)=0,"",_xlfn.XLOOKUP(C475,customers!$A$1:$A$1001,customers!$C$1:$C$1001,,0))</f>
        <v/>
      </c>
      <c r="H475" s="2">
        <f>_xlfn.XLOOKUP(C475,customers!$A$1:$A$1001,customers!$G$1:$G$1001,,0)</f>
        <v/>
      </c>
      <c r="I475">
        <f>INDEX(products!$A$1:$G$49,MATCH(orders!$D475,products!$A$1:$A$49,0),MATCH(orders!I$1,products!$A$1:$G$1,0))</f>
        <v/>
      </c>
      <c r="J475">
        <f>INDEX(products!$A$1:$G$49,MATCH(orders!$D475,products!$A$1:$A$49,0),MATCH(orders!J$1,products!$A$1:$G$1,0))</f>
        <v/>
      </c>
      <c r="K475" s="4">
        <f>INDEX(products!$A$1:$G$49,MATCH(orders!$D475,products!$A$1:$A$49,0),MATCH(orders!K$1,products!$A$1:$G$1,0))</f>
        <v/>
      </c>
      <c r="L475" s="5">
        <f>INDEX(products!$A$1:$G$49,MATCH(orders!$D475,products!$A$1:$A$49,0),MATCH(orders!L$1,products!$A$1:$G$1,0))</f>
        <v/>
      </c>
      <c r="M475" s="5">
        <f>L475*E475</f>
        <v/>
      </c>
      <c r="N475">
        <f>IF(I475="Rob","Robusta",IF(I475="Exc","Excelsa",IF(I475="Ara","Arabica",IF(I475="Lib","Liberica",""))))</f>
        <v/>
      </c>
      <c r="O475">
        <f>IF(J475="M","Medium",IF(J475="L","Light",IF(J475="D","Dark","")))</f>
        <v/>
      </c>
      <c r="P475">
        <f>_xlfn.XLOOKUP(Orders[[#This Row],[Customer ID]],customers!$A$1:$A$1001,customers!$I$1:$I$1001,,0)</f>
        <v/>
      </c>
    </row>
    <row r="476">
      <c r="A476" s="2" t="inlineStr">
        <is>
          <t>O6965</t>
        </is>
      </c>
      <c r="B476" s="3" t="inlineStr">
        <is>
          <t>2023-05-13</t>
        </is>
      </c>
      <c r="C476" s="2" t="inlineStr">
        <is>
          <t>O9569</t>
        </is>
      </c>
      <c r="D476" t="inlineStr">
        <is>
          <t>O3138</t>
        </is>
      </c>
      <c r="E476" s="2" t="n">
        <v>297</v>
      </c>
      <c r="F476" s="2">
        <f>_xlfn.XLOOKUP(C476,customers!$A$1:$A$1001,customers!$B$1:$B$1001,,0)</f>
        <v/>
      </c>
      <c r="G476" s="2">
        <f>IF(_xlfn.XLOOKUP(C476,customers!$A$1:$A$1001,customers!$C$1:$C$1001,,0)=0,"",_xlfn.XLOOKUP(C476,customers!$A$1:$A$1001,customers!$C$1:$C$1001,,0))</f>
        <v/>
      </c>
      <c r="H476" s="2">
        <f>_xlfn.XLOOKUP(C476,customers!$A$1:$A$1001,customers!$G$1:$G$1001,,0)</f>
        <v/>
      </c>
      <c r="I476">
        <f>INDEX(products!$A$1:$G$49,MATCH(orders!$D476,products!$A$1:$A$49,0),MATCH(orders!I$1,products!$A$1:$G$1,0))</f>
        <v/>
      </c>
      <c r="J476">
        <f>INDEX(products!$A$1:$G$49,MATCH(orders!$D476,products!$A$1:$A$49,0),MATCH(orders!J$1,products!$A$1:$G$1,0))</f>
        <v/>
      </c>
      <c r="K476" s="4">
        <f>INDEX(products!$A$1:$G$49,MATCH(orders!$D476,products!$A$1:$A$49,0),MATCH(orders!K$1,products!$A$1:$G$1,0))</f>
        <v/>
      </c>
      <c r="L476" s="5">
        <f>INDEX(products!$A$1:$G$49,MATCH(orders!$D476,products!$A$1:$A$49,0),MATCH(orders!L$1,products!$A$1:$G$1,0))</f>
        <v/>
      </c>
      <c r="M476" s="5">
        <f>L476*E476</f>
        <v/>
      </c>
      <c r="N476">
        <f>IF(I476="Rob","Robusta",IF(I476="Exc","Excelsa",IF(I476="Ara","Arabica",IF(I476="Lib","Liberica",""))))</f>
        <v/>
      </c>
      <c r="O476">
        <f>IF(J476="M","Medium",IF(J476="L","Light",IF(J476="D","Dark","")))</f>
        <v/>
      </c>
      <c r="P476">
        <f>_xlfn.XLOOKUP(Orders[[#This Row],[Customer ID]],customers!$A$1:$A$1001,customers!$I$1:$I$1001,,0)</f>
        <v/>
      </c>
    </row>
    <row r="477">
      <c r="A477" s="2" t="inlineStr">
        <is>
          <t>O5397</t>
        </is>
      </c>
      <c r="B477" s="3" t="inlineStr">
        <is>
          <t>2020-06-07</t>
        </is>
      </c>
      <c r="C477" s="2" t="inlineStr">
        <is>
          <t>O2208</t>
        </is>
      </c>
      <c r="D477" t="inlineStr">
        <is>
          <t>O9386</t>
        </is>
      </c>
      <c r="E477" s="2" t="n">
        <v>385</v>
      </c>
      <c r="F477" s="2">
        <f>_xlfn.XLOOKUP(C477,customers!$A$1:$A$1001,customers!$B$1:$B$1001,,0)</f>
        <v/>
      </c>
      <c r="G477" s="2">
        <f>IF(_xlfn.XLOOKUP(C477,customers!$A$1:$A$1001,customers!$C$1:$C$1001,,0)=0,"",_xlfn.XLOOKUP(C477,customers!$A$1:$A$1001,customers!$C$1:$C$1001,,0))</f>
        <v/>
      </c>
      <c r="H477" s="2">
        <f>_xlfn.XLOOKUP(C477,customers!$A$1:$A$1001,customers!$G$1:$G$1001,,0)</f>
        <v/>
      </c>
      <c r="I477">
        <f>INDEX(products!$A$1:$G$49,MATCH(orders!$D477,products!$A$1:$A$49,0),MATCH(orders!I$1,products!$A$1:$G$1,0))</f>
        <v/>
      </c>
      <c r="J477">
        <f>INDEX(products!$A$1:$G$49,MATCH(orders!$D477,products!$A$1:$A$49,0),MATCH(orders!J$1,products!$A$1:$G$1,0))</f>
        <v/>
      </c>
      <c r="K477" s="4">
        <f>INDEX(products!$A$1:$G$49,MATCH(orders!$D477,products!$A$1:$A$49,0),MATCH(orders!K$1,products!$A$1:$G$1,0))</f>
        <v/>
      </c>
      <c r="L477" s="5">
        <f>INDEX(products!$A$1:$G$49,MATCH(orders!$D477,products!$A$1:$A$49,0),MATCH(orders!L$1,products!$A$1:$G$1,0))</f>
        <v/>
      </c>
      <c r="M477" s="5">
        <f>L477*E477</f>
        <v/>
      </c>
      <c r="N477">
        <f>IF(I477="Rob","Robusta",IF(I477="Exc","Excelsa",IF(I477="Ara","Arabica",IF(I477="Lib","Liberica",""))))</f>
        <v/>
      </c>
      <c r="O477">
        <f>IF(J477="M","Medium",IF(J477="L","Light",IF(J477="D","Dark","")))</f>
        <v/>
      </c>
      <c r="P477">
        <f>_xlfn.XLOOKUP(Orders[[#This Row],[Customer ID]],customers!$A$1:$A$1001,customers!$I$1:$I$1001,,0)</f>
        <v/>
      </c>
    </row>
    <row r="478">
      <c r="A478" s="2" t="inlineStr">
        <is>
          <t>O1980</t>
        </is>
      </c>
      <c r="B478" s="3" t="inlineStr">
        <is>
          <t>2023-04-02</t>
        </is>
      </c>
      <c r="C478" s="2" t="inlineStr">
        <is>
          <t>O3242</t>
        </is>
      </c>
      <c r="D478" t="inlineStr">
        <is>
          <t>O1334</t>
        </is>
      </c>
      <c r="E478" s="2" t="n">
        <v>354</v>
      </c>
      <c r="F478" s="2">
        <f>_xlfn.XLOOKUP(C478,customers!$A$1:$A$1001,customers!$B$1:$B$1001,,0)</f>
        <v/>
      </c>
      <c r="G478" s="2">
        <f>IF(_xlfn.XLOOKUP(C478,customers!$A$1:$A$1001,customers!$C$1:$C$1001,,0)=0,"",_xlfn.XLOOKUP(C478,customers!$A$1:$A$1001,customers!$C$1:$C$1001,,0))</f>
        <v/>
      </c>
      <c r="H478" s="2">
        <f>_xlfn.XLOOKUP(C478,customers!$A$1:$A$1001,customers!$G$1:$G$1001,,0)</f>
        <v/>
      </c>
      <c r="I478">
        <f>INDEX(products!$A$1:$G$49,MATCH(orders!$D478,products!$A$1:$A$49,0),MATCH(orders!I$1,products!$A$1:$G$1,0))</f>
        <v/>
      </c>
      <c r="J478">
        <f>INDEX(products!$A$1:$G$49,MATCH(orders!$D478,products!$A$1:$A$49,0),MATCH(orders!J$1,products!$A$1:$G$1,0))</f>
        <v/>
      </c>
      <c r="K478" s="4">
        <f>INDEX(products!$A$1:$G$49,MATCH(orders!$D478,products!$A$1:$A$49,0),MATCH(orders!K$1,products!$A$1:$G$1,0))</f>
        <v/>
      </c>
      <c r="L478" s="5">
        <f>INDEX(products!$A$1:$G$49,MATCH(orders!$D478,products!$A$1:$A$49,0),MATCH(orders!L$1,products!$A$1:$G$1,0))</f>
        <v/>
      </c>
      <c r="M478" s="5">
        <f>L478*E478</f>
        <v/>
      </c>
      <c r="N478">
        <f>IF(I478="Rob","Robusta",IF(I478="Exc","Excelsa",IF(I478="Ara","Arabica",IF(I478="Lib","Liberica",""))))</f>
        <v/>
      </c>
      <c r="O478">
        <f>IF(J478="M","Medium",IF(J478="L","Light",IF(J478="D","Dark","")))</f>
        <v/>
      </c>
      <c r="P478">
        <f>_xlfn.XLOOKUP(Orders[[#This Row],[Customer ID]],customers!$A$1:$A$1001,customers!$I$1:$I$1001,,0)</f>
        <v/>
      </c>
    </row>
    <row r="479">
      <c r="A479" s="2" t="inlineStr">
        <is>
          <t>O2556</t>
        </is>
      </c>
      <c r="B479" s="3" t="inlineStr">
        <is>
          <t>2021-12-28</t>
        </is>
      </c>
      <c r="C479" s="2" t="inlineStr">
        <is>
          <t>O2260</t>
        </is>
      </c>
      <c r="D479" t="inlineStr">
        <is>
          <t>O8113</t>
        </is>
      </c>
      <c r="E479" s="2" t="n">
        <v>475</v>
      </c>
      <c r="F479" s="2">
        <f>_xlfn.XLOOKUP(C479,customers!$A$1:$A$1001,customers!$B$1:$B$1001,,0)</f>
        <v/>
      </c>
      <c r="G479" s="2">
        <f>IF(_xlfn.XLOOKUP(C479,customers!$A$1:$A$1001,customers!$C$1:$C$1001,,0)=0,"",_xlfn.XLOOKUP(C479,customers!$A$1:$A$1001,customers!$C$1:$C$1001,,0))</f>
        <v/>
      </c>
      <c r="H479" s="2">
        <f>_xlfn.XLOOKUP(C479,customers!$A$1:$A$1001,customers!$G$1:$G$1001,,0)</f>
        <v/>
      </c>
      <c r="I479">
        <f>INDEX(products!$A$1:$G$49,MATCH(orders!$D479,products!$A$1:$A$49,0),MATCH(orders!I$1,products!$A$1:$G$1,0))</f>
        <v/>
      </c>
      <c r="J479">
        <f>INDEX(products!$A$1:$G$49,MATCH(orders!$D479,products!$A$1:$A$49,0),MATCH(orders!J$1,products!$A$1:$G$1,0))</f>
        <v/>
      </c>
      <c r="K479" s="4">
        <f>INDEX(products!$A$1:$G$49,MATCH(orders!$D479,products!$A$1:$A$49,0),MATCH(orders!K$1,products!$A$1:$G$1,0))</f>
        <v/>
      </c>
      <c r="L479" s="5">
        <f>INDEX(products!$A$1:$G$49,MATCH(orders!$D479,products!$A$1:$A$49,0),MATCH(orders!L$1,products!$A$1:$G$1,0))</f>
        <v/>
      </c>
      <c r="M479" s="5">
        <f>L479*E479</f>
        <v/>
      </c>
      <c r="N479">
        <f>IF(I479="Rob","Robusta",IF(I479="Exc","Excelsa",IF(I479="Ara","Arabica",IF(I479="Lib","Liberica",""))))</f>
        <v/>
      </c>
      <c r="O479">
        <f>IF(J479="M","Medium",IF(J479="L","Light",IF(J479="D","Dark","")))</f>
        <v/>
      </c>
      <c r="P479">
        <f>_xlfn.XLOOKUP(Orders[[#This Row],[Customer ID]],customers!$A$1:$A$1001,customers!$I$1:$I$1001,,0)</f>
        <v/>
      </c>
    </row>
    <row r="480">
      <c r="A480" s="2" t="inlineStr">
        <is>
          <t>O2825</t>
        </is>
      </c>
      <c r="B480" s="3" t="inlineStr">
        <is>
          <t>2025-01-03</t>
        </is>
      </c>
      <c r="C480" s="2" t="inlineStr">
        <is>
          <t>O1520</t>
        </is>
      </c>
      <c r="D480" t="inlineStr">
        <is>
          <t>O3134</t>
        </is>
      </c>
      <c r="E480" s="2" t="n">
        <v>448</v>
      </c>
      <c r="F480" s="2">
        <f>_xlfn.XLOOKUP(C480,customers!$A$1:$A$1001,customers!$B$1:$B$1001,,0)</f>
        <v/>
      </c>
      <c r="G480" s="2">
        <f>IF(_xlfn.XLOOKUP(C480,customers!$A$1:$A$1001,customers!$C$1:$C$1001,,0)=0,"",_xlfn.XLOOKUP(C480,customers!$A$1:$A$1001,customers!$C$1:$C$1001,,0))</f>
        <v/>
      </c>
      <c r="H480" s="2">
        <f>_xlfn.XLOOKUP(C480,customers!$A$1:$A$1001,customers!$G$1:$G$1001,,0)</f>
        <v/>
      </c>
      <c r="I480">
        <f>INDEX(products!$A$1:$G$49,MATCH(orders!$D480,products!$A$1:$A$49,0),MATCH(orders!I$1,products!$A$1:$G$1,0))</f>
        <v/>
      </c>
      <c r="J480">
        <f>INDEX(products!$A$1:$G$49,MATCH(orders!$D480,products!$A$1:$A$49,0),MATCH(orders!J$1,products!$A$1:$G$1,0))</f>
        <v/>
      </c>
      <c r="K480" s="4">
        <f>INDEX(products!$A$1:$G$49,MATCH(orders!$D480,products!$A$1:$A$49,0),MATCH(orders!K$1,products!$A$1:$G$1,0))</f>
        <v/>
      </c>
      <c r="L480" s="5">
        <f>INDEX(products!$A$1:$G$49,MATCH(orders!$D480,products!$A$1:$A$49,0),MATCH(orders!L$1,products!$A$1:$G$1,0))</f>
        <v/>
      </c>
      <c r="M480" s="5">
        <f>L480*E480</f>
        <v/>
      </c>
      <c r="N480">
        <f>IF(I480="Rob","Robusta",IF(I480="Exc","Excelsa",IF(I480="Ara","Arabica",IF(I480="Lib","Liberica",""))))</f>
        <v/>
      </c>
      <c r="O480">
        <f>IF(J480="M","Medium",IF(J480="L","Light",IF(J480="D","Dark","")))</f>
        <v/>
      </c>
      <c r="P480">
        <f>_xlfn.XLOOKUP(Orders[[#This Row],[Customer ID]],customers!$A$1:$A$1001,customers!$I$1:$I$1001,,0)</f>
        <v/>
      </c>
    </row>
    <row r="481">
      <c r="A481" s="2" t="inlineStr">
        <is>
          <t>O1920</t>
        </is>
      </c>
      <c r="B481" s="3" t="inlineStr">
        <is>
          <t>2025-02-22</t>
        </is>
      </c>
      <c r="C481" s="2" t="inlineStr">
        <is>
          <t>O7963</t>
        </is>
      </c>
      <c r="D481" t="inlineStr">
        <is>
          <t>O2071</t>
        </is>
      </c>
      <c r="E481" s="2" t="n">
        <v>36</v>
      </c>
      <c r="F481" s="2">
        <f>_xlfn.XLOOKUP(C481,customers!$A$1:$A$1001,customers!$B$1:$B$1001,,0)</f>
        <v/>
      </c>
      <c r="G481" s="2">
        <f>IF(_xlfn.XLOOKUP(C481,customers!$A$1:$A$1001,customers!$C$1:$C$1001,,0)=0,"",_xlfn.XLOOKUP(C481,customers!$A$1:$A$1001,customers!$C$1:$C$1001,,0))</f>
        <v/>
      </c>
      <c r="H481" s="2">
        <f>_xlfn.XLOOKUP(C481,customers!$A$1:$A$1001,customers!$G$1:$G$1001,,0)</f>
        <v/>
      </c>
      <c r="I481">
        <f>INDEX(products!$A$1:$G$49,MATCH(orders!$D481,products!$A$1:$A$49,0),MATCH(orders!I$1,products!$A$1:$G$1,0))</f>
        <v/>
      </c>
      <c r="J481">
        <f>INDEX(products!$A$1:$G$49,MATCH(orders!$D481,products!$A$1:$A$49,0),MATCH(orders!J$1,products!$A$1:$G$1,0))</f>
        <v/>
      </c>
      <c r="K481" s="4">
        <f>INDEX(products!$A$1:$G$49,MATCH(orders!$D481,products!$A$1:$A$49,0),MATCH(orders!K$1,products!$A$1:$G$1,0))</f>
        <v/>
      </c>
      <c r="L481" s="5">
        <f>INDEX(products!$A$1:$G$49,MATCH(orders!$D481,products!$A$1:$A$49,0),MATCH(orders!L$1,products!$A$1:$G$1,0))</f>
        <v/>
      </c>
      <c r="M481" s="5">
        <f>L481*E481</f>
        <v/>
      </c>
      <c r="N481">
        <f>IF(I481="Rob","Robusta",IF(I481="Exc","Excelsa",IF(I481="Ara","Arabica",IF(I481="Lib","Liberica",""))))</f>
        <v/>
      </c>
      <c r="O481">
        <f>IF(J481="M","Medium",IF(J481="L","Light",IF(J481="D","Dark","")))</f>
        <v/>
      </c>
      <c r="P481">
        <f>_xlfn.XLOOKUP(Orders[[#This Row],[Customer ID]],customers!$A$1:$A$1001,customers!$I$1:$I$1001,,0)</f>
        <v/>
      </c>
    </row>
    <row r="482">
      <c r="A482" s="2" t="inlineStr">
        <is>
          <t>O2672</t>
        </is>
      </c>
      <c r="B482" s="3" t="inlineStr">
        <is>
          <t>2024-01-09</t>
        </is>
      </c>
      <c r="C482" s="2" t="inlineStr">
        <is>
          <t>O3255</t>
        </is>
      </c>
      <c r="D482" t="inlineStr">
        <is>
          <t>O4996</t>
        </is>
      </c>
      <c r="E482" s="2" t="n">
        <v>121</v>
      </c>
      <c r="F482" s="2">
        <f>_xlfn.XLOOKUP(C482,customers!$A$1:$A$1001,customers!$B$1:$B$1001,,0)</f>
        <v/>
      </c>
      <c r="G482" s="2">
        <f>IF(_xlfn.XLOOKUP(C482,customers!$A$1:$A$1001,customers!$C$1:$C$1001,,0)=0,"",_xlfn.XLOOKUP(C482,customers!$A$1:$A$1001,customers!$C$1:$C$1001,,0))</f>
        <v/>
      </c>
      <c r="H482" s="2">
        <f>_xlfn.XLOOKUP(C482,customers!$A$1:$A$1001,customers!$G$1:$G$1001,,0)</f>
        <v/>
      </c>
      <c r="I482">
        <f>INDEX(products!$A$1:$G$49,MATCH(orders!$D482,products!$A$1:$A$49,0),MATCH(orders!I$1,products!$A$1:$G$1,0))</f>
        <v/>
      </c>
      <c r="J482">
        <f>INDEX(products!$A$1:$G$49,MATCH(orders!$D482,products!$A$1:$A$49,0),MATCH(orders!J$1,products!$A$1:$G$1,0))</f>
        <v/>
      </c>
      <c r="K482" s="4">
        <f>INDEX(products!$A$1:$G$49,MATCH(orders!$D482,products!$A$1:$A$49,0),MATCH(orders!K$1,products!$A$1:$G$1,0))</f>
        <v/>
      </c>
      <c r="L482" s="5">
        <f>INDEX(products!$A$1:$G$49,MATCH(orders!$D482,products!$A$1:$A$49,0),MATCH(orders!L$1,products!$A$1:$G$1,0))</f>
        <v/>
      </c>
      <c r="M482" s="5">
        <f>L482*E482</f>
        <v/>
      </c>
      <c r="N482">
        <f>IF(I482="Rob","Robusta",IF(I482="Exc","Excelsa",IF(I482="Ara","Arabica",IF(I482="Lib","Liberica",""))))</f>
        <v/>
      </c>
      <c r="O482">
        <f>IF(J482="M","Medium",IF(J482="L","Light",IF(J482="D","Dark","")))</f>
        <v/>
      </c>
      <c r="P482">
        <f>_xlfn.XLOOKUP(Orders[[#This Row],[Customer ID]],customers!$A$1:$A$1001,customers!$I$1:$I$1001,,0)</f>
        <v/>
      </c>
    </row>
    <row r="483">
      <c r="A483" s="2" t="inlineStr">
        <is>
          <t>O8088</t>
        </is>
      </c>
      <c r="B483" s="3" t="inlineStr">
        <is>
          <t>2025-05-11</t>
        </is>
      </c>
      <c r="C483" s="2" t="inlineStr">
        <is>
          <t>O1761</t>
        </is>
      </c>
      <c r="D483" t="inlineStr">
        <is>
          <t>O6035</t>
        </is>
      </c>
      <c r="E483" s="2" t="n">
        <v>404</v>
      </c>
      <c r="F483" s="2">
        <f>_xlfn.XLOOKUP(C483,customers!$A$1:$A$1001,customers!$B$1:$B$1001,,0)</f>
        <v/>
      </c>
      <c r="G483" s="2">
        <f>IF(_xlfn.XLOOKUP(C483,customers!$A$1:$A$1001,customers!$C$1:$C$1001,,0)=0,"",_xlfn.XLOOKUP(C483,customers!$A$1:$A$1001,customers!$C$1:$C$1001,,0))</f>
        <v/>
      </c>
      <c r="H483" s="2">
        <f>_xlfn.XLOOKUP(C483,customers!$A$1:$A$1001,customers!$G$1:$G$1001,,0)</f>
        <v/>
      </c>
      <c r="I483">
        <f>INDEX(products!$A$1:$G$49,MATCH(orders!$D483,products!$A$1:$A$49,0),MATCH(orders!I$1,products!$A$1:$G$1,0))</f>
        <v/>
      </c>
      <c r="J483">
        <f>INDEX(products!$A$1:$G$49,MATCH(orders!$D483,products!$A$1:$A$49,0),MATCH(orders!J$1,products!$A$1:$G$1,0))</f>
        <v/>
      </c>
      <c r="K483" s="4">
        <f>INDEX(products!$A$1:$G$49,MATCH(orders!$D483,products!$A$1:$A$49,0),MATCH(orders!K$1,products!$A$1:$G$1,0))</f>
        <v/>
      </c>
      <c r="L483" s="5">
        <f>INDEX(products!$A$1:$G$49,MATCH(orders!$D483,products!$A$1:$A$49,0),MATCH(orders!L$1,products!$A$1:$G$1,0))</f>
        <v/>
      </c>
      <c r="M483" s="5">
        <f>L483*E483</f>
        <v/>
      </c>
      <c r="N483">
        <f>IF(I483="Rob","Robusta",IF(I483="Exc","Excelsa",IF(I483="Ara","Arabica",IF(I483="Lib","Liberica",""))))</f>
        <v/>
      </c>
      <c r="O483">
        <f>IF(J483="M","Medium",IF(J483="L","Light",IF(J483="D","Dark","")))</f>
        <v/>
      </c>
      <c r="P483">
        <f>_xlfn.XLOOKUP(Orders[[#This Row],[Customer ID]],customers!$A$1:$A$1001,customers!$I$1:$I$1001,,0)</f>
        <v/>
      </c>
    </row>
    <row r="484">
      <c r="A484" s="2" t="inlineStr">
        <is>
          <t>O7778</t>
        </is>
      </c>
      <c r="B484" s="3" t="inlineStr">
        <is>
          <t>2024-10-22</t>
        </is>
      </c>
      <c r="C484" s="2" t="inlineStr">
        <is>
          <t>O8769</t>
        </is>
      </c>
      <c r="D484" t="inlineStr">
        <is>
          <t>O5291</t>
        </is>
      </c>
      <c r="E484" s="2" t="n">
        <v>267</v>
      </c>
      <c r="F484" s="2">
        <f>_xlfn.XLOOKUP(C484,customers!$A$1:$A$1001,customers!$B$1:$B$1001,,0)</f>
        <v/>
      </c>
      <c r="G484" s="2">
        <f>IF(_xlfn.XLOOKUP(C484,customers!$A$1:$A$1001,customers!$C$1:$C$1001,,0)=0,"",_xlfn.XLOOKUP(C484,customers!$A$1:$A$1001,customers!$C$1:$C$1001,,0))</f>
        <v/>
      </c>
      <c r="H484" s="2">
        <f>_xlfn.XLOOKUP(C484,customers!$A$1:$A$1001,customers!$G$1:$G$1001,,0)</f>
        <v/>
      </c>
      <c r="I484">
        <f>INDEX(products!$A$1:$G$49,MATCH(orders!$D484,products!$A$1:$A$49,0),MATCH(orders!I$1,products!$A$1:$G$1,0))</f>
        <v/>
      </c>
      <c r="J484">
        <f>INDEX(products!$A$1:$G$49,MATCH(orders!$D484,products!$A$1:$A$49,0),MATCH(orders!J$1,products!$A$1:$G$1,0))</f>
        <v/>
      </c>
      <c r="K484" s="4">
        <f>INDEX(products!$A$1:$G$49,MATCH(orders!$D484,products!$A$1:$A$49,0),MATCH(orders!K$1,products!$A$1:$G$1,0))</f>
        <v/>
      </c>
      <c r="L484" s="5">
        <f>INDEX(products!$A$1:$G$49,MATCH(orders!$D484,products!$A$1:$A$49,0),MATCH(orders!L$1,products!$A$1:$G$1,0))</f>
        <v/>
      </c>
      <c r="M484" s="5">
        <f>L484*E484</f>
        <v/>
      </c>
      <c r="N484">
        <f>IF(I484="Rob","Robusta",IF(I484="Exc","Excelsa",IF(I484="Ara","Arabica",IF(I484="Lib","Liberica",""))))</f>
        <v/>
      </c>
      <c r="O484">
        <f>IF(J484="M","Medium",IF(J484="L","Light",IF(J484="D","Dark","")))</f>
        <v/>
      </c>
      <c r="P484">
        <f>_xlfn.XLOOKUP(Orders[[#This Row],[Customer ID]],customers!$A$1:$A$1001,customers!$I$1:$I$1001,,0)</f>
        <v/>
      </c>
    </row>
    <row r="485">
      <c r="A485" s="2" t="inlineStr">
        <is>
          <t>O1388</t>
        </is>
      </c>
      <c r="B485" s="3" t="inlineStr">
        <is>
          <t>2023-10-09</t>
        </is>
      </c>
      <c r="C485" s="2" t="inlineStr">
        <is>
          <t>O6407</t>
        </is>
      </c>
      <c r="D485" t="inlineStr">
        <is>
          <t>O3444</t>
        </is>
      </c>
      <c r="E485" s="2" t="n">
        <v>416</v>
      </c>
      <c r="F485" s="2">
        <f>_xlfn.XLOOKUP(C485,customers!$A$1:$A$1001,customers!$B$1:$B$1001,,0)</f>
        <v/>
      </c>
      <c r="G485" s="2">
        <f>IF(_xlfn.XLOOKUP(C485,customers!$A$1:$A$1001,customers!$C$1:$C$1001,,0)=0,"",_xlfn.XLOOKUP(C485,customers!$A$1:$A$1001,customers!$C$1:$C$1001,,0))</f>
        <v/>
      </c>
      <c r="H485" s="2">
        <f>_xlfn.XLOOKUP(C485,customers!$A$1:$A$1001,customers!$G$1:$G$1001,,0)</f>
        <v/>
      </c>
      <c r="I485">
        <f>INDEX(products!$A$1:$G$49,MATCH(orders!$D485,products!$A$1:$A$49,0),MATCH(orders!I$1,products!$A$1:$G$1,0))</f>
        <v/>
      </c>
      <c r="J485">
        <f>INDEX(products!$A$1:$G$49,MATCH(orders!$D485,products!$A$1:$A$49,0),MATCH(orders!J$1,products!$A$1:$G$1,0))</f>
        <v/>
      </c>
      <c r="K485" s="4">
        <f>INDEX(products!$A$1:$G$49,MATCH(orders!$D485,products!$A$1:$A$49,0),MATCH(orders!K$1,products!$A$1:$G$1,0))</f>
        <v/>
      </c>
      <c r="L485" s="5">
        <f>INDEX(products!$A$1:$G$49,MATCH(orders!$D485,products!$A$1:$A$49,0),MATCH(orders!L$1,products!$A$1:$G$1,0))</f>
        <v/>
      </c>
      <c r="M485" s="5">
        <f>L485*E485</f>
        <v/>
      </c>
      <c r="N485">
        <f>IF(I485="Rob","Robusta",IF(I485="Exc","Excelsa",IF(I485="Ara","Arabica",IF(I485="Lib","Liberica",""))))</f>
        <v/>
      </c>
      <c r="O485">
        <f>IF(J485="M","Medium",IF(J485="L","Light",IF(J485="D","Dark","")))</f>
        <v/>
      </c>
      <c r="P485">
        <f>_xlfn.XLOOKUP(Orders[[#This Row],[Customer ID]],customers!$A$1:$A$1001,customers!$I$1:$I$1001,,0)</f>
        <v/>
      </c>
    </row>
    <row r="486">
      <c r="A486" s="2" t="inlineStr">
        <is>
          <t>O8467</t>
        </is>
      </c>
      <c r="B486" s="3" t="inlineStr">
        <is>
          <t>2021-01-25</t>
        </is>
      </c>
      <c r="C486" s="2" t="inlineStr">
        <is>
          <t>O2202</t>
        </is>
      </c>
      <c r="D486" t="inlineStr">
        <is>
          <t>O8465</t>
        </is>
      </c>
      <c r="E486" s="2" t="n">
        <v>352</v>
      </c>
      <c r="F486" s="2">
        <f>_xlfn.XLOOKUP(C486,customers!$A$1:$A$1001,customers!$B$1:$B$1001,,0)</f>
        <v/>
      </c>
      <c r="G486" s="2">
        <f>IF(_xlfn.XLOOKUP(C486,customers!$A$1:$A$1001,customers!$C$1:$C$1001,,0)=0,"",_xlfn.XLOOKUP(C486,customers!$A$1:$A$1001,customers!$C$1:$C$1001,,0))</f>
        <v/>
      </c>
      <c r="H486" s="2">
        <f>_xlfn.XLOOKUP(C486,customers!$A$1:$A$1001,customers!$G$1:$G$1001,,0)</f>
        <v/>
      </c>
      <c r="I486">
        <f>INDEX(products!$A$1:$G$49,MATCH(orders!$D486,products!$A$1:$A$49,0),MATCH(orders!I$1,products!$A$1:$G$1,0))</f>
        <v/>
      </c>
      <c r="J486">
        <f>INDEX(products!$A$1:$G$49,MATCH(orders!$D486,products!$A$1:$A$49,0),MATCH(orders!J$1,products!$A$1:$G$1,0))</f>
        <v/>
      </c>
      <c r="K486" s="4">
        <f>INDEX(products!$A$1:$G$49,MATCH(orders!$D486,products!$A$1:$A$49,0),MATCH(orders!K$1,products!$A$1:$G$1,0))</f>
        <v/>
      </c>
      <c r="L486" s="5">
        <f>INDEX(products!$A$1:$G$49,MATCH(orders!$D486,products!$A$1:$A$49,0),MATCH(orders!L$1,products!$A$1:$G$1,0))</f>
        <v/>
      </c>
      <c r="M486" s="5">
        <f>L486*E486</f>
        <v/>
      </c>
      <c r="N486">
        <f>IF(I486="Rob","Robusta",IF(I486="Exc","Excelsa",IF(I486="Ara","Arabica",IF(I486="Lib","Liberica",""))))</f>
        <v/>
      </c>
      <c r="O486">
        <f>IF(J486="M","Medium",IF(J486="L","Light",IF(J486="D","Dark","")))</f>
        <v/>
      </c>
      <c r="P486">
        <f>_xlfn.XLOOKUP(Orders[[#This Row],[Customer ID]],customers!$A$1:$A$1001,customers!$I$1:$I$1001,,0)</f>
        <v/>
      </c>
    </row>
    <row r="487">
      <c r="A487" s="2" t="inlineStr">
        <is>
          <t>O4082</t>
        </is>
      </c>
      <c r="B487" s="3" t="inlineStr">
        <is>
          <t>2022-09-02</t>
        </is>
      </c>
      <c r="C487" s="2" t="inlineStr">
        <is>
          <t>O1645</t>
        </is>
      </c>
      <c r="D487" t="inlineStr">
        <is>
          <t>O2499</t>
        </is>
      </c>
      <c r="E487" s="2" t="n">
        <v>421</v>
      </c>
      <c r="F487" s="2">
        <f>_xlfn.XLOOKUP(C487,customers!$A$1:$A$1001,customers!$B$1:$B$1001,,0)</f>
        <v/>
      </c>
      <c r="G487" s="2">
        <f>IF(_xlfn.XLOOKUP(C487,customers!$A$1:$A$1001,customers!$C$1:$C$1001,,0)=0,"",_xlfn.XLOOKUP(C487,customers!$A$1:$A$1001,customers!$C$1:$C$1001,,0))</f>
        <v/>
      </c>
      <c r="H487" s="2">
        <f>_xlfn.XLOOKUP(C487,customers!$A$1:$A$1001,customers!$G$1:$G$1001,,0)</f>
        <v/>
      </c>
      <c r="I487">
        <f>INDEX(products!$A$1:$G$49,MATCH(orders!$D487,products!$A$1:$A$49,0),MATCH(orders!I$1,products!$A$1:$G$1,0))</f>
        <v/>
      </c>
      <c r="J487">
        <f>INDEX(products!$A$1:$G$49,MATCH(orders!$D487,products!$A$1:$A$49,0),MATCH(orders!J$1,products!$A$1:$G$1,0))</f>
        <v/>
      </c>
      <c r="K487" s="4">
        <f>INDEX(products!$A$1:$G$49,MATCH(orders!$D487,products!$A$1:$A$49,0),MATCH(orders!K$1,products!$A$1:$G$1,0))</f>
        <v/>
      </c>
      <c r="L487" s="5">
        <f>INDEX(products!$A$1:$G$49,MATCH(orders!$D487,products!$A$1:$A$49,0),MATCH(orders!L$1,products!$A$1:$G$1,0))</f>
        <v/>
      </c>
      <c r="M487" s="5">
        <f>L487*E487</f>
        <v/>
      </c>
      <c r="N487">
        <f>IF(I487="Rob","Robusta",IF(I487="Exc","Excelsa",IF(I487="Ara","Arabica",IF(I487="Lib","Liberica",""))))</f>
        <v/>
      </c>
      <c r="O487">
        <f>IF(J487="M","Medium",IF(J487="L","Light",IF(J487="D","Dark","")))</f>
        <v/>
      </c>
      <c r="P487">
        <f>_xlfn.XLOOKUP(Orders[[#This Row],[Customer ID]],customers!$A$1:$A$1001,customers!$I$1:$I$1001,,0)</f>
        <v/>
      </c>
    </row>
    <row r="488">
      <c r="A488" s="2" t="inlineStr">
        <is>
          <t>O8078</t>
        </is>
      </c>
      <c r="B488" s="3" t="inlineStr">
        <is>
          <t>2022-01-31</t>
        </is>
      </c>
      <c r="C488" s="2" t="inlineStr">
        <is>
          <t>O4816</t>
        </is>
      </c>
      <c r="D488" t="inlineStr">
        <is>
          <t>O5448</t>
        </is>
      </c>
      <c r="E488" s="2" t="n">
        <v>377</v>
      </c>
      <c r="F488" s="2">
        <f>_xlfn.XLOOKUP(C488,customers!$A$1:$A$1001,customers!$B$1:$B$1001,,0)</f>
        <v/>
      </c>
      <c r="G488" s="2">
        <f>IF(_xlfn.XLOOKUP(C488,customers!$A$1:$A$1001,customers!$C$1:$C$1001,,0)=0,"",_xlfn.XLOOKUP(C488,customers!$A$1:$A$1001,customers!$C$1:$C$1001,,0))</f>
        <v/>
      </c>
      <c r="H488" s="2">
        <f>_xlfn.XLOOKUP(C488,customers!$A$1:$A$1001,customers!$G$1:$G$1001,,0)</f>
        <v/>
      </c>
      <c r="I488">
        <f>INDEX(products!$A$1:$G$49,MATCH(orders!$D488,products!$A$1:$A$49,0),MATCH(orders!I$1,products!$A$1:$G$1,0))</f>
        <v/>
      </c>
      <c r="J488">
        <f>INDEX(products!$A$1:$G$49,MATCH(orders!$D488,products!$A$1:$A$49,0),MATCH(orders!J$1,products!$A$1:$G$1,0))</f>
        <v/>
      </c>
      <c r="K488" s="4">
        <f>INDEX(products!$A$1:$G$49,MATCH(orders!$D488,products!$A$1:$A$49,0),MATCH(orders!K$1,products!$A$1:$G$1,0))</f>
        <v/>
      </c>
      <c r="L488" s="5">
        <f>INDEX(products!$A$1:$G$49,MATCH(orders!$D488,products!$A$1:$A$49,0),MATCH(orders!L$1,products!$A$1:$G$1,0))</f>
        <v/>
      </c>
      <c r="M488" s="5">
        <f>L488*E488</f>
        <v/>
      </c>
      <c r="N488">
        <f>IF(I488="Rob","Robusta",IF(I488="Exc","Excelsa",IF(I488="Ara","Arabica",IF(I488="Lib","Liberica",""))))</f>
        <v/>
      </c>
      <c r="O488">
        <f>IF(J488="M","Medium",IF(J488="L","Light",IF(J488="D","Dark","")))</f>
        <v/>
      </c>
      <c r="P488">
        <f>_xlfn.XLOOKUP(Orders[[#This Row],[Customer ID]],customers!$A$1:$A$1001,customers!$I$1:$I$1001,,0)</f>
        <v/>
      </c>
    </row>
    <row r="489">
      <c r="A489" s="2" t="inlineStr">
        <is>
          <t>O7757</t>
        </is>
      </c>
      <c r="B489" s="3" t="inlineStr">
        <is>
          <t>2023-02-19</t>
        </is>
      </c>
      <c r="C489" s="2" t="inlineStr">
        <is>
          <t>O1597</t>
        </is>
      </c>
      <c r="D489" t="inlineStr">
        <is>
          <t>O4873</t>
        </is>
      </c>
      <c r="E489" s="2" t="n">
        <v>210</v>
      </c>
      <c r="F489" s="2">
        <f>_xlfn.XLOOKUP(C489,customers!$A$1:$A$1001,customers!$B$1:$B$1001,,0)</f>
        <v/>
      </c>
      <c r="G489" s="2">
        <f>IF(_xlfn.XLOOKUP(C489,customers!$A$1:$A$1001,customers!$C$1:$C$1001,,0)=0,"",_xlfn.XLOOKUP(C489,customers!$A$1:$A$1001,customers!$C$1:$C$1001,,0))</f>
        <v/>
      </c>
      <c r="H489" s="2">
        <f>_xlfn.XLOOKUP(C489,customers!$A$1:$A$1001,customers!$G$1:$G$1001,,0)</f>
        <v/>
      </c>
      <c r="I489">
        <f>INDEX(products!$A$1:$G$49,MATCH(orders!$D489,products!$A$1:$A$49,0),MATCH(orders!I$1,products!$A$1:$G$1,0))</f>
        <v/>
      </c>
      <c r="J489">
        <f>INDEX(products!$A$1:$G$49,MATCH(orders!$D489,products!$A$1:$A$49,0),MATCH(orders!J$1,products!$A$1:$G$1,0))</f>
        <v/>
      </c>
      <c r="K489" s="4">
        <f>INDEX(products!$A$1:$G$49,MATCH(orders!$D489,products!$A$1:$A$49,0),MATCH(orders!K$1,products!$A$1:$G$1,0))</f>
        <v/>
      </c>
      <c r="L489" s="5">
        <f>INDEX(products!$A$1:$G$49,MATCH(orders!$D489,products!$A$1:$A$49,0),MATCH(orders!L$1,products!$A$1:$G$1,0))</f>
        <v/>
      </c>
      <c r="M489" s="5">
        <f>L489*E489</f>
        <v/>
      </c>
      <c r="N489">
        <f>IF(I489="Rob","Robusta",IF(I489="Exc","Excelsa",IF(I489="Ara","Arabica",IF(I489="Lib","Liberica",""))))</f>
        <v/>
      </c>
      <c r="O489">
        <f>IF(J489="M","Medium",IF(J489="L","Light",IF(J489="D","Dark","")))</f>
        <v/>
      </c>
      <c r="P489">
        <f>_xlfn.XLOOKUP(Orders[[#This Row],[Customer ID]],customers!$A$1:$A$1001,customers!$I$1:$I$1001,,0)</f>
        <v/>
      </c>
    </row>
    <row r="490">
      <c r="A490" s="2" t="inlineStr">
        <is>
          <t>O7057</t>
        </is>
      </c>
      <c r="B490" s="3" t="inlineStr">
        <is>
          <t>2020-03-23</t>
        </is>
      </c>
      <c r="C490" s="2" t="inlineStr">
        <is>
          <t>O5509</t>
        </is>
      </c>
      <c r="D490" t="inlineStr">
        <is>
          <t>O9444</t>
        </is>
      </c>
      <c r="E490" s="2" t="n">
        <v>7</v>
      </c>
      <c r="F490" s="2">
        <f>_xlfn.XLOOKUP(C490,customers!$A$1:$A$1001,customers!$B$1:$B$1001,,0)</f>
        <v/>
      </c>
      <c r="G490" s="2">
        <f>IF(_xlfn.XLOOKUP(C490,customers!$A$1:$A$1001,customers!$C$1:$C$1001,,0)=0,"",_xlfn.XLOOKUP(C490,customers!$A$1:$A$1001,customers!$C$1:$C$1001,,0))</f>
        <v/>
      </c>
      <c r="H490" s="2">
        <f>_xlfn.XLOOKUP(C490,customers!$A$1:$A$1001,customers!$G$1:$G$1001,,0)</f>
        <v/>
      </c>
      <c r="I490">
        <f>INDEX(products!$A$1:$G$49,MATCH(orders!$D490,products!$A$1:$A$49,0),MATCH(orders!I$1,products!$A$1:$G$1,0))</f>
        <v/>
      </c>
      <c r="J490">
        <f>INDEX(products!$A$1:$G$49,MATCH(orders!$D490,products!$A$1:$A$49,0),MATCH(orders!J$1,products!$A$1:$G$1,0))</f>
        <v/>
      </c>
      <c r="K490" s="4">
        <f>INDEX(products!$A$1:$G$49,MATCH(orders!$D490,products!$A$1:$A$49,0),MATCH(orders!K$1,products!$A$1:$G$1,0))</f>
        <v/>
      </c>
      <c r="L490" s="5">
        <f>INDEX(products!$A$1:$G$49,MATCH(orders!$D490,products!$A$1:$A$49,0),MATCH(orders!L$1,products!$A$1:$G$1,0))</f>
        <v/>
      </c>
      <c r="M490" s="5">
        <f>L490*E490</f>
        <v/>
      </c>
      <c r="N490">
        <f>IF(I490="Rob","Robusta",IF(I490="Exc","Excelsa",IF(I490="Ara","Arabica",IF(I490="Lib","Liberica",""))))</f>
        <v/>
      </c>
      <c r="O490">
        <f>IF(J490="M","Medium",IF(J490="L","Light",IF(J490="D","Dark","")))</f>
        <v/>
      </c>
      <c r="P490">
        <f>_xlfn.XLOOKUP(Orders[[#This Row],[Customer ID]],customers!$A$1:$A$1001,customers!$I$1:$I$1001,,0)</f>
        <v/>
      </c>
    </row>
    <row r="491">
      <c r="A491" s="2" t="inlineStr">
        <is>
          <t>O8917</t>
        </is>
      </c>
      <c r="B491" s="3" t="inlineStr">
        <is>
          <t>2024-08-31</t>
        </is>
      </c>
      <c r="C491" s="2" t="inlineStr">
        <is>
          <t>O4154</t>
        </is>
      </c>
      <c r="D491" t="inlineStr">
        <is>
          <t>O5706</t>
        </is>
      </c>
      <c r="E491" s="2" t="n">
        <v>239</v>
      </c>
      <c r="F491" s="2">
        <f>_xlfn.XLOOKUP(C491,customers!$A$1:$A$1001,customers!$B$1:$B$1001,,0)</f>
        <v/>
      </c>
      <c r="G491" s="2">
        <f>IF(_xlfn.XLOOKUP(C491,customers!$A$1:$A$1001,customers!$C$1:$C$1001,,0)=0,"",_xlfn.XLOOKUP(C491,customers!$A$1:$A$1001,customers!$C$1:$C$1001,,0))</f>
        <v/>
      </c>
      <c r="H491" s="2">
        <f>_xlfn.XLOOKUP(C491,customers!$A$1:$A$1001,customers!$G$1:$G$1001,,0)</f>
        <v/>
      </c>
      <c r="I491">
        <f>INDEX(products!$A$1:$G$49,MATCH(orders!$D491,products!$A$1:$A$49,0),MATCH(orders!I$1,products!$A$1:$G$1,0))</f>
        <v/>
      </c>
      <c r="J491">
        <f>INDEX(products!$A$1:$G$49,MATCH(orders!$D491,products!$A$1:$A$49,0),MATCH(orders!J$1,products!$A$1:$G$1,0))</f>
        <v/>
      </c>
      <c r="K491" s="4">
        <f>INDEX(products!$A$1:$G$49,MATCH(orders!$D491,products!$A$1:$A$49,0),MATCH(orders!K$1,products!$A$1:$G$1,0))</f>
        <v/>
      </c>
      <c r="L491" s="5">
        <f>INDEX(products!$A$1:$G$49,MATCH(orders!$D491,products!$A$1:$A$49,0),MATCH(orders!L$1,products!$A$1:$G$1,0))</f>
        <v/>
      </c>
      <c r="M491" s="5">
        <f>L491*E491</f>
        <v/>
      </c>
      <c r="N491">
        <f>IF(I491="Rob","Robusta",IF(I491="Exc","Excelsa",IF(I491="Ara","Arabica",IF(I491="Lib","Liberica",""))))</f>
        <v/>
      </c>
      <c r="O491">
        <f>IF(J491="M","Medium",IF(J491="L","Light",IF(J491="D","Dark","")))</f>
        <v/>
      </c>
      <c r="P491">
        <f>_xlfn.XLOOKUP(Orders[[#This Row],[Customer ID]],customers!$A$1:$A$1001,customers!$I$1:$I$1001,,0)</f>
        <v/>
      </c>
    </row>
    <row r="492">
      <c r="A492" s="2" t="inlineStr">
        <is>
          <t>O4676</t>
        </is>
      </c>
      <c r="B492" s="3" t="inlineStr">
        <is>
          <t>2021-07-02</t>
        </is>
      </c>
      <c r="C492" s="2" t="inlineStr">
        <is>
          <t>O8722</t>
        </is>
      </c>
      <c r="D492" t="inlineStr">
        <is>
          <t>O5304</t>
        </is>
      </c>
      <c r="E492" s="2" t="n">
        <v>234</v>
      </c>
      <c r="F492" s="2">
        <f>_xlfn.XLOOKUP(C492,customers!$A$1:$A$1001,customers!$B$1:$B$1001,,0)</f>
        <v/>
      </c>
      <c r="G492" s="2">
        <f>IF(_xlfn.XLOOKUP(C492,customers!$A$1:$A$1001,customers!$C$1:$C$1001,,0)=0,"",_xlfn.XLOOKUP(C492,customers!$A$1:$A$1001,customers!$C$1:$C$1001,,0))</f>
        <v/>
      </c>
      <c r="H492" s="2">
        <f>_xlfn.XLOOKUP(C492,customers!$A$1:$A$1001,customers!$G$1:$G$1001,,0)</f>
        <v/>
      </c>
      <c r="I492">
        <f>INDEX(products!$A$1:$G$49,MATCH(orders!$D492,products!$A$1:$A$49,0),MATCH(orders!I$1,products!$A$1:$G$1,0))</f>
        <v/>
      </c>
      <c r="J492">
        <f>INDEX(products!$A$1:$G$49,MATCH(orders!$D492,products!$A$1:$A$49,0),MATCH(orders!J$1,products!$A$1:$G$1,0))</f>
        <v/>
      </c>
      <c r="K492" s="4">
        <f>INDEX(products!$A$1:$G$49,MATCH(orders!$D492,products!$A$1:$A$49,0),MATCH(orders!K$1,products!$A$1:$G$1,0))</f>
        <v/>
      </c>
      <c r="L492" s="5">
        <f>INDEX(products!$A$1:$G$49,MATCH(orders!$D492,products!$A$1:$A$49,0),MATCH(orders!L$1,products!$A$1:$G$1,0))</f>
        <v/>
      </c>
      <c r="M492" s="5">
        <f>L492*E492</f>
        <v/>
      </c>
      <c r="N492">
        <f>IF(I492="Rob","Robusta",IF(I492="Exc","Excelsa",IF(I492="Ara","Arabica",IF(I492="Lib","Liberica",""))))</f>
        <v/>
      </c>
      <c r="O492">
        <f>IF(J492="M","Medium",IF(J492="L","Light",IF(J492="D","Dark","")))</f>
        <v/>
      </c>
      <c r="P492">
        <f>_xlfn.XLOOKUP(Orders[[#This Row],[Customer ID]],customers!$A$1:$A$1001,customers!$I$1:$I$1001,,0)</f>
        <v/>
      </c>
    </row>
    <row r="493">
      <c r="A493" s="2" t="inlineStr">
        <is>
          <t>O4163</t>
        </is>
      </c>
      <c r="B493" s="3" t="inlineStr">
        <is>
          <t>2024-12-04</t>
        </is>
      </c>
      <c r="C493" s="2" t="inlineStr">
        <is>
          <t>O3370</t>
        </is>
      </c>
      <c r="D493" t="inlineStr">
        <is>
          <t>O8235</t>
        </is>
      </c>
      <c r="E493" s="2" t="n">
        <v>214</v>
      </c>
      <c r="F493" s="2">
        <f>_xlfn.XLOOKUP(C493,customers!$A$1:$A$1001,customers!$B$1:$B$1001,,0)</f>
        <v/>
      </c>
      <c r="G493" s="2">
        <f>IF(_xlfn.XLOOKUP(C493,customers!$A$1:$A$1001,customers!$C$1:$C$1001,,0)=0,"",_xlfn.XLOOKUP(C493,customers!$A$1:$A$1001,customers!$C$1:$C$1001,,0))</f>
        <v/>
      </c>
      <c r="H493" s="2">
        <f>_xlfn.XLOOKUP(C493,customers!$A$1:$A$1001,customers!$G$1:$G$1001,,0)</f>
        <v/>
      </c>
      <c r="I493">
        <f>INDEX(products!$A$1:$G$49,MATCH(orders!$D493,products!$A$1:$A$49,0),MATCH(orders!I$1,products!$A$1:$G$1,0))</f>
        <v/>
      </c>
      <c r="J493">
        <f>INDEX(products!$A$1:$G$49,MATCH(orders!$D493,products!$A$1:$A$49,0),MATCH(orders!J$1,products!$A$1:$G$1,0))</f>
        <v/>
      </c>
      <c r="K493" s="4">
        <f>INDEX(products!$A$1:$G$49,MATCH(orders!$D493,products!$A$1:$A$49,0),MATCH(orders!K$1,products!$A$1:$G$1,0))</f>
        <v/>
      </c>
      <c r="L493" s="5">
        <f>INDEX(products!$A$1:$G$49,MATCH(orders!$D493,products!$A$1:$A$49,0),MATCH(orders!L$1,products!$A$1:$G$1,0))</f>
        <v/>
      </c>
      <c r="M493" s="5">
        <f>L493*E493</f>
        <v/>
      </c>
      <c r="N493">
        <f>IF(I493="Rob","Robusta",IF(I493="Exc","Excelsa",IF(I493="Ara","Arabica",IF(I493="Lib","Liberica",""))))</f>
        <v/>
      </c>
      <c r="O493">
        <f>IF(J493="M","Medium",IF(J493="L","Light",IF(J493="D","Dark","")))</f>
        <v/>
      </c>
      <c r="P493">
        <f>_xlfn.XLOOKUP(Orders[[#This Row],[Customer ID]],customers!$A$1:$A$1001,customers!$I$1:$I$1001,,0)</f>
        <v/>
      </c>
    </row>
    <row r="494">
      <c r="A494" s="2" t="inlineStr">
        <is>
          <t>O3064</t>
        </is>
      </c>
      <c r="B494" s="3" t="inlineStr">
        <is>
          <t>2021-04-14</t>
        </is>
      </c>
      <c r="C494" s="2" t="inlineStr">
        <is>
          <t>O4697</t>
        </is>
      </c>
      <c r="D494" t="inlineStr">
        <is>
          <t>O2167</t>
        </is>
      </c>
      <c r="E494" s="2" t="n">
        <v>130</v>
      </c>
      <c r="F494" s="2">
        <f>_xlfn.XLOOKUP(C494,customers!$A$1:$A$1001,customers!$B$1:$B$1001,,0)</f>
        <v/>
      </c>
      <c r="G494" s="2">
        <f>IF(_xlfn.XLOOKUP(C494,customers!$A$1:$A$1001,customers!$C$1:$C$1001,,0)=0,"",_xlfn.XLOOKUP(C494,customers!$A$1:$A$1001,customers!$C$1:$C$1001,,0))</f>
        <v/>
      </c>
      <c r="H494" s="2">
        <f>_xlfn.XLOOKUP(C494,customers!$A$1:$A$1001,customers!$G$1:$G$1001,,0)</f>
        <v/>
      </c>
      <c r="I494">
        <f>INDEX(products!$A$1:$G$49,MATCH(orders!$D494,products!$A$1:$A$49,0),MATCH(orders!I$1,products!$A$1:$G$1,0))</f>
        <v/>
      </c>
      <c r="J494">
        <f>INDEX(products!$A$1:$G$49,MATCH(orders!$D494,products!$A$1:$A$49,0),MATCH(orders!J$1,products!$A$1:$G$1,0))</f>
        <v/>
      </c>
      <c r="K494" s="4">
        <f>INDEX(products!$A$1:$G$49,MATCH(orders!$D494,products!$A$1:$A$49,0),MATCH(orders!K$1,products!$A$1:$G$1,0))</f>
        <v/>
      </c>
      <c r="L494" s="5">
        <f>INDEX(products!$A$1:$G$49,MATCH(orders!$D494,products!$A$1:$A$49,0),MATCH(orders!L$1,products!$A$1:$G$1,0))</f>
        <v/>
      </c>
      <c r="M494" s="5">
        <f>L494*E494</f>
        <v/>
      </c>
      <c r="N494">
        <f>IF(I494="Rob","Robusta",IF(I494="Exc","Excelsa",IF(I494="Ara","Arabica",IF(I494="Lib","Liberica",""))))</f>
        <v/>
      </c>
      <c r="O494">
        <f>IF(J494="M","Medium",IF(J494="L","Light",IF(J494="D","Dark","")))</f>
        <v/>
      </c>
      <c r="P494">
        <f>_xlfn.XLOOKUP(Orders[[#This Row],[Customer ID]],customers!$A$1:$A$1001,customers!$I$1:$I$1001,,0)</f>
        <v/>
      </c>
    </row>
    <row r="495">
      <c r="A495" s="2" t="inlineStr">
        <is>
          <t>O4118</t>
        </is>
      </c>
      <c r="B495" s="3" t="inlineStr">
        <is>
          <t>2025-03-20</t>
        </is>
      </c>
      <c r="C495" s="2" t="inlineStr">
        <is>
          <t>O5173</t>
        </is>
      </c>
      <c r="D495" t="inlineStr">
        <is>
          <t>O2383</t>
        </is>
      </c>
      <c r="E495" s="2" t="n">
        <v>375</v>
      </c>
      <c r="F495" s="2">
        <f>_xlfn.XLOOKUP(C495,customers!$A$1:$A$1001,customers!$B$1:$B$1001,,0)</f>
        <v/>
      </c>
      <c r="G495" s="2">
        <f>IF(_xlfn.XLOOKUP(C495,customers!$A$1:$A$1001,customers!$C$1:$C$1001,,0)=0,"",_xlfn.XLOOKUP(C495,customers!$A$1:$A$1001,customers!$C$1:$C$1001,,0))</f>
        <v/>
      </c>
      <c r="H495" s="2">
        <f>_xlfn.XLOOKUP(C495,customers!$A$1:$A$1001,customers!$G$1:$G$1001,,0)</f>
        <v/>
      </c>
      <c r="I495">
        <f>INDEX(products!$A$1:$G$49,MATCH(orders!$D495,products!$A$1:$A$49,0),MATCH(orders!I$1,products!$A$1:$G$1,0))</f>
        <v/>
      </c>
      <c r="J495">
        <f>INDEX(products!$A$1:$G$49,MATCH(orders!$D495,products!$A$1:$A$49,0),MATCH(orders!J$1,products!$A$1:$G$1,0))</f>
        <v/>
      </c>
      <c r="K495" s="4">
        <f>INDEX(products!$A$1:$G$49,MATCH(orders!$D495,products!$A$1:$A$49,0),MATCH(orders!K$1,products!$A$1:$G$1,0))</f>
        <v/>
      </c>
      <c r="L495" s="5">
        <f>INDEX(products!$A$1:$G$49,MATCH(orders!$D495,products!$A$1:$A$49,0),MATCH(orders!L$1,products!$A$1:$G$1,0))</f>
        <v/>
      </c>
      <c r="M495" s="5">
        <f>L495*E495</f>
        <v/>
      </c>
      <c r="N495">
        <f>IF(I495="Rob","Robusta",IF(I495="Exc","Excelsa",IF(I495="Ara","Arabica",IF(I495="Lib","Liberica",""))))</f>
        <v/>
      </c>
      <c r="O495">
        <f>IF(J495="M","Medium",IF(J495="L","Light",IF(J495="D","Dark","")))</f>
        <v/>
      </c>
      <c r="P495">
        <f>_xlfn.XLOOKUP(Orders[[#This Row],[Customer ID]],customers!$A$1:$A$1001,customers!$I$1:$I$1001,,0)</f>
        <v/>
      </c>
    </row>
    <row r="496">
      <c r="A496" s="2" t="inlineStr">
        <is>
          <t>O7215</t>
        </is>
      </c>
      <c r="B496" s="3" t="inlineStr">
        <is>
          <t>2021-03-01</t>
        </is>
      </c>
      <c r="C496" s="2" t="inlineStr">
        <is>
          <t>O4515</t>
        </is>
      </c>
      <c r="D496" t="inlineStr">
        <is>
          <t>O9020</t>
        </is>
      </c>
      <c r="E496" s="2" t="n">
        <v>161</v>
      </c>
      <c r="F496" s="2">
        <f>_xlfn.XLOOKUP(C496,customers!$A$1:$A$1001,customers!$B$1:$B$1001,,0)</f>
        <v/>
      </c>
      <c r="G496" s="2">
        <f>IF(_xlfn.XLOOKUP(C496,customers!$A$1:$A$1001,customers!$C$1:$C$1001,,0)=0,"",_xlfn.XLOOKUP(C496,customers!$A$1:$A$1001,customers!$C$1:$C$1001,,0))</f>
        <v/>
      </c>
      <c r="H496" s="2">
        <f>_xlfn.XLOOKUP(C496,customers!$A$1:$A$1001,customers!$G$1:$G$1001,,0)</f>
        <v/>
      </c>
      <c r="I496">
        <f>INDEX(products!$A$1:$G$49,MATCH(orders!$D496,products!$A$1:$A$49,0),MATCH(orders!I$1,products!$A$1:$G$1,0))</f>
        <v/>
      </c>
      <c r="J496">
        <f>INDEX(products!$A$1:$G$49,MATCH(orders!$D496,products!$A$1:$A$49,0),MATCH(orders!J$1,products!$A$1:$G$1,0))</f>
        <v/>
      </c>
      <c r="K496" s="4">
        <f>INDEX(products!$A$1:$G$49,MATCH(orders!$D496,products!$A$1:$A$49,0),MATCH(orders!K$1,products!$A$1:$G$1,0))</f>
        <v/>
      </c>
      <c r="L496" s="5">
        <f>INDEX(products!$A$1:$G$49,MATCH(orders!$D496,products!$A$1:$A$49,0),MATCH(orders!L$1,products!$A$1:$G$1,0))</f>
        <v/>
      </c>
      <c r="M496" s="5">
        <f>L496*E496</f>
        <v/>
      </c>
      <c r="N496">
        <f>IF(I496="Rob","Robusta",IF(I496="Exc","Excelsa",IF(I496="Ara","Arabica",IF(I496="Lib","Liberica",""))))</f>
        <v/>
      </c>
      <c r="O496">
        <f>IF(J496="M","Medium",IF(J496="L","Light",IF(J496="D","Dark","")))</f>
        <v/>
      </c>
      <c r="P496">
        <f>_xlfn.XLOOKUP(Orders[[#This Row],[Customer ID]],customers!$A$1:$A$1001,customers!$I$1:$I$1001,,0)</f>
        <v/>
      </c>
    </row>
    <row r="497">
      <c r="A497" s="2" t="inlineStr">
        <is>
          <t>O1501</t>
        </is>
      </c>
      <c r="B497" s="3" t="inlineStr">
        <is>
          <t>2021-08-10</t>
        </is>
      </c>
      <c r="C497" s="2" t="inlineStr">
        <is>
          <t>O6706</t>
        </is>
      </c>
      <c r="D497" t="inlineStr">
        <is>
          <t>O9809</t>
        </is>
      </c>
      <c r="E497" s="2" t="n">
        <v>381</v>
      </c>
      <c r="F497" s="2">
        <f>_xlfn.XLOOKUP(C497,customers!$A$1:$A$1001,customers!$B$1:$B$1001,,0)</f>
        <v/>
      </c>
      <c r="G497" s="2">
        <f>IF(_xlfn.XLOOKUP(C497,customers!$A$1:$A$1001,customers!$C$1:$C$1001,,0)=0,"",_xlfn.XLOOKUP(C497,customers!$A$1:$A$1001,customers!$C$1:$C$1001,,0))</f>
        <v/>
      </c>
      <c r="H497" s="2">
        <f>_xlfn.XLOOKUP(C497,customers!$A$1:$A$1001,customers!$G$1:$G$1001,,0)</f>
        <v/>
      </c>
      <c r="I497">
        <f>INDEX(products!$A$1:$G$49,MATCH(orders!$D497,products!$A$1:$A$49,0),MATCH(orders!I$1,products!$A$1:$G$1,0))</f>
        <v/>
      </c>
      <c r="J497">
        <f>INDEX(products!$A$1:$G$49,MATCH(orders!$D497,products!$A$1:$A$49,0),MATCH(orders!J$1,products!$A$1:$G$1,0))</f>
        <v/>
      </c>
      <c r="K497" s="4">
        <f>INDEX(products!$A$1:$G$49,MATCH(orders!$D497,products!$A$1:$A$49,0),MATCH(orders!K$1,products!$A$1:$G$1,0))</f>
        <v/>
      </c>
      <c r="L497" s="5">
        <f>INDEX(products!$A$1:$G$49,MATCH(orders!$D497,products!$A$1:$A$49,0),MATCH(orders!L$1,products!$A$1:$G$1,0))</f>
        <v/>
      </c>
      <c r="M497" s="5">
        <f>L497*E497</f>
        <v/>
      </c>
      <c r="N497">
        <f>IF(I497="Rob","Robusta",IF(I497="Exc","Excelsa",IF(I497="Ara","Arabica",IF(I497="Lib","Liberica",""))))</f>
        <v/>
      </c>
      <c r="O497">
        <f>IF(J497="M","Medium",IF(J497="L","Light",IF(J497="D","Dark","")))</f>
        <v/>
      </c>
      <c r="P497">
        <f>_xlfn.XLOOKUP(Orders[[#This Row],[Customer ID]],customers!$A$1:$A$1001,customers!$I$1:$I$1001,,0)</f>
        <v/>
      </c>
    </row>
    <row r="498">
      <c r="A498" s="2" t="inlineStr">
        <is>
          <t>O4559</t>
        </is>
      </c>
      <c r="B498" s="3" t="inlineStr">
        <is>
          <t>2024-07-28</t>
        </is>
      </c>
      <c r="C498" s="2" t="inlineStr">
        <is>
          <t>O9683</t>
        </is>
      </c>
      <c r="D498" t="inlineStr">
        <is>
          <t>O7986</t>
        </is>
      </c>
      <c r="E498" s="2" t="n">
        <v>30</v>
      </c>
      <c r="F498" s="2">
        <f>_xlfn.XLOOKUP(C498,customers!$A$1:$A$1001,customers!$B$1:$B$1001,,0)</f>
        <v/>
      </c>
      <c r="G498" s="2">
        <f>IF(_xlfn.XLOOKUP(C498,customers!$A$1:$A$1001,customers!$C$1:$C$1001,,0)=0,"",_xlfn.XLOOKUP(C498,customers!$A$1:$A$1001,customers!$C$1:$C$1001,,0))</f>
        <v/>
      </c>
      <c r="H498" s="2">
        <f>_xlfn.XLOOKUP(C498,customers!$A$1:$A$1001,customers!$G$1:$G$1001,,0)</f>
        <v/>
      </c>
      <c r="I498">
        <f>INDEX(products!$A$1:$G$49,MATCH(orders!$D498,products!$A$1:$A$49,0),MATCH(orders!I$1,products!$A$1:$G$1,0))</f>
        <v/>
      </c>
      <c r="J498">
        <f>INDEX(products!$A$1:$G$49,MATCH(orders!$D498,products!$A$1:$A$49,0),MATCH(orders!J$1,products!$A$1:$G$1,0))</f>
        <v/>
      </c>
      <c r="K498" s="4">
        <f>INDEX(products!$A$1:$G$49,MATCH(orders!$D498,products!$A$1:$A$49,0),MATCH(orders!K$1,products!$A$1:$G$1,0))</f>
        <v/>
      </c>
      <c r="L498" s="5">
        <f>INDEX(products!$A$1:$G$49,MATCH(orders!$D498,products!$A$1:$A$49,0),MATCH(orders!L$1,products!$A$1:$G$1,0))</f>
        <v/>
      </c>
      <c r="M498" s="5">
        <f>L498*E498</f>
        <v/>
      </c>
      <c r="N498">
        <f>IF(I498="Rob","Robusta",IF(I498="Exc","Excelsa",IF(I498="Ara","Arabica",IF(I498="Lib","Liberica",""))))</f>
        <v/>
      </c>
      <c r="O498">
        <f>IF(J498="M","Medium",IF(J498="L","Light",IF(J498="D","Dark","")))</f>
        <v/>
      </c>
      <c r="P498">
        <f>_xlfn.XLOOKUP(Orders[[#This Row],[Customer ID]],customers!$A$1:$A$1001,customers!$I$1:$I$1001,,0)</f>
        <v/>
      </c>
    </row>
    <row r="499">
      <c r="A499" s="2" t="inlineStr">
        <is>
          <t>O4650</t>
        </is>
      </c>
      <c r="B499" s="3" t="inlineStr">
        <is>
          <t>2022-01-26</t>
        </is>
      </c>
      <c r="C499" s="2" t="inlineStr">
        <is>
          <t>O6246</t>
        </is>
      </c>
      <c r="D499" t="inlineStr">
        <is>
          <t>O4380</t>
        </is>
      </c>
      <c r="E499" s="2" t="n">
        <v>357</v>
      </c>
      <c r="F499" s="2">
        <f>_xlfn.XLOOKUP(C499,customers!$A$1:$A$1001,customers!$B$1:$B$1001,,0)</f>
        <v/>
      </c>
      <c r="G499" s="2">
        <f>IF(_xlfn.XLOOKUP(C499,customers!$A$1:$A$1001,customers!$C$1:$C$1001,,0)=0,"",_xlfn.XLOOKUP(C499,customers!$A$1:$A$1001,customers!$C$1:$C$1001,,0))</f>
        <v/>
      </c>
      <c r="H499" s="2">
        <f>_xlfn.XLOOKUP(C499,customers!$A$1:$A$1001,customers!$G$1:$G$1001,,0)</f>
        <v/>
      </c>
      <c r="I499">
        <f>INDEX(products!$A$1:$G$49,MATCH(orders!$D499,products!$A$1:$A$49,0),MATCH(orders!I$1,products!$A$1:$G$1,0))</f>
        <v/>
      </c>
      <c r="J499">
        <f>INDEX(products!$A$1:$G$49,MATCH(orders!$D499,products!$A$1:$A$49,0),MATCH(orders!J$1,products!$A$1:$G$1,0))</f>
        <v/>
      </c>
      <c r="K499" s="4">
        <f>INDEX(products!$A$1:$G$49,MATCH(orders!$D499,products!$A$1:$A$49,0),MATCH(orders!K$1,products!$A$1:$G$1,0))</f>
        <v/>
      </c>
      <c r="L499" s="5">
        <f>INDEX(products!$A$1:$G$49,MATCH(orders!$D499,products!$A$1:$A$49,0),MATCH(orders!L$1,products!$A$1:$G$1,0))</f>
        <v/>
      </c>
      <c r="M499" s="5">
        <f>L499*E499</f>
        <v/>
      </c>
      <c r="N499">
        <f>IF(I499="Rob","Robusta",IF(I499="Exc","Excelsa",IF(I499="Ara","Arabica",IF(I499="Lib","Liberica",""))))</f>
        <v/>
      </c>
      <c r="O499">
        <f>IF(J499="M","Medium",IF(J499="L","Light",IF(J499="D","Dark","")))</f>
        <v/>
      </c>
      <c r="P499">
        <f>_xlfn.XLOOKUP(Orders[[#This Row],[Customer ID]],customers!$A$1:$A$1001,customers!$I$1:$I$1001,,0)</f>
        <v/>
      </c>
    </row>
    <row r="500">
      <c r="A500" s="2" t="inlineStr">
        <is>
          <t>O2489</t>
        </is>
      </c>
      <c r="B500" s="3" t="inlineStr">
        <is>
          <t>2022-04-04</t>
        </is>
      </c>
      <c r="C500" s="2" t="inlineStr">
        <is>
          <t>O1542</t>
        </is>
      </c>
      <c r="D500" t="inlineStr">
        <is>
          <t>O4245</t>
        </is>
      </c>
      <c r="E500" s="2" t="n">
        <v>464</v>
      </c>
      <c r="F500" s="2">
        <f>_xlfn.XLOOKUP(C500,customers!$A$1:$A$1001,customers!$B$1:$B$1001,,0)</f>
        <v/>
      </c>
      <c r="G500" s="2">
        <f>IF(_xlfn.XLOOKUP(C500,customers!$A$1:$A$1001,customers!$C$1:$C$1001,,0)=0,"",_xlfn.XLOOKUP(C500,customers!$A$1:$A$1001,customers!$C$1:$C$1001,,0))</f>
        <v/>
      </c>
      <c r="H500" s="2">
        <f>_xlfn.XLOOKUP(C500,customers!$A$1:$A$1001,customers!$G$1:$G$1001,,0)</f>
        <v/>
      </c>
      <c r="I500">
        <f>INDEX(products!$A$1:$G$49,MATCH(orders!$D500,products!$A$1:$A$49,0),MATCH(orders!I$1,products!$A$1:$G$1,0))</f>
        <v/>
      </c>
      <c r="J500">
        <f>INDEX(products!$A$1:$G$49,MATCH(orders!$D500,products!$A$1:$A$49,0),MATCH(orders!J$1,products!$A$1:$G$1,0))</f>
        <v/>
      </c>
      <c r="K500" s="4">
        <f>INDEX(products!$A$1:$G$49,MATCH(orders!$D500,products!$A$1:$A$49,0),MATCH(orders!K$1,products!$A$1:$G$1,0))</f>
        <v/>
      </c>
      <c r="L500" s="5">
        <f>INDEX(products!$A$1:$G$49,MATCH(orders!$D500,products!$A$1:$A$49,0),MATCH(orders!L$1,products!$A$1:$G$1,0))</f>
        <v/>
      </c>
      <c r="M500" s="5">
        <f>L500*E500</f>
        <v/>
      </c>
      <c r="N500">
        <f>IF(I500="Rob","Robusta",IF(I500="Exc","Excelsa",IF(I500="Ara","Arabica",IF(I500="Lib","Liberica",""))))</f>
        <v/>
      </c>
      <c r="O500">
        <f>IF(J500="M","Medium",IF(J500="L","Light",IF(J500="D","Dark","")))</f>
        <v/>
      </c>
      <c r="P500">
        <f>_xlfn.XLOOKUP(Orders[[#This Row],[Customer ID]],customers!$A$1:$A$1001,customers!$I$1:$I$1001,,0)</f>
        <v/>
      </c>
    </row>
    <row r="501">
      <c r="A501" s="2" t="inlineStr">
        <is>
          <t>O3600</t>
        </is>
      </c>
      <c r="B501" s="3" t="inlineStr">
        <is>
          <t>2020-08-07</t>
        </is>
      </c>
      <c r="C501" s="2" t="inlineStr">
        <is>
          <t>O7634</t>
        </is>
      </c>
      <c r="D501" t="inlineStr">
        <is>
          <t>O4252</t>
        </is>
      </c>
      <c r="E501" s="2" t="n">
        <v>53</v>
      </c>
      <c r="F501" s="2">
        <f>_xlfn.XLOOKUP(C501,customers!$A$1:$A$1001,customers!$B$1:$B$1001,,0)</f>
        <v/>
      </c>
      <c r="G501" s="2">
        <f>IF(_xlfn.XLOOKUP(C501,customers!$A$1:$A$1001,customers!$C$1:$C$1001,,0)=0,"",_xlfn.XLOOKUP(C501,customers!$A$1:$A$1001,customers!$C$1:$C$1001,,0))</f>
        <v/>
      </c>
      <c r="H501" s="2">
        <f>_xlfn.XLOOKUP(C501,customers!$A$1:$A$1001,customers!$G$1:$G$1001,,0)</f>
        <v/>
      </c>
      <c r="I501">
        <f>INDEX(products!$A$1:$G$49,MATCH(orders!$D501,products!$A$1:$A$49,0),MATCH(orders!I$1,products!$A$1:$G$1,0))</f>
        <v/>
      </c>
      <c r="J501">
        <f>INDEX(products!$A$1:$G$49,MATCH(orders!$D501,products!$A$1:$A$49,0),MATCH(orders!J$1,products!$A$1:$G$1,0))</f>
        <v/>
      </c>
      <c r="K501" s="4">
        <f>INDEX(products!$A$1:$G$49,MATCH(orders!$D501,products!$A$1:$A$49,0),MATCH(orders!K$1,products!$A$1:$G$1,0))</f>
        <v/>
      </c>
      <c r="L501" s="5">
        <f>INDEX(products!$A$1:$G$49,MATCH(orders!$D501,products!$A$1:$A$49,0),MATCH(orders!L$1,products!$A$1:$G$1,0))</f>
        <v/>
      </c>
      <c r="M501" s="5">
        <f>L501*E501</f>
        <v/>
      </c>
      <c r="N501">
        <f>IF(I501="Rob","Robusta",IF(I501="Exc","Excelsa",IF(I501="Ara","Arabica",IF(I501="Lib","Liberica",""))))</f>
        <v/>
      </c>
      <c r="O501">
        <f>IF(J501="M","Medium",IF(J501="L","Light",IF(J501="D","Dark","")))</f>
        <v/>
      </c>
      <c r="P501">
        <f>_xlfn.XLOOKUP(Orders[[#This Row],[Customer ID]],customers!$A$1:$A$1001,customers!$I$1:$I$1001,,0)</f>
        <v/>
      </c>
    </row>
    <row r="502">
      <c r="A502" s="2" t="inlineStr">
        <is>
          <t>O8431</t>
        </is>
      </c>
      <c r="B502" s="3" t="inlineStr">
        <is>
          <t>2025-02-11</t>
        </is>
      </c>
      <c r="C502" s="2" t="inlineStr">
        <is>
          <t>O4896</t>
        </is>
      </c>
      <c r="D502" t="inlineStr">
        <is>
          <t>O2945</t>
        </is>
      </c>
      <c r="E502" s="2" t="n">
        <v>5</v>
      </c>
      <c r="F502" s="2">
        <f>_xlfn.XLOOKUP(C502,customers!$A$1:$A$1001,customers!$B$1:$B$1001,,0)</f>
        <v/>
      </c>
      <c r="G502" s="2">
        <f>IF(_xlfn.XLOOKUP(C502,customers!$A$1:$A$1001,customers!$C$1:$C$1001,,0)=0,"",_xlfn.XLOOKUP(C502,customers!$A$1:$A$1001,customers!$C$1:$C$1001,,0))</f>
        <v/>
      </c>
      <c r="H502" s="2">
        <f>_xlfn.XLOOKUP(C502,customers!$A$1:$A$1001,customers!$G$1:$G$1001,,0)</f>
        <v/>
      </c>
      <c r="I502">
        <f>INDEX(products!$A$1:$G$49,MATCH(orders!$D502,products!$A$1:$A$49,0),MATCH(orders!I$1,products!$A$1:$G$1,0))</f>
        <v/>
      </c>
      <c r="J502">
        <f>INDEX(products!$A$1:$G$49,MATCH(orders!$D502,products!$A$1:$A$49,0),MATCH(orders!J$1,products!$A$1:$G$1,0))</f>
        <v/>
      </c>
      <c r="K502" s="4">
        <f>INDEX(products!$A$1:$G$49,MATCH(orders!$D502,products!$A$1:$A$49,0),MATCH(orders!K$1,products!$A$1:$G$1,0))</f>
        <v/>
      </c>
      <c r="L502" s="5">
        <f>INDEX(products!$A$1:$G$49,MATCH(orders!$D502,products!$A$1:$A$49,0),MATCH(orders!L$1,products!$A$1:$G$1,0))</f>
        <v/>
      </c>
      <c r="M502" s="5">
        <f>L502*E502</f>
        <v/>
      </c>
      <c r="N502">
        <f>IF(I502="Rob","Robusta",IF(I502="Exc","Excelsa",IF(I502="Ara","Arabica",IF(I502="Lib","Liberica",""))))</f>
        <v/>
      </c>
      <c r="O502">
        <f>IF(J502="M","Medium",IF(J502="L","Light",IF(J502="D","Dark","")))</f>
        <v/>
      </c>
      <c r="P502">
        <f>_xlfn.XLOOKUP(Orders[[#This Row],[Customer ID]],customers!$A$1:$A$1001,customers!$I$1:$I$1001,,0)</f>
        <v/>
      </c>
    </row>
    <row r="503">
      <c r="A503" s="2" t="inlineStr">
        <is>
          <t>O9414</t>
        </is>
      </c>
      <c r="B503" s="3" t="inlineStr">
        <is>
          <t>2024-05-02</t>
        </is>
      </c>
      <c r="C503" s="2" t="inlineStr">
        <is>
          <t>O1713</t>
        </is>
      </c>
      <c r="D503" t="inlineStr">
        <is>
          <t>O2896</t>
        </is>
      </c>
      <c r="E503" s="2" t="n">
        <v>468</v>
      </c>
      <c r="F503" s="2">
        <f>_xlfn.XLOOKUP(C503,customers!$A$1:$A$1001,customers!$B$1:$B$1001,,0)</f>
        <v/>
      </c>
      <c r="G503" s="2">
        <f>IF(_xlfn.XLOOKUP(C503,customers!$A$1:$A$1001,customers!$C$1:$C$1001,,0)=0,"",_xlfn.XLOOKUP(C503,customers!$A$1:$A$1001,customers!$C$1:$C$1001,,0))</f>
        <v/>
      </c>
      <c r="H503" s="2">
        <f>_xlfn.XLOOKUP(C503,customers!$A$1:$A$1001,customers!$G$1:$G$1001,,0)</f>
        <v/>
      </c>
      <c r="I503">
        <f>INDEX(products!$A$1:$G$49,MATCH(orders!$D503,products!$A$1:$A$49,0),MATCH(orders!I$1,products!$A$1:$G$1,0))</f>
        <v/>
      </c>
      <c r="J503">
        <f>INDEX(products!$A$1:$G$49,MATCH(orders!$D503,products!$A$1:$A$49,0),MATCH(orders!J$1,products!$A$1:$G$1,0))</f>
        <v/>
      </c>
      <c r="K503" s="4">
        <f>INDEX(products!$A$1:$G$49,MATCH(orders!$D503,products!$A$1:$A$49,0),MATCH(orders!K$1,products!$A$1:$G$1,0))</f>
        <v/>
      </c>
      <c r="L503" s="5">
        <f>INDEX(products!$A$1:$G$49,MATCH(orders!$D503,products!$A$1:$A$49,0),MATCH(orders!L$1,products!$A$1:$G$1,0))</f>
        <v/>
      </c>
      <c r="M503" s="5">
        <f>L503*E503</f>
        <v/>
      </c>
      <c r="N503">
        <f>IF(I503="Rob","Robusta",IF(I503="Exc","Excelsa",IF(I503="Ara","Arabica",IF(I503="Lib","Liberica",""))))</f>
        <v/>
      </c>
      <c r="O503">
        <f>IF(J503="M","Medium",IF(J503="L","Light",IF(J503="D","Dark","")))</f>
        <v/>
      </c>
      <c r="P503">
        <f>_xlfn.XLOOKUP(Orders[[#This Row],[Customer ID]],customers!$A$1:$A$1001,customers!$I$1:$I$1001,,0)</f>
        <v/>
      </c>
    </row>
    <row r="504">
      <c r="A504" s="2" t="inlineStr">
        <is>
          <t>O7122</t>
        </is>
      </c>
      <c r="B504" s="3" t="inlineStr">
        <is>
          <t>2023-01-06</t>
        </is>
      </c>
      <c r="C504" s="2" t="inlineStr">
        <is>
          <t>O5012</t>
        </is>
      </c>
      <c r="D504" t="inlineStr">
        <is>
          <t>O8319</t>
        </is>
      </c>
      <c r="E504" s="2" t="n">
        <v>261</v>
      </c>
      <c r="F504" s="2">
        <f>_xlfn.XLOOKUP(C504,customers!$A$1:$A$1001,customers!$B$1:$B$1001,,0)</f>
        <v/>
      </c>
      <c r="G504" s="2">
        <f>IF(_xlfn.XLOOKUP(C504,customers!$A$1:$A$1001,customers!$C$1:$C$1001,,0)=0,"",_xlfn.XLOOKUP(C504,customers!$A$1:$A$1001,customers!$C$1:$C$1001,,0))</f>
        <v/>
      </c>
      <c r="H504" s="2">
        <f>_xlfn.XLOOKUP(C504,customers!$A$1:$A$1001,customers!$G$1:$G$1001,,0)</f>
        <v/>
      </c>
      <c r="I504">
        <f>INDEX(products!$A$1:$G$49,MATCH(orders!$D504,products!$A$1:$A$49,0),MATCH(orders!I$1,products!$A$1:$G$1,0))</f>
        <v/>
      </c>
      <c r="J504">
        <f>INDEX(products!$A$1:$G$49,MATCH(orders!$D504,products!$A$1:$A$49,0),MATCH(orders!J$1,products!$A$1:$G$1,0))</f>
        <v/>
      </c>
      <c r="K504" s="4">
        <f>INDEX(products!$A$1:$G$49,MATCH(orders!$D504,products!$A$1:$A$49,0),MATCH(orders!K$1,products!$A$1:$G$1,0))</f>
        <v/>
      </c>
      <c r="L504" s="5">
        <f>INDEX(products!$A$1:$G$49,MATCH(orders!$D504,products!$A$1:$A$49,0),MATCH(orders!L$1,products!$A$1:$G$1,0))</f>
        <v/>
      </c>
      <c r="M504" s="5">
        <f>L504*E504</f>
        <v/>
      </c>
      <c r="N504">
        <f>IF(I504="Rob","Robusta",IF(I504="Exc","Excelsa",IF(I504="Ara","Arabica",IF(I504="Lib","Liberica",""))))</f>
        <v/>
      </c>
      <c r="O504">
        <f>IF(J504="M","Medium",IF(J504="L","Light",IF(J504="D","Dark","")))</f>
        <v/>
      </c>
      <c r="P504">
        <f>_xlfn.XLOOKUP(Orders[[#This Row],[Customer ID]],customers!$A$1:$A$1001,customers!$I$1:$I$1001,,0)</f>
        <v/>
      </c>
    </row>
    <row r="505">
      <c r="A505" s="2" t="inlineStr">
        <is>
          <t>O9504</t>
        </is>
      </c>
      <c r="B505" s="3" t="inlineStr">
        <is>
          <t>2025-05-12</t>
        </is>
      </c>
      <c r="C505" s="2" t="inlineStr">
        <is>
          <t>O7637</t>
        </is>
      </c>
      <c r="D505" t="inlineStr">
        <is>
          <t>O9011</t>
        </is>
      </c>
      <c r="E505" s="2" t="n">
        <v>374</v>
      </c>
      <c r="F505" s="2">
        <f>_xlfn.XLOOKUP(C505,customers!$A$1:$A$1001,customers!$B$1:$B$1001,,0)</f>
        <v/>
      </c>
      <c r="G505" s="2">
        <f>IF(_xlfn.XLOOKUP(C505,customers!$A$1:$A$1001,customers!$C$1:$C$1001,,0)=0,"",_xlfn.XLOOKUP(C505,customers!$A$1:$A$1001,customers!$C$1:$C$1001,,0))</f>
        <v/>
      </c>
      <c r="H505" s="2">
        <f>_xlfn.XLOOKUP(C505,customers!$A$1:$A$1001,customers!$G$1:$G$1001,,0)</f>
        <v/>
      </c>
      <c r="I505">
        <f>INDEX(products!$A$1:$G$49,MATCH(orders!$D505,products!$A$1:$A$49,0),MATCH(orders!I$1,products!$A$1:$G$1,0))</f>
        <v/>
      </c>
      <c r="J505">
        <f>INDEX(products!$A$1:$G$49,MATCH(orders!$D505,products!$A$1:$A$49,0),MATCH(orders!J$1,products!$A$1:$G$1,0))</f>
        <v/>
      </c>
      <c r="K505" s="4">
        <f>INDEX(products!$A$1:$G$49,MATCH(orders!$D505,products!$A$1:$A$49,0),MATCH(orders!K$1,products!$A$1:$G$1,0))</f>
        <v/>
      </c>
      <c r="L505" s="5">
        <f>INDEX(products!$A$1:$G$49,MATCH(orders!$D505,products!$A$1:$A$49,0),MATCH(orders!L$1,products!$A$1:$G$1,0))</f>
        <v/>
      </c>
      <c r="M505" s="5">
        <f>L505*E505</f>
        <v/>
      </c>
      <c r="N505">
        <f>IF(I505="Rob","Robusta",IF(I505="Exc","Excelsa",IF(I505="Ara","Arabica",IF(I505="Lib","Liberica",""))))</f>
        <v/>
      </c>
      <c r="O505">
        <f>IF(J505="M","Medium",IF(J505="L","Light",IF(J505="D","Dark","")))</f>
        <v/>
      </c>
      <c r="P505">
        <f>_xlfn.XLOOKUP(Orders[[#This Row],[Customer ID]],customers!$A$1:$A$1001,customers!$I$1:$I$1001,,0)</f>
        <v/>
      </c>
    </row>
    <row r="506">
      <c r="A506" s="2" t="inlineStr">
        <is>
          <t>O2069</t>
        </is>
      </c>
      <c r="B506" s="3" t="inlineStr">
        <is>
          <t>2021-07-29</t>
        </is>
      </c>
      <c r="C506" s="2" t="inlineStr">
        <is>
          <t>O7518</t>
        </is>
      </c>
      <c r="D506" t="inlineStr">
        <is>
          <t>O4080</t>
        </is>
      </c>
      <c r="E506" s="2" t="n">
        <v>304</v>
      </c>
      <c r="F506" s="2">
        <f>_xlfn.XLOOKUP(C506,customers!$A$1:$A$1001,customers!$B$1:$B$1001,,0)</f>
        <v/>
      </c>
      <c r="G506" s="2">
        <f>IF(_xlfn.XLOOKUP(C506,customers!$A$1:$A$1001,customers!$C$1:$C$1001,,0)=0,"",_xlfn.XLOOKUP(C506,customers!$A$1:$A$1001,customers!$C$1:$C$1001,,0))</f>
        <v/>
      </c>
      <c r="H506" s="2">
        <f>_xlfn.XLOOKUP(C506,customers!$A$1:$A$1001,customers!$G$1:$G$1001,,0)</f>
        <v/>
      </c>
      <c r="I506">
        <f>INDEX(products!$A$1:$G$49,MATCH(orders!$D506,products!$A$1:$A$49,0),MATCH(orders!I$1,products!$A$1:$G$1,0))</f>
        <v/>
      </c>
      <c r="J506">
        <f>INDEX(products!$A$1:$G$49,MATCH(orders!$D506,products!$A$1:$A$49,0),MATCH(orders!J$1,products!$A$1:$G$1,0))</f>
        <v/>
      </c>
      <c r="K506" s="4">
        <f>INDEX(products!$A$1:$G$49,MATCH(orders!$D506,products!$A$1:$A$49,0),MATCH(orders!K$1,products!$A$1:$G$1,0))</f>
        <v/>
      </c>
      <c r="L506" s="5">
        <f>INDEX(products!$A$1:$G$49,MATCH(orders!$D506,products!$A$1:$A$49,0),MATCH(orders!L$1,products!$A$1:$G$1,0))</f>
        <v/>
      </c>
      <c r="M506" s="5">
        <f>L506*E506</f>
        <v/>
      </c>
      <c r="N506">
        <f>IF(I506="Rob","Robusta",IF(I506="Exc","Excelsa",IF(I506="Ara","Arabica",IF(I506="Lib","Liberica",""))))</f>
        <v/>
      </c>
      <c r="O506">
        <f>IF(J506="M","Medium",IF(J506="L","Light",IF(J506="D","Dark","")))</f>
        <v/>
      </c>
      <c r="P506">
        <f>_xlfn.XLOOKUP(Orders[[#This Row],[Customer ID]],customers!$A$1:$A$1001,customers!$I$1:$I$1001,,0)</f>
        <v/>
      </c>
    </row>
    <row r="507">
      <c r="A507" s="2" t="inlineStr">
        <is>
          <t>O6647</t>
        </is>
      </c>
      <c r="B507" s="3" t="inlineStr">
        <is>
          <t>2020-08-03</t>
        </is>
      </c>
      <c r="C507" s="2" t="inlineStr">
        <is>
          <t>O4513</t>
        </is>
      </c>
      <c r="D507" t="inlineStr">
        <is>
          <t>O7964</t>
        </is>
      </c>
      <c r="E507" s="2" t="n">
        <v>455</v>
      </c>
      <c r="F507" s="2">
        <f>_xlfn.XLOOKUP(C507,customers!$A$1:$A$1001,customers!$B$1:$B$1001,,0)</f>
        <v/>
      </c>
      <c r="G507" s="2">
        <f>IF(_xlfn.XLOOKUP(C507,customers!$A$1:$A$1001,customers!$C$1:$C$1001,,0)=0,"",_xlfn.XLOOKUP(C507,customers!$A$1:$A$1001,customers!$C$1:$C$1001,,0))</f>
        <v/>
      </c>
      <c r="H507" s="2">
        <f>_xlfn.XLOOKUP(C507,customers!$A$1:$A$1001,customers!$G$1:$G$1001,,0)</f>
        <v/>
      </c>
      <c r="I507">
        <f>INDEX(products!$A$1:$G$49,MATCH(orders!$D507,products!$A$1:$A$49,0),MATCH(orders!I$1,products!$A$1:$G$1,0))</f>
        <v/>
      </c>
      <c r="J507">
        <f>INDEX(products!$A$1:$G$49,MATCH(orders!$D507,products!$A$1:$A$49,0),MATCH(orders!J$1,products!$A$1:$G$1,0))</f>
        <v/>
      </c>
      <c r="K507" s="4">
        <f>INDEX(products!$A$1:$G$49,MATCH(orders!$D507,products!$A$1:$A$49,0),MATCH(orders!K$1,products!$A$1:$G$1,0))</f>
        <v/>
      </c>
      <c r="L507" s="5">
        <f>INDEX(products!$A$1:$G$49,MATCH(orders!$D507,products!$A$1:$A$49,0),MATCH(orders!L$1,products!$A$1:$G$1,0))</f>
        <v/>
      </c>
      <c r="M507" s="5">
        <f>L507*E507</f>
        <v/>
      </c>
      <c r="N507">
        <f>IF(I507="Rob","Robusta",IF(I507="Exc","Excelsa",IF(I507="Ara","Arabica",IF(I507="Lib","Liberica",""))))</f>
        <v/>
      </c>
      <c r="O507">
        <f>IF(J507="M","Medium",IF(J507="L","Light",IF(J507="D","Dark","")))</f>
        <v/>
      </c>
      <c r="P507">
        <f>_xlfn.XLOOKUP(Orders[[#This Row],[Customer ID]],customers!$A$1:$A$1001,customers!$I$1:$I$1001,,0)</f>
        <v/>
      </c>
    </row>
    <row r="508">
      <c r="A508" s="2" t="inlineStr">
        <is>
          <t>O5553</t>
        </is>
      </c>
      <c r="B508" s="3" t="inlineStr">
        <is>
          <t>2022-05-16</t>
        </is>
      </c>
      <c r="C508" s="2" t="inlineStr">
        <is>
          <t>O5974</t>
        </is>
      </c>
      <c r="D508" t="inlineStr">
        <is>
          <t>O9677</t>
        </is>
      </c>
      <c r="E508" s="2" t="n">
        <v>273</v>
      </c>
      <c r="F508" s="2">
        <f>_xlfn.XLOOKUP(C508,customers!$A$1:$A$1001,customers!$B$1:$B$1001,,0)</f>
        <v/>
      </c>
      <c r="G508" s="2">
        <f>IF(_xlfn.XLOOKUP(C508,customers!$A$1:$A$1001,customers!$C$1:$C$1001,,0)=0,"",_xlfn.XLOOKUP(C508,customers!$A$1:$A$1001,customers!$C$1:$C$1001,,0))</f>
        <v/>
      </c>
      <c r="H508" s="2">
        <f>_xlfn.XLOOKUP(C508,customers!$A$1:$A$1001,customers!$G$1:$G$1001,,0)</f>
        <v/>
      </c>
      <c r="I508">
        <f>INDEX(products!$A$1:$G$49,MATCH(orders!$D508,products!$A$1:$A$49,0),MATCH(orders!I$1,products!$A$1:$G$1,0))</f>
        <v/>
      </c>
      <c r="J508">
        <f>INDEX(products!$A$1:$G$49,MATCH(orders!$D508,products!$A$1:$A$49,0),MATCH(orders!J$1,products!$A$1:$G$1,0))</f>
        <v/>
      </c>
      <c r="K508" s="4">
        <f>INDEX(products!$A$1:$G$49,MATCH(orders!$D508,products!$A$1:$A$49,0),MATCH(orders!K$1,products!$A$1:$G$1,0))</f>
        <v/>
      </c>
      <c r="L508" s="5">
        <f>INDEX(products!$A$1:$G$49,MATCH(orders!$D508,products!$A$1:$A$49,0),MATCH(orders!L$1,products!$A$1:$G$1,0))</f>
        <v/>
      </c>
      <c r="M508" s="5">
        <f>L508*E508</f>
        <v/>
      </c>
      <c r="N508">
        <f>IF(I508="Rob","Robusta",IF(I508="Exc","Excelsa",IF(I508="Ara","Arabica",IF(I508="Lib","Liberica",""))))</f>
        <v/>
      </c>
      <c r="O508">
        <f>IF(J508="M","Medium",IF(J508="L","Light",IF(J508="D","Dark","")))</f>
        <v/>
      </c>
      <c r="P508">
        <f>_xlfn.XLOOKUP(Orders[[#This Row],[Customer ID]],customers!$A$1:$A$1001,customers!$I$1:$I$1001,,0)</f>
        <v/>
      </c>
    </row>
    <row r="509">
      <c r="A509" s="2" t="inlineStr">
        <is>
          <t>O5807</t>
        </is>
      </c>
      <c r="B509" s="3" t="inlineStr">
        <is>
          <t>2021-01-01</t>
        </is>
      </c>
      <c r="C509" s="2" t="inlineStr">
        <is>
          <t>O5841</t>
        </is>
      </c>
      <c r="D509" t="inlineStr">
        <is>
          <t>O6306</t>
        </is>
      </c>
      <c r="E509" s="2" t="n">
        <v>458</v>
      </c>
      <c r="F509" s="2">
        <f>_xlfn.XLOOKUP(C509,customers!$A$1:$A$1001,customers!$B$1:$B$1001,,0)</f>
        <v/>
      </c>
      <c r="G509" s="2">
        <f>IF(_xlfn.XLOOKUP(C509,customers!$A$1:$A$1001,customers!$C$1:$C$1001,,0)=0,"",_xlfn.XLOOKUP(C509,customers!$A$1:$A$1001,customers!$C$1:$C$1001,,0))</f>
        <v/>
      </c>
      <c r="H509" s="2">
        <f>_xlfn.XLOOKUP(C509,customers!$A$1:$A$1001,customers!$G$1:$G$1001,,0)</f>
        <v/>
      </c>
      <c r="I509">
        <f>INDEX(products!$A$1:$G$49,MATCH(orders!$D509,products!$A$1:$A$49,0),MATCH(orders!I$1,products!$A$1:$G$1,0))</f>
        <v/>
      </c>
      <c r="J509">
        <f>INDEX(products!$A$1:$G$49,MATCH(orders!$D509,products!$A$1:$A$49,0),MATCH(orders!J$1,products!$A$1:$G$1,0))</f>
        <v/>
      </c>
      <c r="K509" s="4">
        <f>INDEX(products!$A$1:$G$49,MATCH(orders!$D509,products!$A$1:$A$49,0),MATCH(orders!K$1,products!$A$1:$G$1,0))</f>
        <v/>
      </c>
      <c r="L509" s="5">
        <f>INDEX(products!$A$1:$G$49,MATCH(orders!$D509,products!$A$1:$A$49,0),MATCH(orders!L$1,products!$A$1:$G$1,0))</f>
        <v/>
      </c>
      <c r="M509" s="5">
        <f>L509*E509</f>
        <v/>
      </c>
      <c r="N509">
        <f>IF(I509="Rob","Robusta",IF(I509="Exc","Excelsa",IF(I509="Ara","Arabica",IF(I509="Lib","Liberica",""))))</f>
        <v/>
      </c>
      <c r="O509">
        <f>IF(J509="M","Medium",IF(J509="L","Light",IF(J509="D","Dark","")))</f>
        <v/>
      </c>
      <c r="P509">
        <f>_xlfn.XLOOKUP(Orders[[#This Row],[Customer ID]],customers!$A$1:$A$1001,customers!$I$1:$I$1001,,0)</f>
        <v/>
      </c>
    </row>
    <row r="510">
      <c r="A510" s="2" t="inlineStr">
        <is>
          <t>O1124</t>
        </is>
      </c>
      <c r="B510" s="3" t="inlineStr">
        <is>
          <t>2022-12-18</t>
        </is>
      </c>
      <c r="C510" s="2" t="inlineStr">
        <is>
          <t>O5642</t>
        </is>
      </c>
      <c r="D510" t="inlineStr">
        <is>
          <t>O9231</t>
        </is>
      </c>
      <c r="E510" s="2" t="n">
        <v>165</v>
      </c>
      <c r="F510" s="2">
        <f>_xlfn.XLOOKUP(C510,customers!$A$1:$A$1001,customers!$B$1:$B$1001,,0)</f>
        <v/>
      </c>
      <c r="G510" s="2">
        <f>IF(_xlfn.XLOOKUP(C510,customers!$A$1:$A$1001,customers!$C$1:$C$1001,,0)=0,"",_xlfn.XLOOKUP(C510,customers!$A$1:$A$1001,customers!$C$1:$C$1001,,0))</f>
        <v/>
      </c>
      <c r="H510" s="2">
        <f>_xlfn.XLOOKUP(C510,customers!$A$1:$A$1001,customers!$G$1:$G$1001,,0)</f>
        <v/>
      </c>
      <c r="I510">
        <f>INDEX(products!$A$1:$G$49,MATCH(orders!$D510,products!$A$1:$A$49,0),MATCH(orders!I$1,products!$A$1:$G$1,0))</f>
        <v/>
      </c>
      <c r="J510">
        <f>INDEX(products!$A$1:$G$49,MATCH(orders!$D510,products!$A$1:$A$49,0),MATCH(orders!J$1,products!$A$1:$G$1,0))</f>
        <v/>
      </c>
      <c r="K510" s="4">
        <f>INDEX(products!$A$1:$G$49,MATCH(orders!$D510,products!$A$1:$A$49,0),MATCH(orders!K$1,products!$A$1:$G$1,0))</f>
        <v/>
      </c>
      <c r="L510" s="5">
        <f>INDEX(products!$A$1:$G$49,MATCH(orders!$D510,products!$A$1:$A$49,0),MATCH(orders!L$1,products!$A$1:$G$1,0))</f>
        <v/>
      </c>
      <c r="M510" s="5">
        <f>L510*E510</f>
        <v/>
      </c>
      <c r="N510">
        <f>IF(I510="Rob","Robusta",IF(I510="Exc","Excelsa",IF(I510="Ara","Arabica",IF(I510="Lib","Liberica",""))))</f>
        <v/>
      </c>
      <c r="O510">
        <f>IF(J510="M","Medium",IF(J510="L","Light",IF(J510="D","Dark","")))</f>
        <v/>
      </c>
      <c r="P510">
        <f>_xlfn.XLOOKUP(Orders[[#This Row],[Customer ID]],customers!$A$1:$A$1001,customers!$I$1:$I$1001,,0)</f>
        <v/>
      </c>
    </row>
    <row r="511">
      <c r="A511" s="2" t="inlineStr">
        <is>
          <t>O3583</t>
        </is>
      </c>
      <c r="B511" s="3" t="inlineStr">
        <is>
          <t>2022-09-20</t>
        </is>
      </c>
      <c r="C511" s="2" t="inlineStr">
        <is>
          <t>O9349</t>
        </is>
      </c>
      <c r="D511" t="inlineStr">
        <is>
          <t>O9215</t>
        </is>
      </c>
      <c r="E511" s="2" t="n">
        <v>274</v>
      </c>
      <c r="F511" s="2">
        <f>_xlfn.XLOOKUP(C511,customers!$A$1:$A$1001,customers!$B$1:$B$1001,,0)</f>
        <v/>
      </c>
      <c r="G511" s="2">
        <f>IF(_xlfn.XLOOKUP(C511,customers!$A$1:$A$1001,customers!$C$1:$C$1001,,0)=0,"",_xlfn.XLOOKUP(C511,customers!$A$1:$A$1001,customers!$C$1:$C$1001,,0))</f>
        <v/>
      </c>
      <c r="H511" s="2">
        <f>_xlfn.XLOOKUP(C511,customers!$A$1:$A$1001,customers!$G$1:$G$1001,,0)</f>
        <v/>
      </c>
      <c r="I511">
        <f>INDEX(products!$A$1:$G$49,MATCH(orders!$D511,products!$A$1:$A$49,0),MATCH(orders!I$1,products!$A$1:$G$1,0))</f>
        <v/>
      </c>
      <c r="J511">
        <f>INDEX(products!$A$1:$G$49,MATCH(orders!$D511,products!$A$1:$A$49,0),MATCH(orders!J$1,products!$A$1:$G$1,0))</f>
        <v/>
      </c>
      <c r="K511" s="4">
        <f>INDEX(products!$A$1:$G$49,MATCH(orders!$D511,products!$A$1:$A$49,0),MATCH(orders!K$1,products!$A$1:$G$1,0))</f>
        <v/>
      </c>
      <c r="L511" s="5">
        <f>INDEX(products!$A$1:$G$49,MATCH(orders!$D511,products!$A$1:$A$49,0),MATCH(orders!L$1,products!$A$1:$G$1,0))</f>
        <v/>
      </c>
      <c r="M511" s="5">
        <f>L511*E511</f>
        <v/>
      </c>
      <c r="N511">
        <f>IF(I511="Rob","Robusta",IF(I511="Exc","Excelsa",IF(I511="Ara","Arabica",IF(I511="Lib","Liberica",""))))</f>
        <v/>
      </c>
      <c r="O511">
        <f>IF(J511="M","Medium",IF(J511="L","Light",IF(J511="D","Dark","")))</f>
        <v/>
      </c>
      <c r="P511">
        <f>_xlfn.XLOOKUP(Orders[[#This Row],[Customer ID]],customers!$A$1:$A$1001,customers!$I$1:$I$1001,,0)</f>
        <v/>
      </c>
    </row>
    <row r="512">
      <c r="A512" s="2" t="inlineStr">
        <is>
          <t>O6888</t>
        </is>
      </c>
      <c r="B512" s="3" t="inlineStr">
        <is>
          <t>2021-01-18</t>
        </is>
      </c>
      <c r="C512" s="2" t="inlineStr">
        <is>
          <t>O1619</t>
        </is>
      </c>
      <c r="D512" t="inlineStr">
        <is>
          <t>O5445</t>
        </is>
      </c>
      <c r="E512" s="2" t="n">
        <v>201</v>
      </c>
      <c r="F512" s="2">
        <f>_xlfn.XLOOKUP(C512,customers!$A$1:$A$1001,customers!$B$1:$B$1001,,0)</f>
        <v/>
      </c>
      <c r="G512" s="2">
        <f>IF(_xlfn.XLOOKUP(C512,customers!$A$1:$A$1001,customers!$C$1:$C$1001,,0)=0,"",_xlfn.XLOOKUP(C512,customers!$A$1:$A$1001,customers!$C$1:$C$1001,,0))</f>
        <v/>
      </c>
      <c r="H512" s="2">
        <f>_xlfn.XLOOKUP(C512,customers!$A$1:$A$1001,customers!$G$1:$G$1001,,0)</f>
        <v/>
      </c>
      <c r="I512">
        <f>INDEX(products!$A$1:$G$49,MATCH(orders!$D512,products!$A$1:$A$49,0),MATCH(orders!I$1,products!$A$1:$G$1,0))</f>
        <v/>
      </c>
      <c r="J512">
        <f>INDEX(products!$A$1:$G$49,MATCH(orders!$D512,products!$A$1:$A$49,0),MATCH(orders!J$1,products!$A$1:$G$1,0))</f>
        <v/>
      </c>
      <c r="K512" s="4">
        <f>INDEX(products!$A$1:$G$49,MATCH(orders!$D512,products!$A$1:$A$49,0),MATCH(orders!K$1,products!$A$1:$G$1,0))</f>
        <v/>
      </c>
      <c r="L512" s="5">
        <f>INDEX(products!$A$1:$G$49,MATCH(orders!$D512,products!$A$1:$A$49,0),MATCH(orders!L$1,products!$A$1:$G$1,0))</f>
        <v/>
      </c>
      <c r="M512" s="5">
        <f>L512*E512</f>
        <v/>
      </c>
      <c r="N512">
        <f>IF(I512="Rob","Robusta",IF(I512="Exc","Excelsa",IF(I512="Ara","Arabica",IF(I512="Lib","Liberica",""))))</f>
        <v/>
      </c>
      <c r="O512">
        <f>IF(J512="M","Medium",IF(J512="L","Light",IF(J512="D","Dark","")))</f>
        <v/>
      </c>
      <c r="P512">
        <f>_xlfn.XLOOKUP(Orders[[#This Row],[Customer ID]],customers!$A$1:$A$1001,customers!$I$1:$I$1001,,0)</f>
        <v/>
      </c>
    </row>
    <row r="513">
      <c r="A513" s="2" t="inlineStr">
        <is>
          <t>O5194</t>
        </is>
      </c>
      <c r="B513" s="3" t="inlineStr">
        <is>
          <t>2023-04-22</t>
        </is>
      </c>
      <c r="C513" s="2" t="inlineStr">
        <is>
          <t>O2454</t>
        </is>
      </c>
      <c r="D513" t="inlineStr">
        <is>
          <t>O4407</t>
        </is>
      </c>
      <c r="E513" s="2" t="n">
        <v>443</v>
      </c>
      <c r="F513" s="2">
        <f>_xlfn.XLOOKUP(C513,customers!$A$1:$A$1001,customers!$B$1:$B$1001,,0)</f>
        <v/>
      </c>
      <c r="G513" s="2">
        <f>IF(_xlfn.XLOOKUP(C513,customers!$A$1:$A$1001,customers!$C$1:$C$1001,,0)=0,"",_xlfn.XLOOKUP(C513,customers!$A$1:$A$1001,customers!$C$1:$C$1001,,0))</f>
        <v/>
      </c>
      <c r="H513" s="2">
        <f>_xlfn.XLOOKUP(C513,customers!$A$1:$A$1001,customers!$G$1:$G$1001,,0)</f>
        <v/>
      </c>
      <c r="I513">
        <f>INDEX(products!$A$1:$G$49,MATCH(orders!$D513,products!$A$1:$A$49,0),MATCH(orders!I$1,products!$A$1:$G$1,0))</f>
        <v/>
      </c>
      <c r="J513">
        <f>INDEX(products!$A$1:$G$49,MATCH(orders!$D513,products!$A$1:$A$49,0),MATCH(orders!J$1,products!$A$1:$G$1,0))</f>
        <v/>
      </c>
      <c r="K513" s="4">
        <f>INDEX(products!$A$1:$G$49,MATCH(orders!$D513,products!$A$1:$A$49,0),MATCH(orders!K$1,products!$A$1:$G$1,0))</f>
        <v/>
      </c>
      <c r="L513" s="5">
        <f>INDEX(products!$A$1:$G$49,MATCH(orders!$D513,products!$A$1:$A$49,0),MATCH(orders!L$1,products!$A$1:$G$1,0))</f>
        <v/>
      </c>
      <c r="M513" s="5">
        <f>L513*E513</f>
        <v/>
      </c>
      <c r="N513">
        <f>IF(I513="Rob","Robusta",IF(I513="Exc","Excelsa",IF(I513="Ara","Arabica",IF(I513="Lib","Liberica",""))))</f>
        <v/>
      </c>
      <c r="O513">
        <f>IF(J513="M","Medium",IF(J513="L","Light",IF(J513="D","Dark","")))</f>
        <v/>
      </c>
      <c r="P513">
        <f>_xlfn.XLOOKUP(Orders[[#This Row],[Customer ID]],customers!$A$1:$A$1001,customers!$I$1:$I$1001,,0)</f>
        <v/>
      </c>
    </row>
    <row r="514">
      <c r="A514" s="2" t="inlineStr">
        <is>
          <t>O7115</t>
        </is>
      </c>
      <c r="B514" s="3" t="inlineStr">
        <is>
          <t>2020-08-26</t>
        </is>
      </c>
      <c r="C514" s="2" t="inlineStr">
        <is>
          <t>O7594</t>
        </is>
      </c>
      <c r="D514" t="inlineStr">
        <is>
          <t>O5670</t>
        </is>
      </c>
      <c r="E514" s="2" t="n">
        <v>63</v>
      </c>
      <c r="F514" s="2">
        <f>_xlfn.XLOOKUP(C514,customers!$A$1:$A$1001,customers!$B$1:$B$1001,,0)</f>
        <v/>
      </c>
      <c r="G514" s="2">
        <f>IF(_xlfn.XLOOKUP(C514,customers!$A$1:$A$1001,customers!$C$1:$C$1001,,0)=0,"",_xlfn.XLOOKUP(C514,customers!$A$1:$A$1001,customers!$C$1:$C$1001,,0))</f>
        <v/>
      </c>
      <c r="H514" s="2">
        <f>_xlfn.XLOOKUP(C514,customers!$A$1:$A$1001,customers!$G$1:$G$1001,,0)</f>
        <v/>
      </c>
      <c r="I514">
        <f>INDEX(products!$A$1:$G$49,MATCH(orders!$D514,products!$A$1:$A$49,0),MATCH(orders!I$1,products!$A$1:$G$1,0))</f>
        <v/>
      </c>
      <c r="J514">
        <f>INDEX(products!$A$1:$G$49,MATCH(orders!$D514,products!$A$1:$A$49,0),MATCH(orders!J$1,products!$A$1:$G$1,0))</f>
        <v/>
      </c>
      <c r="K514" s="4">
        <f>INDEX(products!$A$1:$G$49,MATCH(orders!$D514,products!$A$1:$A$49,0),MATCH(orders!K$1,products!$A$1:$G$1,0))</f>
        <v/>
      </c>
      <c r="L514" s="5">
        <f>INDEX(products!$A$1:$G$49,MATCH(orders!$D514,products!$A$1:$A$49,0),MATCH(orders!L$1,products!$A$1:$G$1,0))</f>
        <v/>
      </c>
      <c r="M514" s="5">
        <f>L514*E514</f>
        <v/>
      </c>
      <c r="N514">
        <f>IF(I514="Rob","Robusta",IF(I514="Exc","Excelsa",IF(I514="Ara","Arabica",IF(I514="Lib","Liberica",""))))</f>
        <v/>
      </c>
      <c r="O514">
        <f>IF(J514="M","Medium",IF(J514="L","Light",IF(J514="D","Dark","")))</f>
        <v/>
      </c>
      <c r="P514">
        <f>_xlfn.XLOOKUP(Orders[[#This Row],[Customer ID]],customers!$A$1:$A$1001,customers!$I$1:$I$1001,,0)</f>
        <v/>
      </c>
    </row>
    <row r="515">
      <c r="A515" s="2" t="inlineStr">
        <is>
          <t>O2087</t>
        </is>
      </c>
      <c r="B515" s="3" t="inlineStr">
        <is>
          <t>2022-06-08</t>
        </is>
      </c>
      <c r="C515" s="2" t="inlineStr">
        <is>
          <t>O4672</t>
        </is>
      </c>
      <c r="D515" t="inlineStr">
        <is>
          <t>O8271</t>
        </is>
      </c>
      <c r="E515" s="2" t="n">
        <v>351</v>
      </c>
      <c r="F515" s="2">
        <f>_xlfn.XLOOKUP(C515,customers!$A$1:$A$1001,customers!$B$1:$B$1001,,0)</f>
        <v/>
      </c>
      <c r="G515" s="2">
        <f>IF(_xlfn.XLOOKUP(C515,customers!$A$1:$A$1001,customers!$C$1:$C$1001,,0)=0,"",_xlfn.XLOOKUP(C515,customers!$A$1:$A$1001,customers!$C$1:$C$1001,,0))</f>
        <v/>
      </c>
      <c r="H515" s="2">
        <f>_xlfn.XLOOKUP(C515,customers!$A$1:$A$1001,customers!$G$1:$G$1001,,0)</f>
        <v/>
      </c>
      <c r="I515">
        <f>INDEX(products!$A$1:$G$49,MATCH(orders!$D515,products!$A$1:$A$49,0),MATCH(orders!I$1,products!$A$1:$G$1,0))</f>
        <v/>
      </c>
      <c r="J515">
        <f>INDEX(products!$A$1:$G$49,MATCH(orders!$D515,products!$A$1:$A$49,0),MATCH(orders!J$1,products!$A$1:$G$1,0))</f>
        <v/>
      </c>
      <c r="K515" s="4">
        <f>INDEX(products!$A$1:$G$49,MATCH(orders!$D515,products!$A$1:$A$49,0),MATCH(orders!K$1,products!$A$1:$G$1,0))</f>
        <v/>
      </c>
      <c r="L515" s="5">
        <f>INDEX(products!$A$1:$G$49,MATCH(orders!$D515,products!$A$1:$A$49,0),MATCH(orders!L$1,products!$A$1:$G$1,0))</f>
        <v/>
      </c>
      <c r="M515" s="5">
        <f>L515*E515</f>
        <v/>
      </c>
      <c r="N515">
        <f>IF(I515="Rob","Robusta",IF(I515="Exc","Excelsa",IF(I515="Ara","Arabica",IF(I515="Lib","Liberica",""))))</f>
        <v/>
      </c>
      <c r="O515">
        <f>IF(J515="M","Medium",IF(J515="L","Light",IF(J515="D","Dark","")))</f>
        <v/>
      </c>
      <c r="P515">
        <f>_xlfn.XLOOKUP(Orders[[#This Row],[Customer ID]],customers!$A$1:$A$1001,customers!$I$1:$I$1001,,0)</f>
        <v/>
      </c>
    </row>
    <row r="516">
      <c r="A516" s="2" t="inlineStr">
        <is>
          <t>O9905</t>
        </is>
      </c>
      <c r="B516" s="3" t="inlineStr">
        <is>
          <t>2023-01-25</t>
        </is>
      </c>
      <c r="C516" s="2" t="inlineStr">
        <is>
          <t>O7589</t>
        </is>
      </c>
      <c r="D516" t="inlineStr">
        <is>
          <t>O6876</t>
        </is>
      </c>
      <c r="E516" s="2" t="n">
        <v>301</v>
      </c>
      <c r="F516" s="2">
        <f>_xlfn.XLOOKUP(C516,customers!$A$1:$A$1001,customers!$B$1:$B$1001,,0)</f>
        <v/>
      </c>
      <c r="G516" s="2">
        <f>IF(_xlfn.XLOOKUP(C516,customers!$A$1:$A$1001,customers!$C$1:$C$1001,,0)=0,"",_xlfn.XLOOKUP(C516,customers!$A$1:$A$1001,customers!$C$1:$C$1001,,0))</f>
        <v/>
      </c>
      <c r="H516" s="2">
        <f>_xlfn.XLOOKUP(C516,customers!$A$1:$A$1001,customers!$G$1:$G$1001,,0)</f>
        <v/>
      </c>
      <c r="I516">
        <f>INDEX(products!$A$1:$G$49,MATCH(orders!$D516,products!$A$1:$A$49,0),MATCH(orders!I$1,products!$A$1:$G$1,0))</f>
        <v/>
      </c>
      <c r="J516">
        <f>INDEX(products!$A$1:$G$49,MATCH(orders!$D516,products!$A$1:$A$49,0),MATCH(orders!J$1,products!$A$1:$G$1,0))</f>
        <v/>
      </c>
      <c r="K516" s="4">
        <f>INDEX(products!$A$1:$G$49,MATCH(orders!$D516,products!$A$1:$A$49,0),MATCH(orders!K$1,products!$A$1:$G$1,0))</f>
        <v/>
      </c>
      <c r="L516" s="5">
        <f>INDEX(products!$A$1:$G$49,MATCH(orders!$D516,products!$A$1:$A$49,0),MATCH(orders!L$1,products!$A$1:$G$1,0))</f>
        <v/>
      </c>
      <c r="M516" s="5">
        <f>L516*E516</f>
        <v/>
      </c>
      <c r="N516">
        <f>IF(I516="Rob","Robusta",IF(I516="Exc","Excelsa",IF(I516="Ara","Arabica",IF(I516="Lib","Liberica",""))))</f>
        <v/>
      </c>
      <c r="O516">
        <f>IF(J516="M","Medium",IF(J516="L","Light",IF(J516="D","Dark","")))</f>
        <v/>
      </c>
      <c r="P516">
        <f>_xlfn.XLOOKUP(Orders[[#This Row],[Customer ID]],customers!$A$1:$A$1001,customers!$I$1:$I$1001,,0)</f>
        <v/>
      </c>
    </row>
    <row r="517">
      <c r="A517" s="2" t="inlineStr">
        <is>
          <t>O8025</t>
        </is>
      </c>
      <c r="B517" s="3" t="inlineStr">
        <is>
          <t>2023-11-08</t>
        </is>
      </c>
      <c r="C517" s="2" t="inlineStr">
        <is>
          <t>O7234</t>
        </is>
      </c>
      <c r="D517" t="inlineStr">
        <is>
          <t>O2153</t>
        </is>
      </c>
      <c r="E517" s="2" t="n">
        <v>170</v>
      </c>
      <c r="F517" s="2">
        <f>_xlfn.XLOOKUP(C517,customers!$A$1:$A$1001,customers!$B$1:$B$1001,,0)</f>
        <v/>
      </c>
      <c r="G517" s="2">
        <f>IF(_xlfn.XLOOKUP(C517,customers!$A$1:$A$1001,customers!$C$1:$C$1001,,0)=0,"",_xlfn.XLOOKUP(C517,customers!$A$1:$A$1001,customers!$C$1:$C$1001,,0))</f>
        <v/>
      </c>
      <c r="H517" s="2">
        <f>_xlfn.XLOOKUP(C517,customers!$A$1:$A$1001,customers!$G$1:$G$1001,,0)</f>
        <v/>
      </c>
      <c r="I517">
        <f>INDEX(products!$A$1:$G$49,MATCH(orders!$D517,products!$A$1:$A$49,0),MATCH(orders!I$1,products!$A$1:$G$1,0))</f>
        <v/>
      </c>
      <c r="J517">
        <f>INDEX(products!$A$1:$G$49,MATCH(orders!$D517,products!$A$1:$A$49,0),MATCH(orders!J$1,products!$A$1:$G$1,0))</f>
        <v/>
      </c>
      <c r="K517" s="4">
        <f>INDEX(products!$A$1:$G$49,MATCH(orders!$D517,products!$A$1:$A$49,0),MATCH(orders!K$1,products!$A$1:$G$1,0))</f>
        <v/>
      </c>
      <c r="L517" s="5">
        <f>INDEX(products!$A$1:$G$49,MATCH(orders!$D517,products!$A$1:$A$49,0),MATCH(orders!L$1,products!$A$1:$G$1,0))</f>
        <v/>
      </c>
      <c r="M517" s="5">
        <f>L517*E517</f>
        <v/>
      </c>
      <c r="N517">
        <f>IF(I517="Rob","Robusta",IF(I517="Exc","Excelsa",IF(I517="Ara","Arabica",IF(I517="Lib","Liberica",""))))</f>
        <v/>
      </c>
      <c r="O517">
        <f>IF(J517="M","Medium",IF(J517="L","Light",IF(J517="D","Dark","")))</f>
        <v/>
      </c>
      <c r="P517">
        <f>_xlfn.XLOOKUP(Orders[[#This Row],[Customer ID]],customers!$A$1:$A$1001,customers!$I$1:$I$1001,,0)</f>
        <v/>
      </c>
    </row>
    <row r="518">
      <c r="A518" s="2" t="inlineStr">
        <is>
          <t>O6239</t>
        </is>
      </c>
      <c r="B518" s="3" t="inlineStr">
        <is>
          <t>2024-11-09</t>
        </is>
      </c>
      <c r="C518" s="2" t="inlineStr">
        <is>
          <t>O7862</t>
        </is>
      </c>
      <c r="D518" t="inlineStr">
        <is>
          <t>O6969</t>
        </is>
      </c>
      <c r="E518" s="2" t="n">
        <v>24</v>
      </c>
      <c r="F518" s="2">
        <f>_xlfn.XLOOKUP(C518,customers!$A$1:$A$1001,customers!$B$1:$B$1001,,0)</f>
        <v/>
      </c>
      <c r="G518" s="2">
        <f>IF(_xlfn.XLOOKUP(C518,customers!$A$1:$A$1001,customers!$C$1:$C$1001,,0)=0,"",_xlfn.XLOOKUP(C518,customers!$A$1:$A$1001,customers!$C$1:$C$1001,,0))</f>
        <v/>
      </c>
      <c r="H518" s="2">
        <f>_xlfn.XLOOKUP(C518,customers!$A$1:$A$1001,customers!$G$1:$G$1001,,0)</f>
        <v/>
      </c>
      <c r="I518">
        <f>INDEX(products!$A$1:$G$49,MATCH(orders!$D518,products!$A$1:$A$49,0),MATCH(orders!I$1,products!$A$1:$G$1,0))</f>
        <v/>
      </c>
      <c r="J518">
        <f>INDEX(products!$A$1:$G$49,MATCH(orders!$D518,products!$A$1:$A$49,0),MATCH(orders!J$1,products!$A$1:$G$1,0))</f>
        <v/>
      </c>
      <c r="K518" s="4">
        <f>INDEX(products!$A$1:$G$49,MATCH(orders!$D518,products!$A$1:$A$49,0),MATCH(orders!K$1,products!$A$1:$G$1,0))</f>
        <v/>
      </c>
      <c r="L518" s="5">
        <f>INDEX(products!$A$1:$G$49,MATCH(orders!$D518,products!$A$1:$A$49,0),MATCH(orders!L$1,products!$A$1:$G$1,0))</f>
        <v/>
      </c>
      <c r="M518" s="5">
        <f>L518*E518</f>
        <v/>
      </c>
      <c r="N518">
        <f>IF(I518="Rob","Robusta",IF(I518="Exc","Excelsa",IF(I518="Ara","Arabica",IF(I518="Lib","Liberica",""))))</f>
        <v/>
      </c>
      <c r="O518">
        <f>IF(J518="M","Medium",IF(J518="L","Light",IF(J518="D","Dark","")))</f>
        <v/>
      </c>
      <c r="P518">
        <f>_xlfn.XLOOKUP(Orders[[#This Row],[Customer ID]],customers!$A$1:$A$1001,customers!$I$1:$I$1001,,0)</f>
        <v/>
      </c>
    </row>
    <row r="519">
      <c r="A519" s="2" t="inlineStr">
        <is>
          <t>O9079</t>
        </is>
      </c>
      <c r="B519" s="3" t="inlineStr">
        <is>
          <t>2024-04-19</t>
        </is>
      </c>
      <c r="C519" s="2" t="inlineStr">
        <is>
          <t>O6585</t>
        </is>
      </c>
      <c r="D519" t="inlineStr">
        <is>
          <t>O6214</t>
        </is>
      </c>
      <c r="E519" s="2" t="n">
        <v>111</v>
      </c>
      <c r="F519" s="2">
        <f>_xlfn.XLOOKUP(C519,customers!$A$1:$A$1001,customers!$B$1:$B$1001,,0)</f>
        <v/>
      </c>
      <c r="G519" s="2">
        <f>IF(_xlfn.XLOOKUP(C519,customers!$A$1:$A$1001,customers!$C$1:$C$1001,,0)=0,"",_xlfn.XLOOKUP(C519,customers!$A$1:$A$1001,customers!$C$1:$C$1001,,0))</f>
        <v/>
      </c>
      <c r="H519" s="2">
        <f>_xlfn.XLOOKUP(C519,customers!$A$1:$A$1001,customers!$G$1:$G$1001,,0)</f>
        <v/>
      </c>
      <c r="I519">
        <f>INDEX(products!$A$1:$G$49,MATCH(orders!$D519,products!$A$1:$A$49,0),MATCH(orders!I$1,products!$A$1:$G$1,0))</f>
        <v/>
      </c>
      <c r="J519">
        <f>INDEX(products!$A$1:$G$49,MATCH(orders!$D519,products!$A$1:$A$49,0),MATCH(orders!J$1,products!$A$1:$G$1,0))</f>
        <v/>
      </c>
      <c r="K519" s="4">
        <f>INDEX(products!$A$1:$G$49,MATCH(orders!$D519,products!$A$1:$A$49,0),MATCH(orders!K$1,products!$A$1:$G$1,0))</f>
        <v/>
      </c>
      <c r="L519" s="5">
        <f>INDEX(products!$A$1:$G$49,MATCH(orders!$D519,products!$A$1:$A$49,0),MATCH(orders!L$1,products!$A$1:$G$1,0))</f>
        <v/>
      </c>
      <c r="M519" s="5">
        <f>L519*E519</f>
        <v/>
      </c>
      <c r="N519">
        <f>IF(I519="Rob","Robusta",IF(I519="Exc","Excelsa",IF(I519="Ara","Arabica",IF(I519="Lib","Liberica",""))))</f>
        <v/>
      </c>
      <c r="O519">
        <f>IF(J519="M","Medium",IF(J519="L","Light",IF(J519="D","Dark","")))</f>
        <v/>
      </c>
      <c r="P519">
        <f>_xlfn.XLOOKUP(Orders[[#This Row],[Customer ID]],customers!$A$1:$A$1001,customers!$I$1:$I$1001,,0)</f>
        <v/>
      </c>
    </row>
    <row r="520">
      <c r="A520" s="2" t="inlineStr">
        <is>
          <t>O6514</t>
        </is>
      </c>
      <c r="B520" s="3" t="inlineStr">
        <is>
          <t>2022-10-25</t>
        </is>
      </c>
      <c r="C520" s="2" t="inlineStr">
        <is>
          <t>O9919</t>
        </is>
      </c>
      <c r="D520" t="inlineStr">
        <is>
          <t>O3653</t>
        </is>
      </c>
      <c r="E520" s="2" t="n">
        <v>238</v>
      </c>
      <c r="F520" s="2">
        <f>_xlfn.XLOOKUP(C520,customers!$A$1:$A$1001,customers!$B$1:$B$1001,,0)</f>
        <v/>
      </c>
      <c r="G520" s="2">
        <f>IF(_xlfn.XLOOKUP(C520,customers!$A$1:$A$1001,customers!$C$1:$C$1001,,0)=0,"",_xlfn.XLOOKUP(C520,customers!$A$1:$A$1001,customers!$C$1:$C$1001,,0))</f>
        <v/>
      </c>
      <c r="H520" s="2">
        <f>_xlfn.XLOOKUP(C520,customers!$A$1:$A$1001,customers!$G$1:$G$1001,,0)</f>
        <v/>
      </c>
      <c r="I520">
        <f>INDEX(products!$A$1:$G$49,MATCH(orders!$D520,products!$A$1:$A$49,0),MATCH(orders!I$1,products!$A$1:$G$1,0))</f>
        <v/>
      </c>
      <c r="J520">
        <f>INDEX(products!$A$1:$G$49,MATCH(orders!$D520,products!$A$1:$A$49,0),MATCH(orders!J$1,products!$A$1:$G$1,0))</f>
        <v/>
      </c>
      <c r="K520" s="4">
        <f>INDEX(products!$A$1:$G$49,MATCH(orders!$D520,products!$A$1:$A$49,0),MATCH(orders!K$1,products!$A$1:$G$1,0))</f>
        <v/>
      </c>
      <c r="L520" s="5">
        <f>INDEX(products!$A$1:$G$49,MATCH(orders!$D520,products!$A$1:$A$49,0),MATCH(orders!L$1,products!$A$1:$G$1,0))</f>
        <v/>
      </c>
      <c r="M520" s="5">
        <f>L520*E520</f>
        <v/>
      </c>
      <c r="N520">
        <f>IF(I520="Rob","Robusta",IF(I520="Exc","Excelsa",IF(I520="Ara","Arabica",IF(I520="Lib","Liberica",""))))</f>
        <v/>
      </c>
      <c r="O520">
        <f>IF(J520="M","Medium",IF(J520="L","Light",IF(J520="D","Dark","")))</f>
        <v/>
      </c>
      <c r="P520">
        <f>_xlfn.XLOOKUP(Orders[[#This Row],[Customer ID]],customers!$A$1:$A$1001,customers!$I$1:$I$1001,,0)</f>
        <v/>
      </c>
    </row>
    <row r="521">
      <c r="A521" s="2" t="inlineStr">
        <is>
          <t>O3745</t>
        </is>
      </c>
      <c r="B521" s="3" t="inlineStr">
        <is>
          <t>2022-02-24</t>
        </is>
      </c>
      <c r="C521" s="2" t="inlineStr">
        <is>
          <t>O2632</t>
        </is>
      </c>
      <c r="D521" t="inlineStr">
        <is>
          <t>O2855</t>
        </is>
      </c>
      <c r="E521" s="2" t="n">
        <v>318</v>
      </c>
      <c r="F521" s="2">
        <f>_xlfn.XLOOKUP(C521,customers!$A$1:$A$1001,customers!$B$1:$B$1001,,0)</f>
        <v/>
      </c>
      <c r="G521" s="2">
        <f>IF(_xlfn.XLOOKUP(C521,customers!$A$1:$A$1001,customers!$C$1:$C$1001,,0)=0,"",_xlfn.XLOOKUP(C521,customers!$A$1:$A$1001,customers!$C$1:$C$1001,,0))</f>
        <v/>
      </c>
      <c r="H521" s="2">
        <f>_xlfn.XLOOKUP(C521,customers!$A$1:$A$1001,customers!$G$1:$G$1001,,0)</f>
        <v/>
      </c>
      <c r="I521">
        <f>INDEX(products!$A$1:$G$49,MATCH(orders!$D521,products!$A$1:$A$49,0),MATCH(orders!I$1,products!$A$1:$G$1,0))</f>
        <v/>
      </c>
      <c r="J521">
        <f>INDEX(products!$A$1:$G$49,MATCH(orders!$D521,products!$A$1:$A$49,0),MATCH(orders!J$1,products!$A$1:$G$1,0))</f>
        <v/>
      </c>
      <c r="K521" s="4">
        <f>INDEX(products!$A$1:$G$49,MATCH(orders!$D521,products!$A$1:$A$49,0),MATCH(orders!K$1,products!$A$1:$G$1,0))</f>
        <v/>
      </c>
      <c r="L521" s="5">
        <f>INDEX(products!$A$1:$G$49,MATCH(orders!$D521,products!$A$1:$A$49,0),MATCH(orders!L$1,products!$A$1:$G$1,0))</f>
        <v/>
      </c>
      <c r="M521" s="5">
        <f>L521*E521</f>
        <v/>
      </c>
      <c r="N521">
        <f>IF(I521="Rob","Robusta",IF(I521="Exc","Excelsa",IF(I521="Ara","Arabica",IF(I521="Lib","Liberica",""))))</f>
        <v/>
      </c>
      <c r="O521">
        <f>IF(J521="M","Medium",IF(J521="L","Light",IF(J521="D","Dark","")))</f>
        <v/>
      </c>
      <c r="P521">
        <f>_xlfn.XLOOKUP(Orders[[#This Row],[Customer ID]],customers!$A$1:$A$1001,customers!$I$1:$I$1001,,0)</f>
        <v/>
      </c>
    </row>
    <row r="522">
      <c r="A522" s="2" t="inlineStr">
        <is>
          <t>O9245</t>
        </is>
      </c>
      <c r="B522" s="3" t="inlineStr">
        <is>
          <t>2023-01-02</t>
        </is>
      </c>
      <c r="C522" s="2" t="inlineStr">
        <is>
          <t>O8561</t>
        </is>
      </c>
      <c r="D522" t="inlineStr">
        <is>
          <t>O4469</t>
        </is>
      </c>
      <c r="E522" s="2" t="n">
        <v>319</v>
      </c>
      <c r="F522" s="2">
        <f>_xlfn.XLOOKUP(C522,customers!$A$1:$A$1001,customers!$B$1:$B$1001,,0)</f>
        <v/>
      </c>
      <c r="G522" s="2">
        <f>IF(_xlfn.XLOOKUP(C522,customers!$A$1:$A$1001,customers!$C$1:$C$1001,,0)=0,"",_xlfn.XLOOKUP(C522,customers!$A$1:$A$1001,customers!$C$1:$C$1001,,0))</f>
        <v/>
      </c>
      <c r="H522" s="2">
        <f>_xlfn.XLOOKUP(C522,customers!$A$1:$A$1001,customers!$G$1:$G$1001,,0)</f>
        <v/>
      </c>
      <c r="I522">
        <f>INDEX(products!$A$1:$G$49,MATCH(orders!$D522,products!$A$1:$A$49,0),MATCH(orders!I$1,products!$A$1:$G$1,0))</f>
        <v/>
      </c>
      <c r="J522">
        <f>INDEX(products!$A$1:$G$49,MATCH(orders!$D522,products!$A$1:$A$49,0),MATCH(orders!J$1,products!$A$1:$G$1,0))</f>
        <v/>
      </c>
      <c r="K522" s="4">
        <f>INDEX(products!$A$1:$G$49,MATCH(orders!$D522,products!$A$1:$A$49,0),MATCH(orders!K$1,products!$A$1:$G$1,0))</f>
        <v/>
      </c>
      <c r="L522" s="5">
        <f>INDEX(products!$A$1:$G$49,MATCH(orders!$D522,products!$A$1:$A$49,0),MATCH(orders!L$1,products!$A$1:$G$1,0))</f>
        <v/>
      </c>
      <c r="M522" s="5">
        <f>L522*E522</f>
        <v/>
      </c>
      <c r="N522">
        <f>IF(I522="Rob","Robusta",IF(I522="Exc","Excelsa",IF(I522="Ara","Arabica",IF(I522="Lib","Liberica",""))))</f>
        <v/>
      </c>
      <c r="O522">
        <f>IF(J522="M","Medium",IF(J522="L","Light",IF(J522="D","Dark","")))</f>
        <v/>
      </c>
      <c r="P522">
        <f>_xlfn.XLOOKUP(Orders[[#This Row],[Customer ID]],customers!$A$1:$A$1001,customers!$I$1:$I$1001,,0)</f>
        <v/>
      </c>
    </row>
    <row r="523">
      <c r="A523" s="2" t="inlineStr">
        <is>
          <t>O4793</t>
        </is>
      </c>
      <c r="B523" s="3" t="inlineStr">
        <is>
          <t>2023-02-12</t>
        </is>
      </c>
      <c r="C523" s="2" t="inlineStr">
        <is>
          <t>O5409</t>
        </is>
      </c>
      <c r="D523" t="inlineStr">
        <is>
          <t>O2945</t>
        </is>
      </c>
      <c r="E523" s="2" t="n">
        <v>497</v>
      </c>
      <c r="F523" s="2">
        <f>_xlfn.XLOOKUP(C523,customers!$A$1:$A$1001,customers!$B$1:$B$1001,,0)</f>
        <v/>
      </c>
      <c r="G523" s="2">
        <f>IF(_xlfn.XLOOKUP(C523,customers!$A$1:$A$1001,customers!$C$1:$C$1001,,0)=0,"",_xlfn.XLOOKUP(C523,customers!$A$1:$A$1001,customers!$C$1:$C$1001,,0))</f>
        <v/>
      </c>
      <c r="H523" s="2">
        <f>_xlfn.XLOOKUP(C523,customers!$A$1:$A$1001,customers!$G$1:$G$1001,,0)</f>
        <v/>
      </c>
      <c r="I523">
        <f>INDEX(products!$A$1:$G$49,MATCH(orders!$D523,products!$A$1:$A$49,0),MATCH(orders!I$1,products!$A$1:$G$1,0))</f>
        <v/>
      </c>
      <c r="J523">
        <f>INDEX(products!$A$1:$G$49,MATCH(orders!$D523,products!$A$1:$A$49,0),MATCH(orders!J$1,products!$A$1:$G$1,0))</f>
        <v/>
      </c>
      <c r="K523" s="4">
        <f>INDEX(products!$A$1:$G$49,MATCH(orders!$D523,products!$A$1:$A$49,0),MATCH(orders!K$1,products!$A$1:$G$1,0))</f>
        <v/>
      </c>
      <c r="L523" s="5">
        <f>INDEX(products!$A$1:$G$49,MATCH(orders!$D523,products!$A$1:$A$49,0),MATCH(orders!L$1,products!$A$1:$G$1,0))</f>
        <v/>
      </c>
      <c r="M523" s="5">
        <f>L523*E523</f>
        <v/>
      </c>
      <c r="N523">
        <f>IF(I523="Rob","Robusta",IF(I523="Exc","Excelsa",IF(I523="Ara","Arabica",IF(I523="Lib","Liberica",""))))</f>
        <v/>
      </c>
      <c r="O523">
        <f>IF(J523="M","Medium",IF(J523="L","Light",IF(J523="D","Dark","")))</f>
        <v/>
      </c>
      <c r="P523">
        <f>_xlfn.XLOOKUP(Orders[[#This Row],[Customer ID]],customers!$A$1:$A$1001,customers!$I$1:$I$1001,,0)</f>
        <v/>
      </c>
    </row>
    <row r="524">
      <c r="A524" s="2" t="inlineStr">
        <is>
          <t>O1020</t>
        </is>
      </c>
      <c r="B524" s="3" t="inlineStr">
        <is>
          <t>2022-07-18</t>
        </is>
      </c>
      <c r="C524" s="2" t="inlineStr">
        <is>
          <t>O9547</t>
        </is>
      </c>
      <c r="D524" t="inlineStr">
        <is>
          <t>O9744</t>
        </is>
      </c>
      <c r="E524" s="2" t="n">
        <v>258</v>
      </c>
      <c r="F524" s="2">
        <f>_xlfn.XLOOKUP(C524,customers!$A$1:$A$1001,customers!$B$1:$B$1001,,0)</f>
        <v/>
      </c>
      <c r="G524" s="2">
        <f>IF(_xlfn.XLOOKUP(C524,customers!$A$1:$A$1001,customers!$C$1:$C$1001,,0)=0,"",_xlfn.XLOOKUP(C524,customers!$A$1:$A$1001,customers!$C$1:$C$1001,,0))</f>
        <v/>
      </c>
      <c r="H524" s="2">
        <f>_xlfn.XLOOKUP(C524,customers!$A$1:$A$1001,customers!$G$1:$G$1001,,0)</f>
        <v/>
      </c>
      <c r="I524">
        <f>INDEX(products!$A$1:$G$49,MATCH(orders!$D524,products!$A$1:$A$49,0),MATCH(orders!I$1,products!$A$1:$G$1,0))</f>
        <v/>
      </c>
      <c r="J524">
        <f>INDEX(products!$A$1:$G$49,MATCH(orders!$D524,products!$A$1:$A$49,0),MATCH(orders!J$1,products!$A$1:$G$1,0))</f>
        <v/>
      </c>
      <c r="K524" s="4">
        <f>INDEX(products!$A$1:$G$49,MATCH(orders!$D524,products!$A$1:$A$49,0),MATCH(orders!K$1,products!$A$1:$G$1,0))</f>
        <v/>
      </c>
      <c r="L524" s="5">
        <f>INDEX(products!$A$1:$G$49,MATCH(orders!$D524,products!$A$1:$A$49,0),MATCH(orders!L$1,products!$A$1:$G$1,0))</f>
        <v/>
      </c>
      <c r="M524" s="5">
        <f>L524*E524</f>
        <v/>
      </c>
      <c r="N524">
        <f>IF(I524="Rob","Robusta",IF(I524="Exc","Excelsa",IF(I524="Ara","Arabica",IF(I524="Lib","Liberica",""))))</f>
        <v/>
      </c>
      <c r="O524">
        <f>IF(J524="M","Medium",IF(J524="L","Light",IF(J524="D","Dark","")))</f>
        <v/>
      </c>
      <c r="P524">
        <f>_xlfn.XLOOKUP(Orders[[#This Row],[Customer ID]],customers!$A$1:$A$1001,customers!$I$1:$I$1001,,0)</f>
        <v/>
      </c>
    </row>
    <row r="525">
      <c r="A525" s="2" t="inlineStr">
        <is>
          <t>O8459</t>
        </is>
      </c>
      <c r="B525" s="3" t="inlineStr">
        <is>
          <t>2022-02-19</t>
        </is>
      </c>
      <c r="C525" s="2" t="inlineStr">
        <is>
          <t>O7069</t>
        </is>
      </c>
      <c r="D525" t="inlineStr">
        <is>
          <t>O9536</t>
        </is>
      </c>
      <c r="E525" s="2" t="n">
        <v>399</v>
      </c>
      <c r="F525" s="2">
        <f>_xlfn.XLOOKUP(C525,customers!$A$1:$A$1001,customers!$B$1:$B$1001,,0)</f>
        <v/>
      </c>
      <c r="G525" s="2">
        <f>IF(_xlfn.XLOOKUP(C525,customers!$A$1:$A$1001,customers!$C$1:$C$1001,,0)=0,"",_xlfn.XLOOKUP(C525,customers!$A$1:$A$1001,customers!$C$1:$C$1001,,0))</f>
        <v/>
      </c>
      <c r="H525" s="2">
        <f>_xlfn.XLOOKUP(C525,customers!$A$1:$A$1001,customers!$G$1:$G$1001,,0)</f>
        <v/>
      </c>
      <c r="I525">
        <f>INDEX(products!$A$1:$G$49,MATCH(orders!$D525,products!$A$1:$A$49,0),MATCH(orders!I$1,products!$A$1:$G$1,0))</f>
        <v/>
      </c>
      <c r="J525">
        <f>INDEX(products!$A$1:$G$49,MATCH(orders!$D525,products!$A$1:$A$49,0),MATCH(orders!J$1,products!$A$1:$G$1,0))</f>
        <v/>
      </c>
      <c r="K525" s="4">
        <f>INDEX(products!$A$1:$G$49,MATCH(orders!$D525,products!$A$1:$A$49,0),MATCH(orders!K$1,products!$A$1:$G$1,0))</f>
        <v/>
      </c>
      <c r="L525" s="5">
        <f>INDEX(products!$A$1:$G$49,MATCH(orders!$D525,products!$A$1:$A$49,0),MATCH(orders!L$1,products!$A$1:$G$1,0))</f>
        <v/>
      </c>
      <c r="M525" s="5">
        <f>L525*E525</f>
        <v/>
      </c>
      <c r="N525">
        <f>IF(I525="Rob","Robusta",IF(I525="Exc","Excelsa",IF(I525="Ara","Arabica",IF(I525="Lib","Liberica",""))))</f>
        <v/>
      </c>
      <c r="O525">
        <f>IF(J525="M","Medium",IF(J525="L","Light",IF(J525="D","Dark","")))</f>
        <v/>
      </c>
      <c r="P525">
        <f>_xlfn.XLOOKUP(Orders[[#This Row],[Customer ID]],customers!$A$1:$A$1001,customers!$I$1:$I$1001,,0)</f>
        <v/>
      </c>
    </row>
    <row r="526">
      <c r="A526" s="2" t="inlineStr">
        <is>
          <t>O2715</t>
        </is>
      </c>
      <c r="B526" s="3" t="inlineStr">
        <is>
          <t>2021-11-04</t>
        </is>
      </c>
      <c r="C526" s="2" t="inlineStr">
        <is>
          <t>O7306</t>
        </is>
      </c>
      <c r="D526" t="inlineStr">
        <is>
          <t>O4296</t>
        </is>
      </c>
      <c r="E526" s="2" t="n">
        <v>182</v>
      </c>
      <c r="F526" s="2">
        <f>_xlfn.XLOOKUP(C526,customers!$A$1:$A$1001,customers!$B$1:$B$1001,,0)</f>
        <v/>
      </c>
      <c r="G526" s="2">
        <f>IF(_xlfn.XLOOKUP(C526,customers!$A$1:$A$1001,customers!$C$1:$C$1001,,0)=0,"",_xlfn.XLOOKUP(C526,customers!$A$1:$A$1001,customers!$C$1:$C$1001,,0))</f>
        <v/>
      </c>
      <c r="H526" s="2">
        <f>_xlfn.XLOOKUP(C526,customers!$A$1:$A$1001,customers!$G$1:$G$1001,,0)</f>
        <v/>
      </c>
      <c r="I526">
        <f>INDEX(products!$A$1:$G$49,MATCH(orders!$D526,products!$A$1:$A$49,0),MATCH(orders!I$1,products!$A$1:$G$1,0))</f>
        <v/>
      </c>
      <c r="J526">
        <f>INDEX(products!$A$1:$G$49,MATCH(orders!$D526,products!$A$1:$A$49,0),MATCH(orders!J$1,products!$A$1:$G$1,0))</f>
        <v/>
      </c>
      <c r="K526" s="4">
        <f>INDEX(products!$A$1:$G$49,MATCH(orders!$D526,products!$A$1:$A$49,0),MATCH(orders!K$1,products!$A$1:$G$1,0))</f>
        <v/>
      </c>
      <c r="L526" s="5">
        <f>INDEX(products!$A$1:$G$49,MATCH(orders!$D526,products!$A$1:$A$49,0),MATCH(orders!L$1,products!$A$1:$G$1,0))</f>
        <v/>
      </c>
      <c r="M526" s="5">
        <f>L526*E526</f>
        <v/>
      </c>
      <c r="N526">
        <f>IF(I526="Rob","Robusta",IF(I526="Exc","Excelsa",IF(I526="Ara","Arabica",IF(I526="Lib","Liberica",""))))</f>
        <v/>
      </c>
      <c r="O526">
        <f>IF(J526="M","Medium",IF(J526="L","Light",IF(J526="D","Dark","")))</f>
        <v/>
      </c>
      <c r="P526">
        <f>_xlfn.XLOOKUP(Orders[[#This Row],[Customer ID]],customers!$A$1:$A$1001,customers!$I$1:$I$1001,,0)</f>
        <v/>
      </c>
    </row>
    <row r="527">
      <c r="A527" s="2" t="inlineStr">
        <is>
          <t>O4389</t>
        </is>
      </c>
      <c r="B527" s="3" t="inlineStr">
        <is>
          <t>2024-05-19</t>
        </is>
      </c>
      <c r="C527" s="2" t="inlineStr">
        <is>
          <t>O5605</t>
        </is>
      </c>
      <c r="D527" t="inlineStr">
        <is>
          <t>O9882</t>
        </is>
      </c>
      <c r="E527" s="2" t="n">
        <v>106</v>
      </c>
      <c r="F527" s="2">
        <f>_xlfn.XLOOKUP(C527,customers!$A$1:$A$1001,customers!$B$1:$B$1001,,0)</f>
        <v/>
      </c>
      <c r="G527" s="2">
        <f>IF(_xlfn.XLOOKUP(C527,customers!$A$1:$A$1001,customers!$C$1:$C$1001,,0)=0,"",_xlfn.XLOOKUP(C527,customers!$A$1:$A$1001,customers!$C$1:$C$1001,,0))</f>
        <v/>
      </c>
      <c r="H527" s="2">
        <f>_xlfn.XLOOKUP(C527,customers!$A$1:$A$1001,customers!$G$1:$G$1001,,0)</f>
        <v/>
      </c>
      <c r="I527">
        <f>INDEX(products!$A$1:$G$49,MATCH(orders!$D527,products!$A$1:$A$49,0),MATCH(orders!I$1,products!$A$1:$G$1,0))</f>
        <v/>
      </c>
      <c r="J527">
        <f>INDEX(products!$A$1:$G$49,MATCH(orders!$D527,products!$A$1:$A$49,0),MATCH(orders!J$1,products!$A$1:$G$1,0))</f>
        <v/>
      </c>
      <c r="K527" s="4">
        <f>INDEX(products!$A$1:$G$49,MATCH(orders!$D527,products!$A$1:$A$49,0),MATCH(orders!K$1,products!$A$1:$G$1,0))</f>
        <v/>
      </c>
      <c r="L527" s="5">
        <f>INDEX(products!$A$1:$G$49,MATCH(orders!$D527,products!$A$1:$A$49,0),MATCH(orders!L$1,products!$A$1:$G$1,0))</f>
        <v/>
      </c>
      <c r="M527" s="5">
        <f>L527*E527</f>
        <v/>
      </c>
      <c r="N527">
        <f>IF(I527="Rob","Robusta",IF(I527="Exc","Excelsa",IF(I527="Ara","Arabica",IF(I527="Lib","Liberica",""))))</f>
        <v/>
      </c>
      <c r="O527">
        <f>IF(J527="M","Medium",IF(J527="L","Light",IF(J527="D","Dark","")))</f>
        <v/>
      </c>
      <c r="P527">
        <f>_xlfn.XLOOKUP(Orders[[#This Row],[Customer ID]],customers!$A$1:$A$1001,customers!$I$1:$I$1001,,0)</f>
        <v/>
      </c>
    </row>
    <row r="528">
      <c r="A528" s="2" t="inlineStr">
        <is>
          <t>O7507</t>
        </is>
      </c>
      <c r="B528" s="3" t="inlineStr">
        <is>
          <t>2020-10-05</t>
        </is>
      </c>
      <c r="C528" s="2" t="inlineStr">
        <is>
          <t>O6014</t>
        </is>
      </c>
      <c r="D528" t="inlineStr">
        <is>
          <t>O8238</t>
        </is>
      </c>
      <c r="E528" s="2" t="n">
        <v>450</v>
      </c>
      <c r="F528" s="2">
        <f>_xlfn.XLOOKUP(C528,customers!$A$1:$A$1001,customers!$B$1:$B$1001,,0)</f>
        <v/>
      </c>
      <c r="G528" s="2">
        <f>IF(_xlfn.XLOOKUP(C528,customers!$A$1:$A$1001,customers!$C$1:$C$1001,,0)=0,"",_xlfn.XLOOKUP(C528,customers!$A$1:$A$1001,customers!$C$1:$C$1001,,0))</f>
        <v/>
      </c>
      <c r="H528" s="2">
        <f>_xlfn.XLOOKUP(C528,customers!$A$1:$A$1001,customers!$G$1:$G$1001,,0)</f>
        <v/>
      </c>
      <c r="I528">
        <f>INDEX(products!$A$1:$G$49,MATCH(orders!$D528,products!$A$1:$A$49,0),MATCH(orders!I$1,products!$A$1:$G$1,0))</f>
        <v/>
      </c>
      <c r="J528">
        <f>INDEX(products!$A$1:$G$49,MATCH(orders!$D528,products!$A$1:$A$49,0),MATCH(orders!J$1,products!$A$1:$G$1,0))</f>
        <v/>
      </c>
      <c r="K528" s="4">
        <f>INDEX(products!$A$1:$G$49,MATCH(orders!$D528,products!$A$1:$A$49,0),MATCH(orders!K$1,products!$A$1:$G$1,0))</f>
        <v/>
      </c>
      <c r="L528" s="5">
        <f>INDEX(products!$A$1:$G$49,MATCH(orders!$D528,products!$A$1:$A$49,0),MATCH(orders!L$1,products!$A$1:$G$1,0))</f>
        <v/>
      </c>
      <c r="M528" s="5">
        <f>L528*E528</f>
        <v/>
      </c>
      <c r="N528">
        <f>IF(I528="Rob","Robusta",IF(I528="Exc","Excelsa",IF(I528="Ara","Arabica",IF(I528="Lib","Liberica",""))))</f>
        <v/>
      </c>
      <c r="O528">
        <f>IF(J528="M","Medium",IF(J528="L","Light",IF(J528="D","Dark","")))</f>
        <v/>
      </c>
      <c r="P528">
        <f>_xlfn.XLOOKUP(Orders[[#This Row],[Customer ID]],customers!$A$1:$A$1001,customers!$I$1:$I$1001,,0)</f>
        <v/>
      </c>
    </row>
    <row r="529">
      <c r="A529" s="2" t="inlineStr">
        <is>
          <t>O6926</t>
        </is>
      </c>
      <c r="B529" s="3" t="inlineStr">
        <is>
          <t>2023-12-29</t>
        </is>
      </c>
      <c r="C529" s="2" t="inlineStr">
        <is>
          <t>O4967</t>
        </is>
      </c>
      <c r="D529" t="inlineStr">
        <is>
          <t>O1724</t>
        </is>
      </c>
      <c r="E529" s="2" t="n">
        <v>13</v>
      </c>
      <c r="F529" s="2">
        <f>_xlfn.XLOOKUP(C529,customers!$A$1:$A$1001,customers!$B$1:$B$1001,,0)</f>
        <v/>
      </c>
      <c r="G529" s="2">
        <f>IF(_xlfn.XLOOKUP(C529,customers!$A$1:$A$1001,customers!$C$1:$C$1001,,0)=0,"",_xlfn.XLOOKUP(C529,customers!$A$1:$A$1001,customers!$C$1:$C$1001,,0))</f>
        <v/>
      </c>
      <c r="H529" s="2">
        <f>_xlfn.XLOOKUP(C529,customers!$A$1:$A$1001,customers!$G$1:$G$1001,,0)</f>
        <v/>
      </c>
      <c r="I529">
        <f>INDEX(products!$A$1:$G$49,MATCH(orders!$D529,products!$A$1:$A$49,0),MATCH(orders!I$1,products!$A$1:$G$1,0))</f>
        <v/>
      </c>
      <c r="J529">
        <f>INDEX(products!$A$1:$G$49,MATCH(orders!$D529,products!$A$1:$A$49,0),MATCH(orders!J$1,products!$A$1:$G$1,0))</f>
        <v/>
      </c>
      <c r="K529" s="4">
        <f>INDEX(products!$A$1:$G$49,MATCH(orders!$D529,products!$A$1:$A$49,0),MATCH(orders!K$1,products!$A$1:$G$1,0))</f>
        <v/>
      </c>
      <c r="L529" s="5">
        <f>INDEX(products!$A$1:$G$49,MATCH(orders!$D529,products!$A$1:$A$49,0),MATCH(orders!L$1,products!$A$1:$G$1,0))</f>
        <v/>
      </c>
      <c r="M529" s="5">
        <f>L529*E529</f>
        <v/>
      </c>
      <c r="N529">
        <f>IF(I529="Rob","Robusta",IF(I529="Exc","Excelsa",IF(I529="Ara","Arabica",IF(I529="Lib","Liberica",""))))</f>
        <v/>
      </c>
      <c r="O529">
        <f>IF(J529="M","Medium",IF(J529="L","Light",IF(J529="D","Dark","")))</f>
        <v/>
      </c>
      <c r="P529">
        <f>_xlfn.XLOOKUP(Orders[[#This Row],[Customer ID]],customers!$A$1:$A$1001,customers!$I$1:$I$1001,,0)</f>
        <v/>
      </c>
    </row>
    <row r="530">
      <c r="A530" s="2" t="inlineStr">
        <is>
          <t>O7435</t>
        </is>
      </c>
      <c r="B530" s="3" t="inlineStr">
        <is>
          <t>2020-02-16</t>
        </is>
      </c>
      <c r="C530" s="2" t="inlineStr">
        <is>
          <t>O7396</t>
        </is>
      </c>
      <c r="D530" t="inlineStr">
        <is>
          <t>O8737</t>
        </is>
      </c>
      <c r="E530" s="2" t="n">
        <v>490</v>
      </c>
      <c r="F530" s="2">
        <f>_xlfn.XLOOKUP(C530,customers!$A$1:$A$1001,customers!$B$1:$B$1001,,0)</f>
        <v/>
      </c>
      <c r="G530" s="2">
        <f>IF(_xlfn.XLOOKUP(C530,customers!$A$1:$A$1001,customers!$C$1:$C$1001,,0)=0,"",_xlfn.XLOOKUP(C530,customers!$A$1:$A$1001,customers!$C$1:$C$1001,,0))</f>
        <v/>
      </c>
      <c r="H530" s="2">
        <f>_xlfn.XLOOKUP(C530,customers!$A$1:$A$1001,customers!$G$1:$G$1001,,0)</f>
        <v/>
      </c>
      <c r="I530">
        <f>INDEX(products!$A$1:$G$49,MATCH(orders!$D530,products!$A$1:$A$49,0),MATCH(orders!I$1,products!$A$1:$G$1,0))</f>
        <v/>
      </c>
      <c r="J530">
        <f>INDEX(products!$A$1:$G$49,MATCH(orders!$D530,products!$A$1:$A$49,0),MATCH(orders!J$1,products!$A$1:$G$1,0))</f>
        <v/>
      </c>
      <c r="K530" s="4">
        <f>INDEX(products!$A$1:$G$49,MATCH(orders!$D530,products!$A$1:$A$49,0),MATCH(orders!K$1,products!$A$1:$G$1,0))</f>
        <v/>
      </c>
      <c r="L530" s="5">
        <f>INDEX(products!$A$1:$G$49,MATCH(orders!$D530,products!$A$1:$A$49,0),MATCH(orders!L$1,products!$A$1:$G$1,0))</f>
        <v/>
      </c>
      <c r="M530" s="5">
        <f>L530*E530</f>
        <v/>
      </c>
      <c r="N530">
        <f>IF(I530="Rob","Robusta",IF(I530="Exc","Excelsa",IF(I530="Ara","Arabica",IF(I530="Lib","Liberica",""))))</f>
        <v/>
      </c>
      <c r="O530">
        <f>IF(J530="M","Medium",IF(J530="L","Light",IF(J530="D","Dark","")))</f>
        <v/>
      </c>
      <c r="P530">
        <f>_xlfn.XLOOKUP(Orders[[#This Row],[Customer ID]],customers!$A$1:$A$1001,customers!$I$1:$I$1001,,0)</f>
        <v/>
      </c>
    </row>
    <row r="531">
      <c r="A531" s="2" t="inlineStr">
        <is>
          <t>O5091</t>
        </is>
      </c>
      <c r="B531" s="3" t="inlineStr">
        <is>
          <t>2022-12-17</t>
        </is>
      </c>
      <c r="C531" s="2" t="inlineStr">
        <is>
          <t>O2268</t>
        </is>
      </c>
      <c r="D531" t="inlineStr">
        <is>
          <t>O2391</t>
        </is>
      </c>
      <c r="E531" s="2" t="n">
        <v>460</v>
      </c>
      <c r="F531" s="2">
        <f>_xlfn.XLOOKUP(C531,customers!$A$1:$A$1001,customers!$B$1:$B$1001,,0)</f>
        <v/>
      </c>
      <c r="G531" s="2">
        <f>IF(_xlfn.XLOOKUP(C531,customers!$A$1:$A$1001,customers!$C$1:$C$1001,,0)=0,"",_xlfn.XLOOKUP(C531,customers!$A$1:$A$1001,customers!$C$1:$C$1001,,0))</f>
        <v/>
      </c>
      <c r="H531" s="2">
        <f>_xlfn.XLOOKUP(C531,customers!$A$1:$A$1001,customers!$G$1:$G$1001,,0)</f>
        <v/>
      </c>
      <c r="I531">
        <f>INDEX(products!$A$1:$G$49,MATCH(orders!$D531,products!$A$1:$A$49,0),MATCH(orders!I$1,products!$A$1:$G$1,0))</f>
        <v/>
      </c>
      <c r="J531">
        <f>INDEX(products!$A$1:$G$49,MATCH(orders!$D531,products!$A$1:$A$49,0),MATCH(orders!J$1,products!$A$1:$G$1,0))</f>
        <v/>
      </c>
      <c r="K531" s="4">
        <f>INDEX(products!$A$1:$G$49,MATCH(orders!$D531,products!$A$1:$A$49,0),MATCH(orders!K$1,products!$A$1:$G$1,0))</f>
        <v/>
      </c>
      <c r="L531" s="5">
        <f>INDEX(products!$A$1:$G$49,MATCH(orders!$D531,products!$A$1:$A$49,0),MATCH(orders!L$1,products!$A$1:$G$1,0))</f>
        <v/>
      </c>
      <c r="M531" s="5">
        <f>L531*E531</f>
        <v/>
      </c>
      <c r="N531">
        <f>IF(I531="Rob","Robusta",IF(I531="Exc","Excelsa",IF(I531="Ara","Arabica",IF(I531="Lib","Liberica",""))))</f>
        <v/>
      </c>
      <c r="O531">
        <f>IF(J531="M","Medium",IF(J531="L","Light",IF(J531="D","Dark","")))</f>
        <v/>
      </c>
      <c r="P531">
        <f>_xlfn.XLOOKUP(Orders[[#This Row],[Customer ID]],customers!$A$1:$A$1001,customers!$I$1:$I$1001,,0)</f>
        <v/>
      </c>
    </row>
    <row r="532">
      <c r="A532" s="2" t="inlineStr">
        <is>
          <t>O8342</t>
        </is>
      </c>
      <c r="B532" s="3" t="inlineStr">
        <is>
          <t>2024-09-06</t>
        </is>
      </c>
      <c r="C532" s="2" t="inlineStr">
        <is>
          <t>O6873</t>
        </is>
      </c>
      <c r="D532" t="inlineStr">
        <is>
          <t>O1544</t>
        </is>
      </c>
      <c r="E532" s="2" t="n">
        <v>233</v>
      </c>
      <c r="F532" s="2">
        <f>_xlfn.XLOOKUP(C532,customers!$A$1:$A$1001,customers!$B$1:$B$1001,,0)</f>
        <v/>
      </c>
      <c r="G532" s="2">
        <f>IF(_xlfn.XLOOKUP(C532,customers!$A$1:$A$1001,customers!$C$1:$C$1001,,0)=0,"",_xlfn.XLOOKUP(C532,customers!$A$1:$A$1001,customers!$C$1:$C$1001,,0))</f>
        <v/>
      </c>
      <c r="H532" s="2">
        <f>_xlfn.XLOOKUP(C532,customers!$A$1:$A$1001,customers!$G$1:$G$1001,,0)</f>
        <v/>
      </c>
      <c r="I532">
        <f>INDEX(products!$A$1:$G$49,MATCH(orders!$D532,products!$A$1:$A$49,0),MATCH(orders!I$1,products!$A$1:$G$1,0))</f>
        <v/>
      </c>
      <c r="J532">
        <f>INDEX(products!$A$1:$G$49,MATCH(orders!$D532,products!$A$1:$A$49,0),MATCH(orders!J$1,products!$A$1:$G$1,0))</f>
        <v/>
      </c>
      <c r="K532" s="4">
        <f>INDEX(products!$A$1:$G$49,MATCH(orders!$D532,products!$A$1:$A$49,0),MATCH(orders!K$1,products!$A$1:$G$1,0))</f>
        <v/>
      </c>
      <c r="L532" s="5">
        <f>INDEX(products!$A$1:$G$49,MATCH(orders!$D532,products!$A$1:$A$49,0),MATCH(orders!L$1,products!$A$1:$G$1,0))</f>
        <v/>
      </c>
      <c r="M532" s="5">
        <f>L532*E532</f>
        <v/>
      </c>
      <c r="N532">
        <f>IF(I532="Rob","Robusta",IF(I532="Exc","Excelsa",IF(I532="Ara","Arabica",IF(I532="Lib","Liberica",""))))</f>
        <v/>
      </c>
      <c r="O532">
        <f>IF(J532="M","Medium",IF(J532="L","Light",IF(J532="D","Dark","")))</f>
        <v/>
      </c>
      <c r="P532">
        <f>_xlfn.XLOOKUP(Orders[[#This Row],[Customer ID]],customers!$A$1:$A$1001,customers!$I$1:$I$1001,,0)</f>
        <v/>
      </c>
    </row>
    <row r="533">
      <c r="A533" s="2" t="inlineStr">
        <is>
          <t>O5241</t>
        </is>
      </c>
      <c r="B533" s="3" t="inlineStr">
        <is>
          <t>2022-03-10</t>
        </is>
      </c>
      <c r="C533" s="2" t="inlineStr">
        <is>
          <t>O3062</t>
        </is>
      </c>
      <c r="D533" t="inlineStr">
        <is>
          <t>O1832</t>
        </is>
      </c>
      <c r="E533" s="2" t="n">
        <v>321</v>
      </c>
      <c r="F533" s="2">
        <f>_xlfn.XLOOKUP(C533,customers!$A$1:$A$1001,customers!$B$1:$B$1001,,0)</f>
        <v/>
      </c>
      <c r="G533" s="2">
        <f>IF(_xlfn.XLOOKUP(C533,customers!$A$1:$A$1001,customers!$C$1:$C$1001,,0)=0,"",_xlfn.XLOOKUP(C533,customers!$A$1:$A$1001,customers!$C$1:$C$1001,,0))</f>
        <v/>
      </c>
      <c r="H533" s="2">
        <f>_xlfn.XLOOKUP(C533,customers!$A$1:$A$1001,customers!$G$1:$G$1001,,0)</f>
        <v/>
      </c>
      <c r="I533">
        <f>INDEX(products!$A$1:$G$49,MATCH(orders!$D533,products!$A$1:$A$49,0),MATCH(orders!I$1,products!$A$1:$G$1,0))</f>
        <v/>
      </c>
      <c r="J533">
        <f>INDEX(products!$A$1:$G$49,MATCH(orders!$D533,products!$A$1:$A$49,0),MATCH(orders!J$1,products!$A$1:$G$1,0))</f>
        <v/>
      </c>
      <c r="K533" s="4">
        <f>INDEX(products!$A$1:$G$49,MATCH(orders!$D533,products!$A$1:$A$49,0),MATCH(orders!K$1,products!$A$1:$G$1,0))</f>
        <v/>
      </c>
      <c r="L533" s="5">
        <f>INDEX(products!$A$1:$G$49,MATCH(orders!$D533,products!$A$1:$A$49,0),MATCH(orders!L$1,products!$A$1:$G$1,0))</f>
        <v/>
      </c>
      <c r="M533" s="5">
        <f>L533*E533</f>
        <v/>
      </c>
      <c r="N533">
        <f>IF(I533="Rob","Robusta",IF(I533="Exc","Excelsa",IF(I533="Ara","Arabica",IF(I533="Lib","Liberica",""))))</f>
        <v/>
      </c>
      <c r="O533">
        <f>IF(J533="M","Medium",IF(J533="L","Light",IF(J533="D","Dark","")))</f>
        <v/>
      </c>
      <c r="P533">
        <f>_xlfn.XLOOKUP(Orders[[#This Row],[Customer ID]],customers!$A$1:$A$1001,customers!$I$1:$I$1001,,0)</f>
        <v/>
      </c>
    </row>
    <row r="534">
      <c r="A534" s="2" t="inlineStr">
        <is>
          <t>O4093</t>
        </is>
      </c>
      <c r="B534" s="3" t="inlineStr">
        <is>
          <t>2022-12-17</t>
        </is>
      </c>
      <c r="C534" s="2" t="inlineStr">
        <is>
          <t>O6854</t>
        </is>
      </c>
      <c r="D534" t="inlineStr">
        <is>
          <t>O8025</t>
        </is>
      </c>
      <c r="E534" s="2" t="n">
        <v>345</v>
      </c>
      <c r="F534" s="2">
        <f>_xlfn.XLOOKUP(C534,customers!$A$1:$A$1001,customers!$B$1:$B$1001,,0)</f>
        <v/>
      </c>
      <c r="G534" s="2">
        <f>IF(_xlfn.XLOOKUP(C534,customers!$A$1:$A$1001,customers!$C$1:$C$1001,,0)=0,"",_xlfn.XLOOKUP(C534,customers!$A$1:$A$1001,customers!$C$1:$C$1001,,0))</f>
        <v/>
      </c>
      <c r="H534" s="2">
        <f>_xlfn.XLOOKUP(C534,customers!$A$1:$A$1001,customers!$G$1:$G$1001,,0)</f>
        <v/>
      </c>
      <c r="I534">
        <f>INDEX(products!$A$1:$G$49,MATCH(orders!$D534,products!$A$1:$A$49,0),MATCH(orders!I$1,products!$A$1:$G$1,0))</f>
        <v/>
      </c>
      <c r="J534">
        <f>INDEX(products!$A$1:$G$49,MATCH(orders!$D534,products!$A$1:$A$49,0),MATCH(orders!J$1,products!$A$1:$G$1,0))</f>
        <v/>
      </c>
      <c r="K534" s="4">
        <f>INDEX(products!$A$1:$G$49,MATCH(orders!$D534,products!$A$1:$A$49,0),MATCH(orders!K$1,products!$A$1:$G$1,0))</f>
        <v/>
      </c>
      <c r="L534" s="5">
        <f>INDEX(products!$A$1:$G$49,MATCH(orders!$D534,products!$A$1:$A$49,0),MATCH(orders!L$1,products!$A$1:$G$1,0))</f>
        <v/>
      </c>
      <c r="M534" s="5">
        <f>L534*E534</f>
        <v/>
      </c>
      <c r="N534">
        <f>IF(I534="Rob","Robusta",IF(I534="Exc","Excelsa",IF(I534="Ara","Arabica",IF(I534="Lib","Liberica",""))))</f>
        <v/>
      </c>
      <c r="O534">
        <f>IF(J534="M","Medium",IF(J534="L","Light",IF(J534="D","Dark","")))</f>
        <v/>
      </c>
      <c r="P534">
        <f>_xlfn.XLOOKUP(Orders[[#This Row],[Customer ID]],customers!$A$1:$A$1001,customers!$I$1:$I$1001,,0)</f>
        <v/>
      </c>
    </row>
    <row r="535">
      <c r="A535" s="2" t="inlineStr">
        <is>
          <t>O8123</t>
        </is>
      </c>
      <c r="B535" s="3" t="inlineStr">
        <is>
          <t>2020-02-23</t>
        </is>
      </c>
      <c r="C535" s="2" t="inlineStr">
        <is>
          <t>O1624</t>
        </is>
      </c>
      <c r="D535" t="inlineStr">
        <is>
          <t>O5406</t>
        </is>
      </c>
      <c r="E535" s="2" t="n">
        <v>269</v>
      </c>
      <c r="F535" s="2">
        <f>_xlfn.XLOOKUP(C535,customers!$A$1:$A$1001,customers!$B$1:$B$1001,,0)</f>
        <v/>
      </c>
      <c r="G535" s="2">
        <f>IF(_xlfn.XLOOKUP(C535,customers!$A$1:$A$1001,customers!$C$1:$C$1001,,0)=0,"",_xlfn.XLOOKUP(C535,customers!$A$1:$A$1001,customers!$C$1:$C$1001,,0))</f>
        <v/>
      </c>
      <c r="H535" s="2">
        <f>_xlfn.XLOOKUP(C535,customers!$A$1:$A$1001,customers!$G$1:$G$1001,,0)</f>
        <v/>
      </c>
      <c r="I535">
        <f>INDEX(products!$A$1:$G$49,MATCH(orders!$D535,products!$A$1:$A$49,0),MATCH(orders!I$1,products!$A$1:$G$1,0))</f>
        <v/>
      </c>
      <c r="J535">
        <f>INDEX(products!$A$1:$G$49,MATCH(orders!$D535,products!$A$1:$A$49,0),MATCH(orders!J$1,products!$A$1:$G$1,0))</f>
        <v/>
      </c>
      <c r="K535" s="4">
        <f>INDEX(products!$A$1:$G$49,MATCH(orders!$D535,products!$A$1:$A$49,0),MATCH(orders!K$1,products!$A$1:$G$1,0))</f>
        <v/>
      </c>
      <c r="L535" s="5">
        <f>INDEX(products!$A$1:$G$49,MATCH(orders!$D535,products!$A$1:$A$49,0),MATCH(orders!L$1,products!$A$1:$G$1,0))</f>
        <v/>
      </c>
      <c r="M535" s="5">
        <f>L535*E535</f>
        <v/>
      </c>
      <c r="N535">
        <f>IF(I535="Rob","Robusta",IF(I535="Exc","Excelsa",IF(I535="Ara","Arabica",IF(I535="Lib","Liberica",""))))</f>
        <v/>
      </c>
      <c r="O535">
        <f>IF(J535="M","Medium",IF(J535="L","Light",IF(J535="D","Dark","")))</f>
        <v/>
      </c>
      <c r="P535">
        <f>_xlfn.XLOOKUP(Orders[[#This Row],[Customer ID]],customers!$A$1:$A$1001,customers!$I$1:$I$1001,,0)</f>
        <v/>
      </c>
    </row>
    <row r="536">
      <c r="A536" s="2" t="inlineStr">
        <is>
          <t>O3338</t>
        </is>
      </c>
      <c r="B536" s="3" t="inlineStr">
        <is>
          <t>2022-08-17</t>
        </is>
      </c>
      <c r="C536" s="2" t="inlineStr">
        <is>
          <t>O6016</t>
        </is>
      </c>
      <c r="D536" t="inlineStr">
        <is>
          <t>O8600</t>
        </is>
      </c>
      <c r="E536" s="2" t="n">
        <v>272</v>
      </c>
      <c r="F536" s="2">
        <f>_xlfn.XLOOKUP(C536,customers!$A$1:$A$1001,customers!$B$1:$B$1001,,0)</f>
        <v/>
      </c>
      <c r="G536" s="2">
        <f>IF(_xlfn.XLOOKUP(C536,customers!$A$1:$A$1001,customers!$C$1:$C$1001,,0)=0,"",_xlfn.XLOOKUP(C536,customers!$A$1:$A$1001,customers!$C$1:$C$1001,,0))</f>
        <v/>
      </c>
      <c r="H536" s="2">
        <f>_xlfn.XLOOKUP(C536,customers!$A$1:$A$1001,customers!$G$1:$G$1001,,0)</f>
        <v/>
      </c>
      <c r="I536">
        <f>INDEX(products!$A$1:$G$49,MATCH(orders!$D536,products!$A$1:$A$49,0),MATCH(orders!I$1,products!$A$1:$G$1,0))</f>
        <v/>
      </c>
      <c r="J536">
        <f>INDEX(products!$A$1:$G$49,MATCH(orders!$D536,products!$A$1:$A$49,0),MATCH(orders!J$1,products!$A$1:$G$1,0))</f>
        <v/>
      </c>
      <c r="K536" s="4">
        <f>INDEX(products!$A$1:$G$49,MATCH(orders!$D536,products!$A$1:$A$49,0),MATCH(orders!K$1,products!$A$1:$G$1,0))</f>
        <v/>
      </c>
      <c r="L536" s="5">
        <f>INDEX(products!$A$1:$G$49,MATCH(orders!$D536,products!$A$1:$A$49,0),MATCH(orders!L$1,products!$A$1:$G$1,0))</f>
        <v/>
      </c>
      <c r="M536" s="5">
        <f>L536*E536</f>
        <v/>
      </c>
      <c r="N536">
        <f>IF(I536="Rob","Robusta",IF(I536="Exc","Excelsa",IF(I536="Ara","Arabica",IF(I536="Lib","Liberica",""))))</f>
        <v/>
      </c>
      <c r="O536">
        <f>IF(J536="M","Medium",IF(J536="L","Light",IF(J536="D","Dark","")))</f>
        <v/>
      </c>
      <c r="P536">
        <f>_xlfn.XLOOKUP(Orders[[#This Row],[Customer ID]],customers!$A$1:$A$1001,customers!$I$1:$I$1001,,0)</f>
        <v/>
      </c>
    </row>
    <row r="537">
      <c r="A537" s="2" t="inlineStr">
        <is>
          <t>O7846</t>
        </is>
      </c>
      <c r="B537" s="3" t="inlineStr">
        <is>
          <t>2025-06-06</t>
        </is>
      </c>
      <c r="C537" s="2" t="inlineStr">
        <is>
          <t>O1782</t>
        </is>
      </c>
      <c r="D537" t="inlineStr">
        <is>
          <t>O8775</t>
        </is>
      </c>
      <c r="E537" s="2" t="n">
        <v>169</v>
      </c>
      <c r="F537" s="2">
        <f>_xlfn.XLOOKUP(C537,customers!$A$1:$A$1001,customers!$B$1:$B$1001,,0)</f>
        <v/>
      </c>
      <c r="G537" s="2">
        <f>IF(_xlfn.XLOOKUP(C537,customers!$A$1:$A$1001,customers!$C$1:$C$1001,,0)=0,"",_xlfn.XLOOKUP(C537,customers!$A$1:$A$1001,customers!$C$1:$C$1001,,0))</f>
        <v/>
      </c>
      <c r="H537" s="2">
        <f>_xlfn.XLOOKUP(C537,customers!$A$1:$A$1001,customers!$G$1:$G$1001,,0)</f>
        <v/>
      </c>
      <c r="I537">
        <f>INDEX(products!$A$1:$G$49,MATCH(orders!$D537,products!$A$1:$A$49,0),MATCH(orders!I$1,products!$A$1:$G$1,0))</f>
        <v/>
      </c>
      <c r="J537">
        <f>INDEX(products!$A$1:$G$49,MATCH(orders!$D537,products!$A$1:$A$49,0),MATCH(orders!J$1,products!$A$1:$G$1,0))</f>
        <v/>
      </c>
      <c r="K537" s="4">
        <f>INDEX(products!$A$1:$G$49,MATCH(orders!$D537,products!$A$1:$A$49,0),MATCH(orders!K$1,products!$A$1:$G$1,0))</f>
        <v/>
      </c>
      <c r="L537" s="5">
        <f>INDEX(products!$A$1:$G$49,MATCH(orders!$D537,products!$A$1:$A$49,0),MATCH(orders!L$1,products!$A$1:$G$1,0))</f>
        <v/>
      </c>
      <c r="M537" s="5">
        <f>L537*E537</f>
        <v/>
      </c>
      <c r="N537">
        <f>IF(I537="Rob","Robusta",IF(I537="Exc","Excelsa",IF(I537="Ara","Arabica",IF(I537="Lib","Liberica",""))))</f>
        <v/>
      </c>
      <c r="O537">
        <f>IF(J537="M","Medium",IF(J537="L","Light",IF(J537="D","Dark","")))</f>
        <v/>
      </c>
      <c r="P537">
        <f>_xlfn.XLOOKUP(Orders[[#This Row],[Customer ID]],customers!$A$1:$A$1001,customers!$I$1:$I$1001,,0)</f>
        <v/>
      </c>
    </row>
    <row r="538">
      <c r="A538" s="2" t="inlineStr">
        <is>
          <t>O4006</t>
        </is>
      </c>
      <c r="B538" s="3" t="inlineStr">
        <is>
          <t>2021-10-09</t>
        </is>
      </c>
      <c r="C538" s="2" t="inlineStr">
        <is>
          <t>O3570</t>
        </is>
      </c>
      <c r="D538" t="inlineStr">
        <is>
          <t>O3271</t>
        </is>
      </c>
      <c r="E538" s="2" t="n">
        <v>3</v>
      </c>
      <c r="F538" s="2">
        <f>_xlfn.XLOOKUP(C538,customers!$A$1:$A$1001,customers!$B$1:$B$1001,,0)</f>
        <v/>
      </c>
      <c r="G538" s="2">
        <f>IF(_xlfn.XLOOKUP(C538,customers!$A$1:$A$1001,customers!$C$1:$C$1001,,0)=0,"",_xlfn.XLOOKUP(C538,customers!$A$1:$A$1001,customers!$C$1:$C$1001,,0))</f>
        <v/>
      </c>
      <c r="H538" s="2">
        <f>_xlfn.XLOOKUP(C538,customers!$A$1:$A$1001,customers!$G$1:$G$1001,,0)</f>
        <v/>
      </c>
      <c r="I538">
        <f>INDEX(products!$A$1:$G$49,MATCH(orders!$D538,products!$A$1:$A$49,0),MATCH(orders!I$1,products!$A$1:$G$1,0))</f>
        <v/>
      </c>
      <c r="J538">
        <f>INDEX(products!$A$1:$G$49,MATCH(orders!$D538,products!$A$1:$A$49,0),MATCH(orders!J$1,products!$A$1:$G$1,0))</f>
        <v/>
      </c>
      <c r="K538" s="4">
        <f>INDEX(products!$A$1:$G$49,MATCH(orders!$D538,products!$A$1:$A$49,0),MATCH(orders!K$1,products!$A$1:$G$1,0))</f>
        <v/>
      </c>
      <c r="L538" s="5">
        <f>INDEX(products!$A$1:$G$49,MATCH(orders!$D538,products!$A$1:$A$49,0),MATCH(orders!L$1,products!$A$1:$G$1,0))</f>
        <v/>
      </c>
      <c r="M538" s="5">
        <f>L538*E538</f>
        <v/>
      </c>
      <c r="N538">
        <f>IF(I538="Rob","Robusta",IF(I538="Exc","Excelsa",IF(I538="Ara","Arabica",IF(I538="Lib","Liberica",""))))</f>
        <v/>
      </c>
      <c r="O538">
        <f>IF(J538="M","Medium",IF(J538="L","Light",IF(J538="D","Dark","")))</f>
        <v/>
      </c>
      <c r="P538">
        <f>_xlfn.XLOOKUP(Orders[[#This Row],[Customer ID]],customers!$A$1:$A$1001,customers!$I$1:$I$1001,,0)</f>
        <v/>
      </c>
    </row>
    <row r="539">
      <c r="A539" s="2" t="inlineStr">
        <is>
          <t>O3939</t>
        </is>
      </c>
      <c r="B539" s="3" t="inlineStr">
        <is>
          <t>2025-06-15</t>
        </is>
      </c>
      <c r="C539" s="2" t="inlineStr">
        <is>
          <t>O1836</t>
        </is>
      </c>
      <c r="D539" t="inlineStr">
        <is>
          <t>O5264</t>
        </is>
      </c>
      <c r="E539" s="2" t="n">
        <v>499</v>
      </c>
      <c r="F539" s="2">
        <f>_xlfn.XLOOKUP(C539,customers!$A$1:$A$1001,customers!$B$1:$B$1001,,0)</f>
        <v/>
      </c>
      <c r="G539" s="2">
        <f>IF(_xlfn.XLOOKUP(C539,customers!$A$1:$A$1001,customers!$C$1:$C$1001,,0)=0,"",_xlfn.XLOOKUP(C539,customers!$A$1:$A$1001,customers!$C$1:$C$1001,,0))</f>
        <v/>
      </c>
      <c r="H539" s="2">
        <f>_xlfn.XLOOKUP(C539,customers!$A$1:$A$1001,customers!$G$1:$G$1001,,0)</f>
        <v/>
      </c>
      <c r="I539">
        <f>INDEX(products!$A$1:$G$49,MATCH(orders!$D539,products!$A$1:$A$49,0),MATCH(orders!I$1,products!$A$1:$G$1,0))</f>
        <v/>
      </c>
      <c r="J539">
        <f>INDEX(products!$A$1:$G$49,MATCH(orders!$D539,products!$A$1:$A$49,0),MATCH(orders!J$1,products!$A$1:$G$1,0))</f>
        <v/>
      </c>
      <c r="K539" s="4">
        <f>INDEX(products!$A$1:$G$49,MATCH(orders!$D539,products!$A$1:$A$49,0),MATCH(orders!K$1,products!$A$1:$G$1,0))</f>
        <v/>
      </c>
      <c r="L539" s="5">
        <f>INDEX(products!$A$1:$G$49,MATCH(orders!$D539,products!$A$1:$A$49,0),MATCH(orders!L$1,products!$A$1:$G$1,0))</f>
        <v/>
      </c>
      <c r="M539" s="5">
        <f>L539*E539</f>
        <v/>
      </c>
      <c r="N539">
        <f>IF(I539="Rob","Robusta",IF(I539="Exc","Excelsa",IF(I539="Ara","Arabica",IF(I539="Lib","Liberica",""))))</f>
        <v/>
      </c>
      <c r="O539">
        <f>IF(J539="M","Medium",IF(J539="L","Light",IF(J539="D","Dark","")))</f>
        <v/>
      </c>
      <c r="P539">
        <f>_xlfn.XLOOKUP(Orders[[#This Row],[Customer ID]],customers!$A$1:$A$1001,customers!$I$1:$I$1001,,0)</f>
        <v/>
      </c>
    </row>
    <row r="540">
      <c r="A540" s="2" t="inlineStr">
        <is>
          <t>O5983</t>
        </is>
      </c>
      <c r="B540" s="3" t="inlineStr">
        <is>
          <t>2024-08-28</t>
        </is>
      </c>
      <c r="C540" s="2" t="inlineStr">
        <is>
          <t>O9478</t>
        </is>
      </c>
      <c r="D540" t="inlineStr">
        <is>
          <t>O9726</t>
        </is>
      </c>
      <c r="E540" s="2" t="n">
        <v>89</v>
      </c>
      <c r="F540" s="2">
        <f>_xlfn.XLOOKUP(C540,customers!$A$1:$A$1001,customers!$B$1:$B$1001,,0)</f>
        <v/>
      </c>
      <c r="G540" s="2">
        <f>IF(_xlfn.XLOOKUP(C540,customers!$A$1:$A$1001,customers!$C$1:$C$1001,,0)=0,"",_xlfn.XLOOKUP(C540,customers!$A$1:$A$1001,customers!$C$1:$C$1001,,0))</f>
        <v/>
      </c>
      <c r="H540" s="2">
        <f>_xlfn.XLOOKUP(C540,customers!$A$1:$A$1001,customers!$G$1:$G$1001,,0)</f>
        <v/>
      </c>
      <c r="I540">
        <f>INDEX(products!$A$1:$G$49,MATCH(orders!$D540,products!$A$1:$A$49,0),MATCH(orders!I$1,products!$A$1:$G$1,0))</f>
        <v/>
      </c>
      <c r="J540">
        <f>INDEX(products!$A$1:$G$49,MATCH(orders!$D540,products!$A$1:$A$49,0),MATCH(orders!J$1,products!$A$1:$G$1,0))</f>
        <v/>
      </c>
      <c r="K540" s="4">
        <f>INDEX(products!$A$1:$G$49,MATCH(orders!$D540,products!$A$1:$A$49,0),MATCH(orders!K$1,products!$A$1:$G$1,0))</f>
        <v/>
      </c>
      <c r="L540" s="5">
        <f>INDEX(products!$A$1:$G$49,MATCH(orders!$D540,products!$A$1:$A$49,0),MATCH(orders!L$1,products!$A$1:$G$1,0))</f>
        <v/>
      </c>
      <c r="M540" s="5">
        <f>L540*E540</f>
        <v/>
      </c>
      <c r="N540">
        <f>IF(I540="Rob","Robusta",IF(I540="Exc","Excelsa",IF(I540="Ara","Arabica",IF(I540="Lib","Liberica",""))))</f>
        <v/>
      </c>
      <c r="O540">
        <f>IF(J540="M","Medium",IF(J540="L","Light",IF(J540="D","Dark","")))</f>
        <v/>
      </c>
      <c r="P540">
        <f>_xlfn.XLOOKUP(Orders[[#This Row],[Customer ID]],customers!$A$1:$A$1001,customers!$I$1:$I$1001,,0)</f>
        <v/>
      </c>
    </row>
    <row r="541">
      <c r="A541" s="2" t="inlineStr">
        <is>
          <t>O2634</t>
        </is>
      </c>
      <c r="B541" s="3" t="inlineStr">
        <is>
          <t>2022-06-01</t>
        </is>
      </c>
      <c r="C541" s="2" t="inlineStr">
        <is>
          <t>O5956</t>
        </is>
      </c>
      <c r="D541" t="inlineStr">
        <is>
          <t>O9967</t>
        </is>
      </c>
      <c r="E541" s="2" t="n">
        <v>317</v>
      </c>
      <c r="F541" s="2">
        <f>_xlfn.XLOOKUP(C541,customers!$A$1:$A$1001,customers!$B$1:$B$1001,,0)</f>
        <v/>
      </c>
      <c r="G541" s="2">
        <f>IF(_xlfn.XLOOKUP(C541,customers!$A$1:$A$1001,customers!$C$1:$C$1001,,0)=0,"",_xlfn.XLOOKUP(C541,customers!$A$1:$A$1001,customers!$C$1:$C$1001,,0))</f>
        <v/>
      </c>
      <c r="H541" s="2">
        <f>_xlfn.XLOOKUP(C541,customers!$A$1:$A$1001,customers!$G$1:$G$1001,,0)</f>
        <v/>
      </c>
      <c r="I541">
        <f>INDEX(products!$A$1:$G$49,MATCH(orders!$D541,products!$A$1:$A$49,0),MATCH(orders!I$1,products!$A$1:$G$1,0))</f>
        <v/>
      </c>
      <c r="J541">
        <f>INDEX(products!$A$1:$G$49,MATCH(orders!$D541,products!$A$1:$A$49,0),MATCH(orders!J$1,products!$A$1:$G$1,0))</f>
        <v/>
      </c>
      <c r="K541" s="4">
        <f>INDEX(products!$A$1:$G$49,MATCH(orders!$D541,products!$A$1:$A$49,0),MATCH(orders!K$1,products!$A$1:$G$1,0))</f>
        <v/>
      </c>
      <c r="L541" s="5">
        <f>INDEX(products!$A$1:$G$49,MATCH(orders!$D541,products!$A$1:$A$49,0),MATCH(orders!L$1,products!$A$1:$G$1,0))</f>
        <v/>
      </c>
      <c r="M541" s="5">
        <f>L541*E541</f>
        <v/>
      </c>
      <c r="N541">
        <f>IF(I541="Rob","Robusta",IF(I541="Exc","Excelsa",IF(I541="Ara","Arabica",IF(I541="Lib","Liberica",""))))</f>
        <v/>
      </c>
      <c r="O541">
        <f>IF(J541="M","Medium",IF(J541="L","Light",IF(J541="D","Dark","")))</f>
        <v/>
      </c>
      <c r="P541">
        <f>_xlfn.XLOOKUP(Orders[[#This Row],[Customer ID]],customers!$A$1:$A$1001,customers!$I$1:$I$1001,,0)</f>
        <v/>
      </c>
    </row>
    <row r="542">
      <c r="A542" s="2" t="inlineStr">
        <is>
          <t>O6229</t>
        </is>
      </c>
      <c r="B542" s="3" t="inlineStr">
        <is>
          <t>2023-06-30</t>
        </is>
      </c>
      <c r="C542" s="2" t="inlineStr">
        <is>
          <t>O9750</t>
        </is>
      </c>
      <c r="D542" t="inlineStr">
        <is>
          <t>O7503</t>
        </is>
      </c>
      <c r="E542" s="2" t="n">
        <v>438</v>
      </c>
      <c r="F542" s="2">
        <f>_xlfn.XLOOKUP(C542,customers!$A$1:$A$1001,customers!$B$1:$B$1001,,0)</f>
        <v/>
      </c>
      <c r="G542" s="2">
        <f>IF(_xlfn.XLOOKUP(C542,customers!$A$1:$A$1001,customers!$C$1:$C$1001,,0)=0,"",_xlfn.XLOOKUP(C542,customers!$A$1:$A$1001,customers!$C$1:$C$1001,,0))</f>
        <v/>
      </c>
      <c r="H542" s="2">
        <f>_xlfn.XLOOKUP(C542,customers!$A$1:$A$1001,customers!$G$1:$G$1001,,0)</f>
        <v/>
      </c>
      <c r="I542">
        <f>INDEX(products!$A$1:$G$49,MATCH(orders!$D542,products!$A$1:$A$49,0),MATCH(orders!I$1,products!$A$1:$G$1,0))</f>
        <v/>
      </c>
      <c r="J542">
        <f>INDEX(products!$A$1:$G$49,MATCH(orders!$D542,products!$A$1:$A$49,0),MATCH(orders!J$1,products!$A$1:$G$1,0))</f>
        <v/>
      </c>
      <c r="K542" s="4">
        <f>INDEX(products!$A$1:$G$49,MATCH(orders!$D542,products!$A$1:$A$49,0),MATCH(orders!K$1,products!$A$1:$G$1,0))</f>
        <v/>
      </c>
      <c r="L542" s="5">
        <f>INDEX(products!$A$1:$G$49,MATCH(orders!$D542,products!$A$1:$A$49,0),MATCH(orders!L$1,products!$A$1:$G$1,0))</f>
        <v/>
      </c>
      <c r="M542" s="5">
        <f>L542*E542</f>
        <v/>
      </c>
      <c r="N542">
        <f>IF(I542="Rob","Robusta",IF(I542="Exc","Excelsa",IF(I542="Ara","Arabica",IF(I542="Lib","Liberica",""))))</f>
        <v/>
      </c>
      <c r="O542">
        <f>IF(J542="M","Medium",IF(J542="L","Light",IF(J542="D","Dark","")))</f>
        <v/>
      </c>
      <c r="P542">
        <f>_xlfn.XLOOKUP(Orders[[#This Row],[Customer ID]],customers!$A$1:$A$1001,customers!$I$1:$I$1001,,0)</f>
        <v/>
      </c>
    </row>
    <row r="543">
      <c r="A543" s="2" t="inlineStr">
        <is>
          <t>O6496</t>
        </is>
      </c>
      <c r="B543" s="3" t="inlineStr">
        <is>
          <t>2022-01-27</t>
        </is>
      </c>
      <c r="C543" s="2" t="inlineStr">
        <is>
          <t>O3128</t>
        </is>
      </c>
      <c r="D543" t="inlineStr">
        <is>
          <t>O5342</t>
        </is>
      </c>
      <c r="E543" s="2" t="n">
        <v>395</v>
      </c>
      <c r="F543" s="2">
        <f>_xlfn.XLOOKUP(C543,customers!$A$1:$A$1001,customers!$B$1:$B$1001,,0)</f>
        <v/>
      </c>
      <c r="G543" s="2">
        <f>IF(_xlfn.XLOOKUP(C543,customers!$A$1:$A$1001,customers!$C$1:$C$1001,,0)=0,"",_xlfn.XLOOKUP(C543,customers!$A$1:$A$1001,customers!$C$1:$C$1001,,0))</f>
        <v/>
      </c>
      <c r="H543" s="2">
        <f>_xlfn.XLOOKUP(C543,customers!$A$1:$A$1001,customers!$G$1:$G$1001,,0)</f>
        <v/>
      </c>
      <c r="I543">
        <f>INDEX(products!$A$1:$G$49,MATCH(orders!$D543,products!$A$1:$A$49,0),MATCH(orders!I$1,products!$A$1:$G$1,0))</f>
        <v/>
      </c>
      <c r="J543">
        <f>INDEX(products!$A$1:$G$49,MATCH(orders!$D543,products!$A$1:$A$49,0),MATCH(orders!J$1,products!$A$1:$G$1,0))</f>
        <v/>
      </c>
      <c r="K543" s="4">
        <f>INDEX(products!$A$1:$G$49,MATCH(orders!$D543,products!$A$1:$A$49,0),MATCH(orders!K$1,products!$A$1:$G$1,0))</f>
        <v/>
      </c>
      <c r="L543" s="5">
        <f>INDEX(products!$A$1:$G$49,MATCH(orders!$D543,products!$A$1:$A$49,0),MATCH(orders!L$1,products!$A$1:$G$1,0))</f>
        <v/>
      </c>
      <c r="M543" s="5">
        <f>L543*E543</f>
        <v/>
      </c>
      <c r="N543">
        <f>IF(I543="Rob","Robusta",IF(I543="Exc","Excelsa",IF(I543="Ara","Arabica",IF(I543="Lib","Liberica",""))))</f>
        <v/>
      </c>
      <c r="O543">
        <f>IF(J543="M","Medium",IF(J543="L","Light",IF(J543="D","Dark","")))</f>
        <v/>
      </c>
      <c r="P543">
        <f>_xlfn.XLOOKUP(Orders[[#This Row],[Customer ID]],customers!$A$1:$A$1001,customers!$I$1:$I$1001,,0)</f>
        <v/>
      </c>
    </row>
    <row r="544">
      <c r="A544" s="2" t="inlineStr">
        <is>
          <t>O2576</t>
        </is>
      </c>
      <c r="B544" s="3" t="inlineStr">
        <is>
          <t>2023-10-13</t>
        </is>
      </c>
      <c r="C544" s="2" t="inlineStr">
        <is>
          <t>O5687</t>
        </is>
      </c>
      <c r="D544" t="inlineStr">
        <is>
          <t>O3409</t>
        </is>
      </c>
      <c r="E544" s="2" t="n">
        <v>404</v>
      </c>
      <c r="F544" s="2">
        <f>_xlfn.XLOOKUP(C544,customers!$A$1:$A$1001,customers!$B$1:$B$1001,,0)</f>
        <v/>
      </c>
      <c r="G544" s="2">
        <f>IF(_xlfn.XLOOKUP(C544,customers!$A$1:$A$1001,customers!$C$1:$C$1001,,0)=0,"",_xlfn.XLOOKUP(C544,customers!$A$1:$A$1001,customers!$C$1:$C$1001,,0))</f>
        <v/>
      </c>
      <c r="H544" s="2">
        <f>_xlfn.XLOOKUP(C544,customers!$A$1:$A$1001,customers!$G$1:$G$1001,,0)</f>
        <v/>
      </c>
      <c r="I544">
        <f>INDEX(products!$A$1:$G$49,MATCH(orders!$D544,products!$A$1:$A$49,0),MATCH(orders!I$1,products!$A$1:$G$1,0))</f>
        <v/>
      </c>
      <c r="J544">
        <f>INDEX(products!$A$1:$G$49,MATCH(orders!$D544,products!$A$1:$A$49,0),MATCH(orders!J$1,products!$A$1:$G$1,0))</f>
        <v/>
      </c>
      <c r="K544" s="4">
        <f>INDEX(products!$A$1:$G$49,MATCH(orders!$D544,products!$A$1:$A$49,0),MATCH(orders!K$1,products!$A$1:$G$1,0))</f>
        <v/>
      </c>
      <c r="L544" s="5">
        <f>INDEX(products!$A$1:$G$49,MATCH(orders!$D544,products!$A$1:$A$49,0),MATCH(orders!L$1,products!$A$1:$G$1,0))</f>
        <v/>
      </c>
      <c r="M544" s="5">
        <f>L544*E544</f>
        <v/>
      </c>
      <c r="N544">
        <f>IF(I544="Rob","Robusta",IF(I544="Exc","Excelsa",IF(I544="Ara","Arabica",IF(I544="Lib","Liberica",""))))</f>
        <v/>
      </c>
      <c r="O544">
        <f>IF(J544="M","Medium",IF(J544="L","Light",IF(J544="D","Dark","")))</f>
        <v/>
      </c>
      <c r="P544">
        <f>_xlfn.XLOOKUP(Orders[[#This Row],[Customer ID]],customers!$A$1:$A$1001,customers!$I$1:$I$1001,,0)</f>
        <v/>
      </c>
    </row>
    <row r="545">
      <c r="A545" s="2" t="inlineStr">
        <is>
          <t>O3856</t>
        </is>
      </c>
      <c r="B545" s="3" t="inlineStr">
        <is>
          <t>2021-09-30</t>
        </is>
      </c>
      <c r="C545" s="2" t="inlineStr">
        <is>
          <t>O3818</t>
        </is>
      </c>
      <c r="D545" t="inlineStr">
        <is>
          <t>O9474</t>
        </is>
      </c>
      <c r="E545" s="2" t="n">
        <v>104</v>
      </c>
      <c r="F545" s="2">
        <f>_xlfn.XLOOKUP(C545,customers!$A$1:$A$1001,customers!$B$1:$B$1001,,0)</f>
        <v/>
      </c>
      <c r="G545" s="2">
        <f>IF(_xlfn.XLOOKUP(C545,customers!$A$1:$A$1001,customers!$C$1:$C$1001,,0)=0,"",_xlfn.XLOOKUP(C545,customers!$A$1:$A$1001,customers!$C$1:$C$1001,,0))</f>
        <v/>
      </c>
      <c r="H545" s="2">
        <f>_xlfn.XLOOKUP(C545,customers!$A$1:$A$1001,customers!$G$1:$G$1001,,0)</f>
        <v/>
      </c>
      <c r="I545">
        <f>INDEX(products!$A$1:$G$49,MATCH(orders!$D545,products!$A$1:$A$49,0),MATCH(orders!I$1,products!$A$1:$G$1,0))</f>
        <v/>
      </c>
      <c r="J545">
        <f>INDEX(products!$A$1:$G$49,MATCH(orders!$D545,products!$A$1:$A$49,0),MATCH(orders!J$1,products!$A$1:$G$1,0))</f>
        <v/>
      </c>
      <c r="K545" s="4">
        <f>INDEX(products!$A$1:$G$49,MATCH(orders!$D545,products!$A$1:$A$49,0),MATCH(orders!K$1,products!$A$1:$G$1,0))</f>
        <v/>
      </c>
      <c r="L545" s="5">
        <f>INDEX(products!$A$1:$G$49,MATCH(orders!$D545,products!$A$1:$A$49,0),MATCH(orders!L$1,products!$A$1:$G$1,0))</f>
        <v/>
      </c>
      <c r="M545" s="5">
        <f>L545*E545</f>
        <v/>
      </c>
      <c r="N545">
        <f>IF(I545="Rob","Robusta",IF(I545="Exc","Excelsa",IF(I545="Ara","Arabica",IF(I545="Lib","Liberica",""))))</f>
        <v/>
      </c>
      <c r="O545">
        <f>IF(J545="M","Medium",IF(J545="L","Light",IF(J545="D","Dark","")))</f>
        <v/>
      </c>
      <c r="P545">
        <f>_xlfn.XLOOKUP(Orders[[#This Row],[Customer ID]],customers!$A$1:$A$1001,customers!$I$1:$I$1001,,0)</f>
        <v/>
      </c>
    </row>
    <row r="546">
      <c r="A546" s="2" t="inlineStr">
        <is>
          <t>O4405</t>
        </is>
      </c>
      <c r="B546" s="3" t="inlineStr">
        <is>
          <t>2024-09-15</t>
        </is>
      </c>
      <c r="C546" s="2" t="inlineStr">
        <is>
          <t>O3602</t>
        </is>
      </c>
      <c r="D546" t="inlineStr">
        <is>
          <t>O7778</t>
        </is>
      </c>
      <c r="E546" s="2" t="n">
        <v>344</v>
      </c>
      <c r="F546" s="2">
        <f>_xlfn.XLOOKUP(C546,customers!$A$1:$A$1001,customers!$B$1:$B$1001,,0)</f>
        <v/>
      </c>
      <c r="G546" s="2">
        <f>IF(_xlfn.XLOOKUP(C546,customers!$A$1:$A$1001,customers!$C$1:$C$1001,,0)=0,"",_xlfn.XLOOKUP(C546,customers!$A$1:$A$1001,customers!$C$1:$C$1001,,0))</f>
        <v/>
      </c>
      <c r="H546" s="2">
        <f>_xlfn.XLOOKUP(C546,customers!$A$1:$A$1001,customers!$G$1:$G$1001,,0)</f>
        <v/>
      </c>
      <c r="I546">
        <f>INDEX(products!$A$1:$G$49,MATCH(orders!$D546,products!$A$1:$A$49,0),MATCH(orders!I$1,products!$A$1:$G$1,0))</f>
        <v/>
      </c>
      <c r="J546">
        <f>INDEX(products!$A$1:$G$49,MATCH(orders!$D546,products!$A$1:$A$49,0),MATCH(orders!J$1,products!$A$1:$G$1,0))</f>
        <v/>
      </c>
      <c r="K546" s="4">
        <f>INDEX(products!$A$1:$G$49,MATCH(orders!$D546,products!$A$1:$A$49,0),MATCH(orders!K$1,products!$A$1:$G$1,0))</f>
        <v/>
      </c>
      <c r="L546" s="5">
        <f>INDEX(products!$A$1:$G$49,MATCH(orders!$D546,products!$A$1:$A$49,0),MATCH(orders!L$1,products!$A$1:$G$1,0))</f>
        <v/>
      </c>
      <c r="M546" s="5">
        <f>L546*E546</f>
        <v/>
      </c>
      <c r="N546">
        <f>IF(I546="Rob","Robusta",IF(I546="Exc","Excelsa",IF(I546="Ara","Arabica",IF(I546="Lib","Liberica",""))))</f>
        <v/>
      </c>
      <c r="O546">
        <f>IF(J546="M","Medium",IF(J546="L","Light",IF(J546="D","Dark","")))</f>
        <v/>
      </c>
      <c r="P546">
        <f>_xlfn.XLOOKUP(Orders[[#This Row],[Customer ID]],customers!$A$1:$A$1001,customers!$I$1:$I$1001,,0)</f>
        <v/>
      </c>
    </row>
    <row r="547">
      <c r="A547" s="2" t="inlineStr">
        <is>
          <t>O3343</t>
        </is>
      </c>
      <c r="B547" s="3" t="inlineStr">
        <is>
          <t>2020-05-01</t>
        </is>
      </c>
      <c r="C547" s="2" t="inlineStr">
        <is>
          <t>O6424</t>
        </is>
      </c>
      <c r="D547" t="inlineStr">
        <is>
          <t>O7158</t>
        </is>
      </c>
      <c r="E547" s="2" t="n">
        <v>14</v>
      </c>
      <c r="F547" s="2">
        <f>_xlfn.XLOOKUP(C547,customers!$A$1:$A$1001,customers!$B$1:$B$1001,,0)</f>
        <v/>
      </c>
      <c r="G547" s="2">
        <f>IF(_xlfn.XLOOKUP(C547,customers!$A$1:$A$1001,customers!$C$1:$C$1001,,0)=0,"",_xlfn.XLOOKUP(C547,customers!$A$1:$A$1001,customers!$C$1:$C$1001,,0))</f>
        <v/>
      </c>
      <c r="H547" s="2">
        <f>_xlfn.XLOOKUP(C547,customers!$A$1:$A$1001,customers!$G$1:$G$1001,,0)</f>
        <v/>
      </c>
      <c r="I547">
        <f>INDEX(products!$A$1:$G$49,MATCH(orders!$D547,products!$A$1:$A$49,0),MATCH(orders!I$1,products!$A$1:$G$1,0))</f>
        <v/>
      </c>
      <c r="J547">
        <f>INDEX(products!$A$1:$G$49,MATCH(orders!$D547,products!$A$1:$A$49,0),MATCH(orders!J$1,products!$A$1:$G$1,0))</f>
        <v/>
      </c>
      <c r="K547" s="4">
        <f>INDEX(products!$A$1:$G$49,MATCH(orders!$D547,products!$A$1:$A$49,0),MATCH(orders!K$1,products!$A$1:$G$1,0))</f>
        <v/>
      </c>
      <c r="L547" s="5">
        <f>INDEX(products!$A$1:$G$49,MATCH(orders!$D547,products!$A$1:$A$49,0),MATCH(orders!L$1,products!$A$1:$G$1,0))</f>
        <v/>
      </c>
      <c r="M547" s="5">
        <f>L547*E547</f>
        <v/>
      </c>
      <c r="N547">
        <f>IF(I547="Rob","Robusta",IF(I547="Exc","Excelsa",IF(I547="Ara","Arabica",IF(I547="Lib","Liberica",""))))</f>
        <v/>
      </c>
      <c r="O547">
        <f>IF(J547="M","Medium",IF(J547="L","Light",IF(J547="D","Dark","")))</f>
        <v/>
      </c>
      <c r="P547">
        <f>_xlfn.XLOOKUP(Orders[[#This Row],[Customer ID]],customers!$A$1:$A$1001,customers!$I$1:$I$1001,,0)</f>
        <v/>
      </c>
    </row>
    <row r="548">
      <c r="A548" s="2" t="inlineStr">
        <is>
          <t>O2462</t>
        </is>
      </c>
      <c r="B548" s="3" t="inlineStr">
        <is>
          <t>2023-06-22</t>
        </is>
      </c>
      <c r="C548" s="2" t="inlineStr">
        <is>
          <t>O5260</t>
        </is>
      </c>
      <c r="D548" t="inlineStr">
        <is>
          <t>O5935</t>
        </is>
      </c>
      <c r="E548" s="2" t="n">
        <v>364</v>
      </c>
      <c r="F548" s="2">
        <f>_xlfn.XLOOKUP(C548,customers!$A$1:$A$1001,customers!$B$1:$B$1001,,0)</f>
        <v/>
      </c>
      <c r="G548" s="2">
        <f>IF(_xlfn.XLOOKUP(C548,customers!$A$1:$A$1001,customers!$C$1:$C$1001,,0)=0,"",_xlfn.XLOOKUP(C548,customers!$A$1:$A$1001,customers!$C$1:$C$1001,,0))</f>
        <v/>
      </c>
      <c r="H548" s="2">
        <f>_xlfn.XLOOKUP(C548,customers!$A$1:$A$1001,customers!$G$1:$G$1001,,0)</f>
        <v/>
      </c>
      <c r="I548">
        <f>INDEX(products!$A$1:$G$49,MATCH(orders!$D548,products!$A$1:$A$49,0),MATCH(orders!I$1,products!$A$1:$G$1,0))</f>
        <v/>
      </c>
      <c r="J548">
        <f>INDEX(products!$A$1:$G$49,MATCH(orders!$D548,products!$A$1:$A$49,0),MATCH(orders!J$1,products!$A$1:$G$1,0))</f>
        <v/>
      </c>
      <c r="K548" s="4">
        <f>INDEX(products!$A$1:$G$49,MATCH(orders!$D548,products!$A$1:$A$49,0),MATCH(orders!K$1,products!$A$1:$G$1,0))</f>
        <v/>
      </c>
      <c r="L548" s="5">
        <f>INDEX(products!$A$1:$G$49,MATCH(orders!$D548,products!$A$1:$A$49,0),MATCH(orders!L$1,products!$A$1:$G$1,0))</f>
        <v/>
      </c>
      <c r="M548" s="5">
        <f>L548*E548</f>
        <v/>
      </c>
      <c r="N548">
        <f>IF(I548="Rob","Robusta",IF(I548="Exc","Excelsa",IF(I548="Ara","Arabica",IF(I548="Lib","Liberica",""))))</f>
        <v/>
      </c>
      <c r="O548">
        <f>IF(J548="M","Medium",IF(J548="L","Light",IF(J548="D","Dark","")))</f>
        <v/>
      </c>
      <c r="P548">
        <f>_xlfn.XLOOKUP(Orders[[#This Row],[Customer ID]],customers!$A$1:$A$1001,customers!$I$1:$I$1001,,0)</f>
        <v/>
      </c>
    </row>
    <row r="549">
      <c r="A549" s="2" t="inlineStr">
        <is>
          <t>O7814</t>
        </is>
      </c>
      <c r="B549" s="3" t="inlineStr">
        <is>
          <t>2020-07-04</t>
        </is>
      </c>
      <c r="C549" s="2" t="inlineStr">
        <is>
          <t>O6931</t>
        </is>
      </c>
      <c r="D549" t="inlineStr">
        <is>
          <t>O6426</t>
        </is>
      </c>
      <c r="E549" s="2" t="n">
        <v>164</v>
      </c>
      <c r="F549" s="2">
        <f>_xlfn.XLOOKUP(C549,customers!$A$1:$A$1001,customers!$B$1:$B$1001,,0)</f>
        <v/>
      </c>
      <c r="G549" s="2">
        <f>IF(_xlfn.XLOOKUP(C549,customers!$A$1:$A$1001,customers!$C$1:$C$1001,,0)=0,"",_xlfn.XLOOKUP(C549,customers!$A$1:$A$1001,customers!$C$1:$C$1001,,0))</f>
        <v/>
      </c>
      <c r="H549" s="2">
        <f>_xlfn.XLOOKUP(C549,customers!$A$1:$A$1001,customers!$G$1:$G$1001,,0)</f>
        <v/>
      </c>
      <c r="I549">
        <f>INDEX(products!$A$1:$G$49,MATCH(orders!$D549,products!$A$1:$A$49,0),MATCH(orders!I$1,products!$A$1:$G$1,0))</f>
        <v/>
      </c>
      <c r="J549">
        <f>INDEX(products!$A$1:$G$49,MATCH(orders!$D549,products!$A$1:$A$49,0),MATCH(orders!J$1,products!$A$1:$G$1,0))</f>
        <v/>
      </c>
      <c r="K549" s="4">
        <f>INDEX(products!$A$1:$G$49,MATCH(orders!$D549,products!$A$1:$A$49,0),MATCH(orders!K$1,products!$A$1:$G$1,0))</f>
        <v/>
      </c>
      <c r="L549" s="5">
        <f>INDEX(products!$A$1:$G$49,MATCH(orders!$D549,products!$A$1:$A$49,0),MATCH(orders!L$1,products!$A$1:$G$1,0))</f>
        <v/>
      </c>
      <c r="M549" s="5">
        <f>L549*E549</f>
        <v/>
      </c>
      <c r="N549">
        <f>IF(I549="Rob","Robusta",IF(I549="Exc","Excelsa",IF(I549="Ara","Arabica",IF(I549="Lib","Liberica",""))))</f>
        <v/>
      </c>
      <c r="O549">
        <f>IF(J549="M","Medium",IF(J549="L","Light",IF(J549="D","Dark","")))</f>
        <v/>
      </c>
      <c r="P549">
        <f>_xlfn.XLOOKUP(Orders[[#This Row],[Customer ID]],customers!$A$1:$A$1001,customers!$I$1:$I$1001,,0)</f>
        <v/>
      </c>
    </row>
    <row r="550">
      <c r="A550" s="2" t="inlineStr">
        <is>
          <t>O2008</t>
        </is>
      </c>
      <c r="B550" s="3" t="inlineStr">
        <is>
          <t>2025-01-13</t>
        </is>
      </c>
      <c r="C550" s="2" t="inlineStr">
        <is>
          <t>O4091</t>
        </is>
      </c>
      <c r="D550" t="inlineStr">
        <is>
          <t>O1116</t>
        </is>
      </c>
      <c r="E550" s="2" t="n">
        <v>41</v>
      </c>
      <c r="F550" s="2">
        <f>_xlfn.XLOOKUP(C550,customers!$A$1:$A$1001,customers!$B$1:$B$1001,,0)</f>
        <v/>
      </c>
      <c r="G550" s="2">
        <f>IF(_xlfn.XLOOKUP(C550,customers!$A$1:$A$1001,customers!$C$1:$C$1001,,0)=0,"",_xlfn.XLOOKUP(C550,customers!$A$1:$A$1001,customers!$C$1:$C$1001,,0))</f>
        <v/>
      </c>
      <c r="H550" s="2">
        <f>_xlfn.XLOOKUP(C550,customers!$A$1:$A$1001,customers!$G$1:$G$1001,,0)</f>
        <v/>
      </c>
      <c r="I550">
        <f>INDEX(products!$A$1:$G$49,MATCH(orders!$D550,products!$A$1:$A$49,0),MATCH(orders!I$1,products!$A$1:$G$1,0))</f>
        <v/>
      </c>
      <c r="J550">
        <f>INDEX(products!$A$1:$G$49,MATCH(orders!$D550,products!$A$1:$A$49,0),MATCH(orders!J$1,products!$A$1:$G$1,0))</f>
        <v/>
      </c>
      <c r="K550" s="4">
        <f>INDEX(products!$A$1:$G$49,MATCH(orders!$D550,products!$A$1:$A$49,0),MATCH(orders!K$1,products!$A$1:$G$1,0))</f>
        <v/>
      </c>
      <c r="L550" s="5">
        <f>INDEX(products!$A$1:$G$49,MATCH(orders!$D550,products!$A$1:$A$49,0),MATCH(orders!L$1,products!$A$1:$G$1,0))</f>
        <v/>
      </c>
      <c r="M550" s="5">
        <f>L550*E550</f>
        <v/>
      </c>
      <c r="N550">
        <f>IF(I550="Rob","Robusta",IF(I550="Exc","Excelsa",IF(I550="Ara","Arabica",IF(I550="Lib","Liberica",""))))</f>
        <v/>
      </c>
      <c r="O550">
        <f>IF(J550="M","Medium",IF(J550="L","Light",IF(J550="D","Dark","")))</f>
        <v/>
      </c>
      <c r="P550">
        <f>_xlfn.XLOOKUP(Orders[[#This Row],[Customer ID]],customers!$A$1:$A$1001,customers!$I$1:$I$1001,,0)</f>
        <v/>
      </c>
    </row>
    <row r="551">
      <c r="A551" s="2" t="inlineStr">
        <is>
          <t>O4440</t>
        </is>
      </c>
      <c r="B551" s="3" t="inlineStr">
        <is>
          <t>2020-04-21</t>
        </is>
      </c>
      <c r="C551" s="2" t="inlineStr">
        <is>
          <t>O7438</t>
        </is>
      </c>
      <c r="D551" t="inlineStr">
        <is>
          <t>O7818</t>
        </is>
      </c>
      <c r="E551" s="2" t="n">
        <v>267</v>
      </c>
      <c r="F551" s="2">
        <f>_xlfn.XLOOKUP(C551,customers!$A$1:$A$1001,customers!$B$1:$B$1001,,0)</f>
        <v/>
      </c>
      <c r="G551" s="2">
        <f>IF(_xlfn.XLOOKUP(C551,customers!$A$1:$A$1001,customers!$C$1:$C$1001,,0)=0,"",_xlfn.XLOOKUP(C551,customers!$A$1:$A$1001,customers!$C$1:$C$1001,,0))</f>
        <v/>
      </c>
      <c r="H551" s="2">
        <f>_xlfn.XLOOKUP(C551,customers!$A$1:$A$1001,customers!$G$1:$G$1001,,0)</f>
        <v/>
      </c>
      <c r="I551">
        <f>INDEX(products!$A$1:$G$49,MATCH(orders!$D551,products!$A$1:$A$49,0),MATCH(orders!I$1,products!$A$1:$G$1,0))</f>
        <v/>
      </c>
      <c r="J551">
        <f>INDEX(products!$A$1:$G$49,MATCH(orders!$D551,products!$A$1:$A$49,0),MATCH(orders!J$1,products!$A$1:$G$1,0))</f>
        <v/>
      </c>
      <c r="K551" s="4">
        <f>INDEX(products!$A$1:$G$49,MATCH(orders!$D551,products!$A$1:$A$49,0),MATCH(orders!K$1,products!$A$1:$G$1,0))</f>
        <v/>
      </c>
      <c r="L551" s="5">
        <f>INDEX(products!$A$1:$G$49,MATCH(orders!$D551,products!$A$1:$A$49,0),MATCH(orders!L$1,products!$A$1:$G$1,0))</f>
        <v/>
      </c>
      <c r="M551" s="5">
        <f>L551*E551</f>
        <v/>
      </c>
      <c r="N551">
        <f>IF(I551="Rob","Robusta",IF(I551="Exc","Excelsa",IF(I551="Ara","Arabica",IF(I551="Lib","Liberica",""))))</f>
        <v/>
      </c>
      <c r="O551">
        <f>IF(J551="M","Medium",IF(J551="L","Light",IF(J551="D","Dark","")))</f>
        <v/>
      </c>
      <c r="P551">
        <f>_xlfn.XLOOKUP(Orders[[#This Row],[Customer ID]],customers!$A$1:$A$1001,customers!$I$1:$I$1001,,0)</f>
        <v/>
      </c>
    </row>
    <row r="552">
      <c r="A552" s="2" t="inlineStr">
        <is>
          <t>O7356</t>
        </is>
      </c>
      <c r="B552" s="3" t="inlineStr">
        <is>
          <t>2025-07-19</t>
        </is>
      </c>
      <c r="C552" s="2" t="inlineStr">
        <is>
          <t>O9995</t>
        </is>
      </c>
      <c r="D552" t="inlineStr">
        <is>
          <t>O3966</t>
        </is>
      </c>
      <c r="E552" s="2" t="n">
        <v>383</v>
      </c>
      <c r="F552" s="2">
        <f>_xlfn.XLOOKUP(C552,customers!$A$1:$A$1001,customers!$B$1:$B$1001,,0)</f>
        <v/>
      </c>
      <c r="G552" s="2">
        <f>IF(_xlfn.XLOOKUP(C552,customers!$A$1:$A$1001,customers!$C$1:$C$1001,,0)=0,"",_xlfn.XLOOKUP(C552,customers!$A$1:$A$1001,customers!$C$1:$C$1001,,0))</f>
        <v/>
      </c>
      <c r="H552" s="2">
        <f>_xlfn.XLOOKUP(C552,customers!$A$1:$A$1001,customers!$G$1:$G$1001,,0)</f>
        <v/>
      </c>
      <c r="I552">
        <f>INDEX(products!$A$1:$G$49,MATCH(orders!$D552,products!$A$1:$A$49,0),MATCH(orders!I$1,products!$A$1:$G$1,0))</f>
        <v/>
      </c>
      <c r="J552">
        <f>INDEX(products!$A$1:$G$49,MATCH(orders!$D552,products!$A$1:$A$49,0),MATCH(orders!J$1,products!$A$1:$G$1,0))</f>
        <v/>
      </c>
      <c r="K552" s="4">
        <f>INDEX(products!$A$1:$G$49,MATCH(orders!$D552,products!$A$1:$A$49,0),MATCH(orders!K$1,products!$A$1:$G$1,0))</f>
        <v/>
      </c>
      <c r="L552" s="5">
        <f>INDEX(products!$A$1:$G$49,MATCH(orders!$D552,products!$A$1:$A$49,0),MATCH(orders!L$1,products!$A$1:$G$1,0))</f>
        <v/>
      </c>
      <c r="M552" s="5">
        <f>L552*E552</f>
        <v/>
      </c>
      <c r="N552">
        <f>IF(I552="Rob","Robusta",IF(I552="Exc","Excelsa",IF(I552="Ara","Arabica",IF(I552="Lib","Liberica",""))))</f>
        <v/>
      </c>
      <c r="O552">
        <f>IF(J552="M","Medium",IF(J552="L","Light",IF(J552="D","Dark","")))</f>
        <v/>
      </c>
      <c r="P552">
        <f>_xlfn.XLOOKUP(Orders[[#This Row],[Customer ID]],customers!$A$1:$A$1001,customers!$I$1:$I$1001,,0)</f>
        <v/>
      </c>
    </row>
    <row r="553">
      <c r="A553" s="2" t="inlineStr">
        <is>
          <t>O1635</t>
        </is>
      </c>
      <c r="B553" s="3" t="inlineStr">
        <is>
          <t>2021-02-19</t>
        </is>
      </c>
      <c r="C553" s="2" t="inlineStr">
        <is>
          <t>O7354</t>
        </is>
      </c>
      <c r="D553" t="inlineStr">
        <is>
          <t>O1270</t>
        </is>
      </c>
      <c r="E553" s="2" t="n">
        <v>124</v>
      </c>
      <c r="F553" s="2">
        <f>_xlfn.XLOOKUP(C553,customers!$A$1:$A$1001,customers!$B$1:$B$1001,,0)</f>
        <v/>
      </c>
      <c r="G553" s="2">
        <f>IF(_xlfn.XLOOKUP(C553,customers!$A$1:$A$1001,customers!$C$1:$C$1001,,0)=0,"",_xlfn.XLOOKUP(C553,customers!$A$1:$A$1001,customers!$C$1:$C$1001,,0))</f>
        <v/>
      </c>
      <c r="H553" s="2">
        <f>_xlfn.XLOOKUP(C553,customers!$A$1:$A$1001,customers!$G$1:$G$1001,,0)</f>
        <v/>
      </c>
      <c r="I553">
        <f>INDEX(products!$A$1:$G$49,MATCH(orders!$D553,products!$A$1:$A$49,0),MATCH(orders!I$1,products!$A$1:$G$1,0))</f>
        <v/>
      </c>
      <c r="J553">
        <f>INDEX(products!$A$1:$G$49,MATCH(orders!$D553,products!$A$1:$A$49,0),MATCH(orders!J$1,products!$A$1:$G$1,0))</f>
        <v/>
      </c>
      <c r="K553" s="4">
        <f>INDEX(products!$A$1:$G$49,MATCH(orders!$D553,products!$A$1:$A$49,0),MATCH(orders!K$1,products!$A$1:$G$1,0))</f>
        <v/>
      </c>
      <c r="L553" s="5">
        <f>INDEX(products!$A$1:$G$49,MATCH(orders!$D553,products!$A$1:$A$49,0),MATCH(orders!L$1,products!$A$1:$G$1,0))</f>
        <v/>
      </c>
      <c r="M553" s="5">
        <f>L553*E553</f>
        <v/>
      </c>
      <c r="N553">
        <f>IF(I553="Rob","Robusta",IF(I553="Exc","Excelsa",IF(I553="Ara","Arabica",IF(I553="Lib","Liberica",""))))</f>
        <v/>
      </c>
      <c r="O553">
        <f>IF(J553="M","Medium",IF(J553="L","Light",IF(J553="D","Dark","")))</f>
        <v/>
      </c>
      <c r="P553">
        <f>_xlfn.XLOOKUP(Orders[[#This Row],[Customer ID]],customers!$A$1:$A$1001,customers!$I$1:$I$1001,,0)</f>
        <v/>
      </c>
    </row>
    <row r="554">
      <c r="A554" s="2" t="inlineStr">
        <is>
          <t>O9780</t>
        </is>
      </c>
      <c r="B554" s="3" t="inlineStr">
        <is>
          <t>2024-03-11</t>
        </is>
      </c>
      <c r="C554" s="2" t="inlineStr">
        <is>
          <t>O3435</t>
        </is>
      </c>
      <c r="D554" t="inlineStr">
        <is>
          <t>O3898</t>
        </is>
      </c>
      <c r="E554" s="2" t="n">
        <v>161</v>
      </c>
      <c r="F554" s="2">
        <f>_xlfn.XLOOKUP(C554,customers!$A$1:$A$1001,customers!$B$1:$B$1001,,0)</f>
        <v/>
      </c>
      <c r="G554" s="2">
        <f>IF(_xlfn.XLOOKUP(C554,customers!$A$1:$A$1001,customers!$C$1:$C$1001,,0)=0,"",_xlfn.XLOOKUP(C554,customers!$A$1:$A$1001,customers!$C$1:$C$1001,,0))</f>
        <v/>
      </c>
      <c r="H554" s="2">
        <f>_xlfn.XLOOKUP(C554,customers!$A$1:$A$1001,customers!$G$1:$G$1001,,0)</f>
        <v/>
      </c>
      <c r="I554">
        <f>INDEX(products!$A$1:$G$49,MATCH(orders!$D554,products!$A$1:$A$49,0),MATCH(orders!I$1,products!$A$1:$G$1,0))</f>
        <v/>
      </c>
      <c r="J554">
        <f>INDEX(products!$A$1:$G$49,MATCH(orders!$D554,products!$A$1:$A$49,0),MATCH(orders!J$1,products!$A$1:$G$1,0))</f>
        <v/>
      </c>
      <c r="K554" s="4">
        <f>INDEX(products!$A$1:$G$49,MATCH(orders!$D554,products!$A$1:$A$49,0),MATCH(orders!K$1,products!$A$1:$G$1,0))</f>
        <v/>
      </c>
      <c r="L554" s="5">
        <f>INDEX(products!$A$1:$G$49,MATCH(orders!$D554,products!$A$1:$A$49,0),MATCH(orders!L$1,products!$A$1:$G$1,0))</f>
        <v/>
      </c>
      <c r="M554" s="5">
        <f>L554*E554</f>
        <v/>
      </c>
      <c r="N554">
        <f>IF(I554="Rob","Robusta",IF(I554="Exc","Excelsa",IF(I554="Ara","Arabica",IF(I554="Lib","Liberica",""))))</f>
        <v/>
      </c>
      <c r="O554">
        <f>IF(J554="M","Medium",IF(J554="L","Light",IF(J554="D","Dark","")))</f>
        <v/>
      </c>
      <c r="P554">
        <f>_xlfn.XLOOKUP(Orders[[#This Row],[Customer ID]],customers!$A$1:$A$1001,customers!$I$1:$I$1001,,0)</f>
        <v/>
      </c>
    </row>
    <row r="555">
      <c r="A555" s="2" t="inlineStr">
        <is>
          <t>O5395</t>
        </is>
      </c>
      <c r="B555" s="3" t="inlineStr">
        <is>
          <t>2024-07-21</t>
        </is>
      </c>
      <c r="C555" s="2" t="inlineStr">
        <is>
          <t>O9522</t>
        </is>
      </c>
      <c r="D555" t="inlineStr">
        <is>
          <t>O9758</t>
        </is>
      </c>
      <c r="E555" s="2" t="n">
        <v>26</v>
      </c>
      <c r="F555" s="2">
        <f>_xlfn.XLOOKUP(C555,customers!$A$1:$A$1001,customers!$B$1:$B$1001,,0)</f>
        <v/>
      </c>
      <c r="G555" s="2">
        <f>IF(_xlfn.XLOOKUP(C555,customers!$A$1:$A$1001,customers!$C$1:$C$1001,,0)=0,"",_xlfn.XLOOKUP(C555,customers!$A$1:$A$1001,customers!$C$1:$C$1001,,0))</f>
        <v/>
      </c>
      <c r="H555" s="2">
        <f>_xlfn.XLOOKUP(C555,customers!$A$1:$A$1001,customers!$G$1:$G$1001,,0)</f>
        <v/>
      </c>
      <c r="I555">
        <f>INDEX(products!$A$1:$G$49,MATCH(orders!$D555,products!$A$1:$A$49,0),MATCH(orders!I$1,products!$A$1:$G$1,0))</f>
        <v/>
      </c>
      <c r="J555">
        <f>INDEX(products!$A$1:$G$49,MATCH(orders!$D555,products!$A$1:$A$49,0),MATCH(orders!J$1,products!$A$1:$G$1,0))</f>
        <v/>
      </c>
      <c r="K555" s="4">
        <f>INDEX(products!$A$1:$G$49,MATCH(orders!$D555,products!$A$1:$A$49,0),MATCH(orders!K$1,products!$A$1:$G$1,0))</f>
        <v/>
      </c>
      <c r="L555" s="5">
        <f>INDEX(products!$A$1:$G$49,MATCH(orders!$D555,products!$A$1:$A$49,0),MATCH(orders!L$1,products!$A$1:$G$1,0))</f>
        <v/>
      </c>
      <c r="M555" s="5">
        <f>L555*E555</f>
        <v/>
      </c>
      <c r="N555">
        <f>IF(I555="Rob","Robusta",IF(I555="Exc","Excelsa",IF(I555="Ara","Arabica",IF(I555="Lib","Liberica",""))))</f>
        <v/>
      </c>
      <c r="O555">
        <f>IF(J555="M","Medium",IF(J555="L","Light",IF(J555="D","Dark","")))</f>
        <v/>
      </c>
      <c r="P555">
        <f>_xlfn.XLOOKUP(Orders[[#This Row],[Customer ID]],customers!$A$1:$A$1001,customers!$I$1:$I$1001,,0)</f>
        <v/>
      </c>
    </row>
    <row r="556">
      <c r="A556" s="2" t="inlineStr">
        <is>
          <t>O7997</t>
        </is>
      </c>
      <c r="B556" s="3" t="inlineStr">
        <is>
          <t>2022-04-13</t>
        </is>
      </c>
      <c r="C556" s="2" t="inlineStr">
        <is>
          <t>O7704</t>
        </is>
      </c>
      <c r="D556" t="inlineStr">
        <is>
          <t>O3860</t>
        </is>
      </c>
      <c r="E556" s="2" t="n">
        <v>258</v>
      </c>
      <c r="F556" s="2">
        <f>_xlfn.XLOOKUP(C556,customers!$A$1:$A$1001,customers!$B$1:$B$1001,,0)</f>
        <v/>
      </c>
      <c r="G556" s="2">
        <f>IF(_xlfn.XLOOKUP(C556,customers!$A$1:$A$1001,customers!$C$1:$C$1001,,0)=0,"",_xlfn.XLOOKUP(C556,customers!$A$1:$A$1001,customers!$C$1:$C$1001,,0))</f>
        <v/>
      </c>
      <c r="H556" s="2">
        <f>_xlfn.XLOOKUP(C556,customers!$A$1:$A$1001,customers!$G$1:$G$1001,,0)</f>
        <v/>
      </c>
      <c r="I556">
        <f>INDEX(products!$A$1:$G$49,MATCH(orders!$D556,products!$A$1:$A$49,0),MATCH(orders!I$1,products!$A$1:$G$1,0))</f>
        <v/>
      </c>
      <c r="J556">
        <f>INDEX(products!$A$1:$G$49,MATCH(orders!$D556,products!$A$1:$A$49,0),MATCH(orders!J$1,products!$A$1:$G$1,0))</f>
        <v/>
      </c>
      <c r="K556" s="4">
        <f>INDEX(products!$A$1:$G$49,MATCH(orders!$D556,products!$A$1:$A$49,0),MATCH(orders!K$1,products!$A$1:$G$1,0))</f>
        <v/>
      </c>
      <c r="L556" s="5">
        <f>INDEX(products!$A$1:$G$49,MATCH(orders!$D556,products!$A$1:$A$49,0),MATCH(orders!L$1,products!$A$1:$G$1,0))</f>
        <v/>
      </c>
      <c r="M556" s="5">
        <f>L556*E556</f>
        <v/>
      </c>
      <c r="N556">
        <f>IF(I556="Rob","Robusta",IF(I556="Exc","Excelsa",IF(I556="Ara","Arabica",IF(I556="Lib","Liberica",""))))</f>
        <v/>
      </c>
      <c r="O556">
        <f>IF(J556="M","Medium",IF(J556="L","Light",IF(J556="D","Dark","")))</f>
        <v/>
      </c>
      <c r="P556">
        <f>_xlfn.XLOOKUP(Orders[[#This Row],[Customer ID]],customers!$A$1:$A$1001,customers!$I$1:$I$1001,,0)</f>
        <v/>
      </c>
    </row>
    <row r="557">
      <c r="A557" s="2" t="inlineStr">
        <is>
          <t>O3091</t>
        </is>
      </c>
      <c r="B557" s="3" t="inlineStr">
        <is>
          <t>2020-03-06</t>
        </is>
      </c>
      <c r="C557" s="2" t="inlineStr">
        <is>
          <t>O3680</t>
        </is>
      </c>
      <c r="D557" t="inlineStr">
        <is>
          <t>O9680</t>
        </is>
      </c>
      <c r="E557" s="2" t="n">
        <v>38</v>
      </c>
      <c r="F557" s="2">
        <f>_xlfn.XLOOKUP(C557,customers!$A$1:$A$1001,customers!$B$1:$B$1001,,0)</f>
        <v/>
      </c>
      <c r="G557" s="2">
        <f>IF(_xlfn.XLOOKUP(C557,customers!$A$1:$A$1001,customers!$C$1:$C$1001,,0)=0,"",_xlfn.XLOOKUP(C557,customers!$A$1:$A$1001,customers!$C$1:$C$1001,,0))</f>
        <v/>
      </c>
      <c r="H557" s="2">
        <f>_xlfn.XLOOKUP(C557,customers!$A$1:$A$1001,customers!$G$1:$G$1001,,0)</f>
        <v/>
      </c>
      <c r="I557">
        <f>INDEX(products!$A$1:$G$49,MATCH(orders!$D557,products!$A$1:$A$49,0),MATCH(orders!I$1,products!$A$1:$G$1,0))</f>
        <v/>
      </c>
      <c r="J557">
        <f>INDEX(products!$A$1:$G$49,MATCH(orders!$D557,products!$A$1:$A$49,0),MATCH(orders!J$1,products!$A$1:$G$1,0))</f>
        <v/>
      </c>
      <c r="K557" s="4">
        <f>INDEX(products!$A$1:$G$49,MATCH(orders!$D557,products!$A$1:$A$49,0),MATCH(orders!K$1,products!$A$1:$G$1,0))</f>
        <v/>
      </c>
      <c r="L557" s="5">
        <f>INDEX(products!$A$1:$G$49,MATCH(orders!$D557,products!$A$1:$A$49,0),MATCH(orders!L$1,products!$A$1:$G$1,0))</f>
        <v/>
      </c>
      <c r="M557" s="5">
        <f>L557*E557</f>
        <v/>
      </c>
      <c r="N557">
        <f>IF(I557="Rob","Robusta",IF(I557="Exc","Excelsa",IF(I557="Ara","Arabica",IF(I557="Lib","Liberica",""))))</f>
        <v/>
      </c>
      <c r="O557">
        <f>IF(J557="M","Medium",IF(J557="L","Light",IF(J557="D","Dark","")))</f>
        <v/>
      </c>
      <c r="P557">
        <f>_xlfn.XLOOKUP(Orders[[#This Row],[Customer ID]],customers!$A$1:$A$1001,customers!$I$1:$I$1001,,0)</f>
        <v/>
      </c>
    </row>
    <row r="558">
      <c r="A558" s="2" t="inlineStr">
        <is>
          <t>O5936</t>
        </is>
      </c>
      <c r="B558" s="3" t="inlineStr">
        <is>
          <t>2024-11-05</t>
        </is>
      </c>
      <c r="C558" s="2" t="inlineStr">
        <is>
          <t>O6057</t>
        </is>
      </c>
      <c r="D558" t="inlineStr">
        <is>
          <t>O8491</t>
        </is>
      </c>
      <c r="E558" s="2" t="n">
        <v>326</v>
      </c>
      <c r="F558" s="2">
        <f>_xlfn.XLOOKUP(C558,customers!$A$1:$A$1001,customers!$B$1:$B$1001,,0)</f>
        <v/>
      </c>
      <c r="G558" s="2">
        <f>IF(_xlfn.XLOOKUP(C558,customers!$A$1:$A$1001,customers!$C$1:$C$1001,,0)=0,"",_xlfn.XLOOKUP(C558,customers!$A$1:$A$1001,customers!$C$1:$C$1001,,0))</f>
        <v/>
      </c>
      <c r="H558" s="2">
        <f>_xlfn.XLOOKUP(C558,customers!$A$1:$A$1001,customers!$G$1:$G$1001,,0)</f>
        <v/>
      </c>
      <c r="I558">
        <f>INDEX(products!$A$1:$G$49,MATCH(orders!$D558,products!$A$1:$A$49,0),MATCH(orders!I$1,products!$A$1:$G$1,0))</f>
        <v/>
      </c>
      <c r="J558">
        <f>INDEX(products!$A$1:$G$49,MATCH(orders!$D558,products!$A$1:$A$49,0),MATCH(orders!J$1,products!$A$1:$G$1,0))</f>
        <v/>
      </c>
      <c r="K558" s="4">
        <f>INDEX(products!$A$1:$G$49,MATCH(orders!$D558,products!$A$1:$A$49,0),MATCH(orders!K$1,products!$A$1:$G$1,0))</f>
        <v/>
      </c>
      <c r="L558" s="5">
        <f>INDEX(products!$A$1:$G$49,MATCH(orders!$D558,products!$A$1:$A$49,0),MATCH(orders!L$1,products!$A$1:$G$1,0))</f>
        <v/>
      </c>
      <c r="M558" s="5">
        <f>L558*E558</f>
        <v/>
      </c>
      <c r="N558">
        <f>IF(I558="Rob","Robusta",IF(I558="Exc","Excelsa",IF(I558="Ara","Arabica",IF(I558="Lib","Liberica",""))))</f>
        <v/>
      </c>
      <c r="O558">
        <f>IF(J558="M","Medium",IF(J558="L","Light",IF(J558="D","Dark","")))</f>
        <v/>
      </c>
      <c r="P558">
        <f>_xlfn.XLOOKUP(Orders[[#This Row],[Customer ID]],customers!$A$1:$A$1001,customers!$I$1:$I$1001,,0)</f>
        <v/>
      </c>
    </row>
    <row r="559">
      <c r="A559" s="2" t="inlineStr">
        <is>
          <t>O3535</t>
        </is>
      </c>
      <c r="B559" s="3" t="inlineStr">
        <is>
          <t>2025-06-17</t>
        </is>
      </c>
      <c r="C559" s="2" t="inlineStr">
        <is>
          <t>O8456</t>
        </is>
      </c>
      <c r="D559" t="inlineStr">
        <is>
          <t>O1729</t>
        </is>
      </c>
      <c r="E559" s="2" t="n">
        <v>171</v>
      </c>
      <c r="F559" s="2">
        <f>_xlfn.XLOOKUP(C559,customers!$A$1:$A$1001,customers!$B$1:$B$1001,,0)</f>
        <v/>
      </c>
      <c r="G559" s="2">
        <f>IF(_xlfn.XLOOKUP(C559,customers!$A$1:$A$1001,customers!$C$1:$C$1001,,0)=0,"",_xlfn.XLOOKUP(C559,customers!$A$1:$A$1001,customers!$C$1:$C$1001,,0))</f>
        <v/>
      </c>
      <c r="H559" s="2">
        <f>_xlfn.XLOOKUP(C559,customers!$A$1:$A$1001,customers!$G$1:$G$1001,,0)</f>
        <v/>
      </c>
      <c r="I559">
        <f>INDEX(products!$A$1:$G$49,MATCH(orders!$D559,products!$A$1:$A$49,0),MATCH(orders!I$1,products!$A$1:$G$1,0))</f>
        <v/>
      </c>
      <c r="J559">
        <f>INDEX(products!$A$1:$G$49,MATCH(orders!$D559,products!$A$1:$A$49,0),MATCH(orders!J$1,products!$A$1:$G$1,0))</f>
        <v/>
      </c>
      <c r="K559" s="4">
        <f>INDEX(products!$A$1:$G$49,MATCH(orders!$D559,products!$A$1:$A$49,0),MATCH(orders!K$1,products!$A$1:$G$1,0))</f>
        <v/>
      </c>
      <c r="L559" s="5">
        <f>INDEX(products!$A$1:$G$49,MATCH(orders!$D559,products!$A$1:$A$49,0),MATCH(orders!L$1,products!$A$1:$G$1,0))</f>
        <v/>
      </c>
      <c r="M559" s="5">
        <f>L559*E559</f>
        <v/>
      </c>
      <c r="N559">
        <f>IF(I559="Rob","Robusta",IF(I559="Exc","Excelsa",IF(I559="Ara","Arabica",IF(I559="Lib","Liberica",""))))</f>
        <v/>
      </c>
      <c r="O559">
        <f>IF(J559="M","Medium",IF(J559="L","Light",IF(J559="D","Dark","")))</f>
        <v/>
      </c>
      <c r="P559">
        <f>_xlfn.XLOOKUP(Orders[[#This Row],[Customer ID]],customers!$A$1:$A$1001,customers!$I$1:$I$1001,,0)</f>
        <v/>
      </c>
    </row>
    <row r="560">
      <c r="A560" s="2" t="inlineStr">
        <is>
          <t>O8219</t>
        </is>
      </c>
      <c r="B560" s="3" t="inlineStr">
        <is>
          <t>2023-01-16</t>
        </is>
      </c>
      <c r="C560" s="2" t="inlineStr">
        <is>
          <t>O6895</t>
        </is>
      </c>
      <c r="D560" t="inlineStr">
        <is>
          <t>O7633</t>
        </is>
      </c>
      <c r="E560" s="2" t="n">
        <v>461</v>
      </c>
      <c r="F560" s="2">
        <f>_xlfn.XLOOKUP(C560,customers!$A$1:$A$1001,customers!$B$1:$B$1001,,0)</f>
        <v/>
      </c>
      <c r="G560" s="2">
        <f>IF(_xlfn.XLOOKUP(C560,customers!$A$1:$A$1001,customers!$C$1:$C$1001,,0)=0,"",_xlfn.XLOOKUP(C560,customers!$A$1:$A$1001,customers!$C$1:$C$1001,,0))</f>
        <v/>
      </c>
      <c r="H560" s="2">
        <f>_xlfn.XLOOKUP(C560,customers!$A$1:$A$1001,customers!$G$1:$G$1001,,0)</f>
        <v/>
      </c>
      <c r="I560">
        <f>INDEX(products!$A$1:$G$49,MATCH(orders!$D560,products!$A$1:$A$49,0),MATCH(orders!I$1,products!$A$1:$G$1,0))</f>
        <v/>
      </c>
      <c r="J560">
        <f>INDEX(products!$A$1:$G$49,MATCH(orders!$D560,products!$A$1:$A$49,0),MATCH(orders!J$1,products!$A$1:$G$1,0))</f>
        <v/>
      </c>
      <c r="K560" s="4">
        <f>INDEX(products!$A$1:$G$49,MATCH(orders!$D560,products!$A$1:$A$49,0),MATCH(orders!K$1,products!$A$1:$G$1,0))</f>
        <v/>
      </c>
      <c r="L560" s="5">
        <f>INDEX(products!$A$1:$G$49,MATCH(orders!$D560,products!$A$1:$A$49,0),MATCH(orders!L$1,products!$A$1:$G$1,0))</f>
        <v/>
      </c>
      <c r="M560" s="5">
        <f>L560*E560</f>
        <v/>
      </c>
      <c r="N560">
        <f>IF(I560="Rob","Robusta",IF(I560="Exc","Excelsa",IF(I560="Ara","Arabica",IF(I560="Lib","Liberica",""))))</f>
        <v/>
      </c>
      <c r="O560">
        <f>IF(J560="M","Medium",IF(J560="L","Light",IF(J560="D","Dark","")))</f>
        <v/>
      </c>
      <c r="P560">
        <f>_xlfn.XLOOKUP(Orders[[#This Row],[Customer ID]],customers!$A$1:$A$1001,customers!$I$1:$I$1001,,0)</f>
        <v/>
      </c>
    </row>
    <row r="561">
      <c r="A561" s="2" t="inlineStr">
        <is>
          <t>O4365</t>
        </is>
      </c>
      <c r="B561" s="3" t="inlineStr">
        <is>
          <t>2020-03-15</t>
        </is>
      </c>
      <c r="C561" s="2" t="inlineStr">
        <is>
          <t>O8426</t>
        </is>
      </c>
      <c r="D561" t="inlineStr">
        <is>
          <t>O5196</t>
        </is>
      </c>
      <c r="E561" s="2" t="n">
        <v>342</v>
      </c>
      <c r="F561" s="2">
        <f>_xlfn.XLOOKUP(C561,customers!$A$1:$A$1001,customers!$B$1:$B$1001,,0)</f>
        <v/>
      </c>
      <c r="G561" s="2">
        <f>IF(_xlfn.XLOOKUP(C561,customers!$A$1:$A$1001,customers!$C$1:$C$1001,,0)=0,"",_xlfn.XLOOKUP(C561,customers!$A$1:$A$1001,customers!$C$1:$C$1001,,0))</f>
        <v/>
      </c>
      <c r="H561" s="2">
        <f>_xlfn.XLOOKUP(C561,customers!$A$1:$A$1001,customers!$G$1:$G$1001,,0)</f>
        <v/>
      </c>
      <c r="I561">
        <f>INDEX(products!$A$1:$G$49,MATCH(orders!$D561,products!$A$1:$A$49,0),MATCH(orders!I$1,products!$A$1:$G$1,0))</f>
        <v/>
      </c>
      <c r="J561">
        <f>INDEX(products!$A$1:$G$49,MATCH(orders!$D561,products!$A$1:$A$49,0),MATCH(orders!J$1,products!$A$1:$G$1,0))</f>
        <v/>
      </c>
      <c r="K561" s="4">
        <f>INDEX(products!$A$1:$G$49,MATCH(orders!$D561,products!$A$1:$A$49,0),MATCH(orders!K$1,products!$A$1:$G$1,0))</f>
        <v/>
      </c>
      <c r="L561" s="5">
        <f>INDEX(products!$A$1:$G$49,MATCH(orders!$D561,products!$A$1:$A$49,0),MATCH(orders!L$1,products!$A$1:$G$1,0))</f>
        <v/>
      </c>
      <c r="M561" s="5">
        <f>L561*E561</f>
        <v/>
      </c>
      <c r="N561">
        <f>IF(I561="Rob","Robusta",IF(I561="Exc","Excelsa",IF(I561="Ara","Arabica",IF(I561="Lib","Liberica",""))))</f>
        <v/>
      </c>
      <c r="O561">
        <f>IF(J561="M","Medium",IF(J561="L","Light",IF(J561="D","Dark","")))</f>
        <v/>
      </c>
      <c r="P561">
        <f>_xlfn.XLOOKUP(Orders[[#This Row],[Customer ID]],customers!$A$1:$A$1001,customers!$I$1:$I$1001,,0)</f>
        <v/>
      </c>
    </row>
    <row r="562">
      <c r="A562" s="2" t="inlineStr">
        <is>
          <t>O6488</t>
        </is>
      </c>
      <c r="B562" s="3" t="inlineStr">
        <is>
          <t>2025-05-29</t>
        </is>
      </c>
      <c r="C562" s="2" t="inlineStr">
        <is>
          <t>O3789</t>
        </is>
      </c>
      <c r="D562" t="inlineStr">
        <is>
          <t>O3414</t>
        </is>
      </c>
      <c r="E562" s="2" t="n">
        <v>365</v>
      </c>
      <c r="F562" s="2">
        <f>_xlfn.XLOOKUP(C562,customers!$A$1:$A$1001,customers!$B$1:$B$1001,,0)</f>
        <v/>
      </c>
      <c r="G562" s="2">
        <f>IF(_xlfn.XLOOKUP(C562,customers!$A$1:$A$1001,customers!$C$1:$C$1001,,0)=0,"",_xlfn.XLOOKUP(C562,customers!$A$1:$A$1001,customers!$C$1:$C$1001,,0))</f>
        <v/>
      </c>
      <c r="H562" s="2">
        <f>_xlfn.XLOOKUP(C562,customers!$A$1:$A$1001,customers!$G$1:$G$1001,,0)</f>
        <v/>
      </c>
      <c r="I562">
        <f>INDEX(products!$A$1:$G$49,MATCH(orders!$D562,products!$A$1:$A$49,0),MATCH(orders!I$1,products!$A$1:$G$1,0))</f>
        <v/>
      </c>
      <c r="J562">
        <f>INDEX(products!$A$1:$G$49,MATCH(orders!$D562,products!$A$1:$A$49,0),MATCH(orders!J$1,products!$A$1:$G$1,0))</f>
        <v/>
      </c>
      <c r="K562" s="4">
        <f>INDEX(products!$A$1:$G$49,MATCH(orders!$D562,products!$A$1:$A$49,0),MATCH(orders!K$1,products!$A$1:$G$1,0))</f>
        <v/>
      </c>
      <c r="L562" s="5">
        <f>INDEX(products!$A$1:$G$49,MATCH(orders!$D562,products!$A$1:$A$49,0),MATCH(orders!L$1,products!$A$1:$G$1,0))</f>
        <v/>
      </c>
      <c r="M562" s="5">
        <f>L562*E562</f>
        <v/>
      </c>
      <c r="N562">
        <f>IF(I562="Rob","Robusta",IF(I562="Exc","Excelsa",IF(I562="Ara","Arabica",IF(I562="Lib","Liberica",""))))</f>
        <v/>
      </c>
      <c r="O562">
        <f>IF(J562="M","Medium",IF(J562="L","Light",IF(J562="D","Dark","")))</f>
        <v/>
      </c>
      <c r="P562">
        <f>_xlfn.XLOOKUP(Orders[[#This Row],[Customer ID]],customers!$A$1:$A$1001,customers!$I$1:$I$1001,,0)</f>
        <v/>
      </c>
    </row>
    <row r="563">
      <c r="A563" s="2" t="inlineStr">
        <is>
          <t>O4695</t>
        </is>
      </c>
      <c r="B563" s="3" t="inlineStr">
        <is>
          <t>2024-08-26</t>
        </is>
      </c>
      <c r="C563" s="2" t="inlineStr">
        <is>
          <t>O2909</t>
        </is>
      </c>
      <c r="D563" t="inlineStr">
        <is>
          <t>O7925</t>
        </is>
      </c>
      <c r="E563" s="2" t="n">
        <v>124</v>
      </c>
      <c r="F563" s="2">
        <f>_xlfn.XLOOKUP(C563,customers!$A$1:$A$1001,customers!$B$1:$B$1001,,0)</f>
        <v/>
      </c>
      <c r="G563" s="2">
        <f>IF(_xlfn.XLOOKUP(C563,customers!$A$1:$A$1001,customers!$C$1:$C$1001,,0)=0,"",_xlfn.XLOOKUP(C563,customers!$A$1:$A$1001,customers!$C$1:$C$1001,,0))</f>
        <v/>
      </c>
      <c r="H563" s="2">
        <f>_xlfn.XLOOKUP(C563,customers!$A$1:$A$1001,customers!$G$1:$G$1001,,0)</f>
        <v/>
      </c>
      <c r="I563">
        <f>INDEX(products!$A$1:$G$49,MATCH(orders!$D563,products!$A$1:$A$49,0),MATCH(orders!I$1,products!$A$1:$G$1,0))</f>
        <v/>
      </c>
      <c r="J563">
        <f>INDEX(products!$A$1:$G$49,MATCH(orders!$D563,products!$A$1:$A$49,0),MATCH(orders!J$1,products!$A$1:$G$1,0))</f>
        <v/>
      </c>
      <c r="K563" s="4">
        <f>INDEX(products!$A$1:$G$49,MATCH(orders!$D563,products!$A$1:$A$49,0),MATCH(orders!K$1,products!$A$1:$G$1,0))</f>
        <v/>
      </c>
      <c r="L563" s="5">
        <f>INDEX(products!$A$1:$G$49,MATCH(orders!$D563,products!$A$1:$A$49,0),MATCH(orders!L$1,products!$A$1:$G$1,0))</f>
        <v/>
      </c>
      <c r="M563" s="5">
        <f>L563*E563</f>
        <v/>
      </c>
      <c r="N563">
        <f>IF(I563="Rob","Robusta",IF(I563="Exc","Excelsa",IF(I563="Ara","Arabica",IF(I563="Lib","Liberica",""))))</f>
        <v/>
      </c>
      <c r="O563">
        <f>IF(J563="M","Medium",IF(J563="L","Light",IF(J563="D","Dark","")))</f>
        <v/>
      </c>
      <c r="P563">
        <f>_xlfn.XLOOKUP(Orders[[#This Row],[Customer ID]],customers!$A$1:$A$1001,customers!$I$1:$I$1001,,0)</f>
        <v/>
      </c>
    </row>
    <row r="564">
      <c r="A564" s="2" t="inlineStr">
        <is>
          <t>O9732</t>
        </is>
      </c>
      <c r="B564" s="3" t="inlineStr">
        <is>
          <t>2023-03-13</t>
        </is>
      </c>
      <c r="C564" s="2" t="inlineStr">
        <is>
          <t>O3033</t>
        </is>
      </c>
      <c r="D564" t="inlineStr">
        <is>
          <t>O2623</t>
        </is>
      </c>
      <c r="E564" s="2" t="n">
        <v>120</v>
      </c>
      <c r="F564" s="2">
        <f>_xlfn.XLOOKUP(C564,customers!$A$1:$A$1001,customers!$B$1:$B$1001,,0)</f>
        <v/>
      </c>
      <c r="G564" s="2">
        <f>IF(_xlfn.XLOOKUP(C564,customers!$A$1:$A$1001,customers!$C$1:$C$1001,,0)=0,"",_xlfn.XLOOKUP(C564,customers!$A$1:$A$1001,customers!$C$1:$C$1001,,0))</f>
        <v/>
      </c>
      <c r="H564" s="2">
        <f>_xlfn.XLOOKUP(C564,customers!$A$1:$A$1001,customers!$G$1:$G$1001,,0)</f>
        <v/>
      </c>
      <c r="I564">
        <f>INDEX(products!$A$1:$G$49,MATCH(orders!$D564,products!$A$1:$A$49,0),MATCH(orders!I$1,products!$A$1:$G$1,0))</f>
        <v/>
      </c>
      <c r="J564">
        <f>INDEX(products!$A$1:$G$49,MATCH(orders!$D564,products!$A$1:$A$49,0),MATCH(orders!J$1,products!$A$1:$G$1,0))</f>
        <v/>
      </c>
      <c r="K564" s="4">
        <f>INDEX(products!$A$1:$G$49,MATCH(orders!$D564,products!$A$1:$A$49,0),MATCH(orders!K$1,products!$A$1:$G$1,0))</f>
        <v/>
      </c>
      <c r="L564" s="5">
        <f>INDEX(products!$A$1:$G$49,MATCH(orders!$D564,products!$A$1:$A$49,0),MATCH(orders!L$1,products!$A$1:$G$1,0))</f>
        <v/>
      </c>
      <c r="M564" s="5">
        <f>L564*E564</f>
        <v/>
      </c>
      <c r="N564">
        <f>IF(I564="Rob","Robusta",IF(I564="Exc","Excelsa",IF(I564="Ara","Arabica",IF(I564="Lib","Liberica",""))))</f>
        <v/>
      </c>
      <c r="O564">
        <f>IF(J564="M","Medium",IF(J564="L","Light",IF(J564="D","Dark","")))</f>
        <v/>
      </c>
      <c r="P564">
        <f>_xlfn.XLOOKUP(Orders[[#This Row],[Customer ID]],customers!$A$1:$A$1001,customers!$I$1:$I$1001,,0)</f>
        <v/>
      </c>
    </row>
    <row r="565">
      <c r="A565" s="2" t="inlineStr">
        <is>
          <t>O6570</t>
        </is>
      </c>
      <c r="B565" s="3" t="inlineStr">
        <is>
          <t>2024-08-11</t>
        </is>
      </c>
      <c r="C565" s="2" t="inlineStr">
        <is>
          <t>O4013</t>
        </is>
      </c>
      <c r="D565" t="inlineStr">
        <is>
          <t>O8776</t>
        </is>
      </c>
      <c r="E565" s="2" t="n">
        <v>324</v>
      </c>
      <c r="F565" s="2">
        <f>_xlfn.XLOOKUP(C565,customers!$A$1:$A$1001,customers!$B$1:$B$1001,,0)</f>
        <v/>
      </c>
      <c r="G565" s="2">
        <f>IF(_xlfn.XLOOKUP(C565,customers!$A$1:$A$1001,customers!$C$1:$C$1001,,0)=0,"",_xlfn.XLOOKUP(C565,customers!$A$1:$A$1001,customers!$C$1:$C$1001,,0))</f>
        <v/>
      </c>
      <c r="H565" s="2">
        <f>_xlfn.XLOOKUP(C565,customers!$A$1:$A$1001,customers!$G$1:$G$1001,,0)</f>
        <v/>
      </c>
      <c r="I565">
        <f>INDEX(products!$A$1:$G$49,MATCH(orders!$D565,products!$A$1:$A$49,0),MATCH(orders!I$1,products!$A$1:$G$1,0))</f>
        <v/>
      </c>
      <c r="J565">
        <f>INDEX(products!$A$1:$G$49,MATCH(orders!$D565,products!$A$1:$A$49,0),MATCH(orders!J$1,products!$A$1:$G$1,0))</f>
        <v/>
      </c>
      <c r="K565" s="4">
        <f>INDEX(products!$A$1:$G$49,MATCH(orders!$D565,products!$A$1:$A$49,0),MATCH(orders!K$1,products!$A$1:$G$1,0))</f>
        <v/>
      </c>
      <c r="L565" s="5">
        <f>INDEX(products!$A$1:$G$49,MATCH(orders!$D565,products!$A$1:$A$49,0),MATCH(orders!L$1,products!$A$1:$G$1,0))</f>
        <v/>
      </c>
      <c r="M565" s="5">
        <f>L565*E565</f>
        <v/>
      </c>
      <c r="N565">
        <f>IF(I565="Rob","Robusta",IF(I565="Exc","Excelsa",IF(I565="Ara","Arabica",IF(I565="Lib","Liberica",""))))</f>
        <v/>
      </c>
      <c r="O565">
        <f>IF(J565="M","Medium",IF(J565="L","Light",IF(J565="D","Dark","")))</f>
        <v/>
      </c>
      <c r="P565">
        <f>_xlfn.XLOOKUP(Orders[[#This Row],[Customer ID]],customers!$A$1:$A$1001,customers!$I$1:$I$1001,,0)</f>
        <v/>
      </c>
    </row>
    <row r="566">
      <c r="A566" s="2" t="inlineStr">
        <is>
          <t>O7262</t>
        </is>
      </c>
      <c r="B566" s="3" t="inlineStr">
        <is>
          <t>2024-06-14</t>
        </is>
      </c>
      <c r="C566" s="2" t="inlineStr">
        <is>
          <t>O4202</t>
        </is>
      </c>
      <c r="D566" t="inlineStr">
        <is>
          <t>O1351</t>
        </is>
      </c>
      <c r="E566" s="2" t="n">
        <v>161</v>
      </c>
      <c r="F566" s="2">
        <f>_xlfn.XLOOKUP(C566,customers!$A$1:$A$1001,customers!$B$1:$B$1001,,0)</f>
        <v/>
      </c>
      <c r="G566" s="2">
        <f>IF(_xlfn.XLOOKUP(C566,customers!$A$1:$A$1001,customers!$C$1:$C$1001,,0)=0,"",_xlfn.XLOOKUP(C566,customers!$A$1:$A$1001,customers!$C$1:$C$1001,,0))</f>
        <v/>
      </c>
      <c r="H566" s="2">
        <f>_xlfn.XLOOKUP(C566,customers!$A$1:$A$1001,customers!$G$1:$G$1001,,0)</f>
        <v/>
      </c>
      <c r="I566">
        <f>INDEX(products!$A$1:$G$49,MATCH(orders!$D566,products!$A$1:$A$49,0),MATCH(orders!I$1,products!$A$1:$G$1,0))</f>
        <v/>
      </c>
      <c r="J566">
        <f>INDEX(products!$A$1:$G$49,MATCH(orders!$D566,products!$A$1:$A$49,0),MATCH(orders!J$1,products!$A$1:$G$1,0))</f>
        <v/>
      </c>
      <c r="K566" s="4">
        <f>INDEX(products!$A$1:$G$49,MATCH(orders!$D566,products!$A$1:$A$49,0),MATCH(orders!K$1,products!$A$1:$G$1,0))</f>
        <v/>
      </c>
      <c r="L566" s="5">
        <f>INDEX(products!$A$1:$G$49,MATCH(orders!$D566,products!$A$1:$A$49,0),MATCH(orders!L$1,products!$A$1:$G$1,0))</f>
        <v/>
      </c>
      <c r="M566" s="5">
        <f>L566*E566</f>
        <v/>
      </c>
      <c r="N566">
        <f>IF(I566="Rob","Robusta",IF(I566="Exc","Excelsa",IF(I566="Ara","Arabica",IF(I566="Lib","Liberica",""))))</f>
        <v/>
      </c>
      <c r="O566">
        <f>IF(J566="M","Medium",IF(J566="L","Light",IF(J566="D","Dark","")))</f>
        <v/>
      </c>
      <c r="P566">
        <f>_xlfn.XLOOKUP(Orders[[#This Row],[Customer ID]],customers!$A$1:$A$1001,customers!$I$1:$I$1001,,0)</f>
        <v/>
      </c>
    </row>
    <row r="567">
      <c r="A567" s="2" t="inlineStr">
        <is>
          <t>O7013</t>
        </is>
      </c>
      <c r="B567" s="3" t="inlineStr">
        <is>
          <t>2023-12-28</t>
        </is>
      </c>
      <c r="C567" s="2" t="inlineStr">
        <is>
          <t>O4207</t>
        </is>
      </c>
      <c r="D567" t="inlineStr">
        <is>
          <t>O8643</t>
        </is>
      </c>
      <c r="E567" s="2" t="n">
        <v>420</v>
      </c>
      <c r="F567" s="2">
        <f>_xlfn.XLOOKUP(C567,customers!$A$1:$A$1001,customers!$B$1:$B$1001,,0)</f>
        <v/>
      </c>
      <c r="G567" s="2">
        <f>IF(_xlfn.XLOOKUP(C567,customers!$A$1:$A$1001,customers!$C$1:$C$1001,,0)=0,"",_xlfn.XLOOKUP(C567,customers!$A$1:$A$1001,customers!$C$1:$C$1001,,0))</f>
        <v/>
      </c>
      <c r="H567" s="2">
        <f>_xlfn.XLOOKUP(C567,customers!$A$1:$A$1001,customers!$G$1:$G$1001,,0)</f>
        <v/>
      </c>
      <c r="I567">
        <f>INDEX(products!$A$1:$G$49,MATCH(orders!$D567,products!$A$1:$A$49,0),MATCH(orders!I$1,products!$A$1:$G$1,0))</f>
        <v/>
      </c>
      <c r="J567">
        <f>INDEX(products!$A$1:$G$49,MATCH(orders!$D567,products!$A$1:$A$49,0),MATCH(orders!J$1,products!$A$1:$G$1,0))</f>
        <v/>
      </c>
      <c r="K567" s="4">
        <f>INDEX(products!$A$1:$G$49,MATCH(orders!$D567,products!$A$1:$A$49,0),MATCH(orders!K$1,products!$A$1:$G$1,0))</f>
        <v/>
      </c>
      <c r="L567" s="5">
        <f>INDEX(products!$A$1:$G$49,MATCH(orders!$D567,products!$A$1:$A$49,0),MATCH(orders!L$1,products!$A$1:$G$1,0))</f>
        <v/>
      </c>
      <c r="M567" s="5">
        <f>L567*E567</f>
        <v/>
      </c>
      <c r="N567">
        <f>IF(I567="Rob","Robusta",IF(I567="Exc","Excelsa",IF(I567="Ara","Arabica",IF(I567="Lib","Liberica",""))))</f>
        <v/>
      </c>
      <c r="O567">
        <f>IF(J567="M","Medium",IF(J567="L","Light",IF(J567="D","Dark","")))</f>
        <v/>
      </c>
      <c r="P567">
        <f>_xlfn.XLOOKUP(Orders[[#This Row],[Customer ID]],customers!$A$1:$A$1001,customers!$I$1:$I$1001,,0)</f>
        <v/>
      </c>
    </row>
    <row r="568">
      <c r="A568" s="2" t="inlineStr">
        <is>
          <t>O7319</t>
        </is>
      </c>
      <c r="B568" s="3" t="inlineStr">
        <is>
          <t>2020-11-11</t>
        </is>
      </c>
      <c r="C568" s="2" t="inlineStr">
        <is>
          <t>O7896</t>
        </is>
      </c>
      <c r="D568" t="inlineStr">
        <is>
          <t>O1583</t>
        </is>
      </c>
      <c r="E568" s="2" t="n">
        <v>202</v>
      </c>
      <c r="F568" s="2">
        <f>_xlfn.XLOOKUP(C568,customers!$A$1:$A$1001,customers!$B$1:$B$1001,,0)</f>
        <v/>
      </c>
      <c r="G568" s="2">
        <f>IF(_xlfn.XLOOKUP(C568,customers!$A$1:$A$1001,customers!$C$1:$C$1001,,0)=0,"",_xlfn.XLOOKUP(C568,customers!$A$1:$A$1001,customers!$C$1:$C$1001,,0))</f>
        <v/>
      </c>
      <c r="H568" s="2">
        <f>_xlfn.XLOOKUP(C568,customers!$A$1:$A$1001,customers!$G$1:$G$1001,,0)</f>
        <v/>
      </c>
      <c r="I568">
        <f>INDEX(products!$A$1:$G$49,MATCH(orders!$D568,products!$A$1:$A$49,0),MATCH(orders!I$1,products!$A$1:$G$1,0))</f>
        <v/>
      </c>
      <c r="J568">
        <f>INDEX(products!$A$1:$G$49,MATCH(orders!$D568,products!$A$1:$A$49,0),MATCH(orders!J$1,products!$A$1:$G$1,0))</f>
        <v/>
      </c>
      <c r="K568" s="4">
        <f>INDEX(products!$A$1:$G$49,MATCH(orders!$D568,products!$A$1:$A$49,0),MATCH(orders!K$1,products!$A$1:$G$1,0))</f>
        <v/>
      </c>
      <c r="L568" s="5">
        <f>INDEX(products!$A$1:$G$49,MATCH(orders!$D568,products!$A$1:$A$49,0),MATCH(orders!L$1,products!$A$1:$G$1,0))</f>
        <v/>
      </c>
      <c r="M568" s="5">
        <f>L568*E568</f>
        <v/>
      </c>
      <c r="N568">
        <f>IF(I568="Rob","Robusta",IF(I568="Exc","Excelsa",IF(I568="Ara","Arabica",IF(I568="Lib","Liberica",""))))</f>
        <v/>
      </c>
      <c r="O568">
        <f>IF(J568="M","Medium",IF(J568="L","Light",IF(J568="D","Dark","")))</f>
        <v/>
      </c>
      <c r="P568">
        <f>_xlfn.XLOOKUP(Orders[[#This Row],[Customer ID]],customers!$A$1:$A$1001,customers!$I$1:$I$1001,,0)</f>
        <v/>
      </c>
    </row>
    <row r="569">
      <c r="A569" s="2" t="inlineStr">
        <is>
          <t>O1474</t>
        </is>
      </c>
      <c r="B569" s="3" t="inlineStr">
        <is>
          <t>2023-10-21</t>
        </is>
      </c>
      <c r="C569" s="2" t="inlineStr">
        <is>
          <t>O5969</t>
        </is>
      </c>
      <c r="D569" t="inlineStr">
        <is>
          <t>O4530</t>
        </is>
      </c>
      <c r="E569" s="2" t="n">
        <v>23</v>
      </c>
      <c r="F569" s="2">
        <f>_xlfn.XLOOKUP(C569,customers!$A$1:$A$1001,customers!$B$1:$B$1001,,0)</f>
        <v/>
      </c>
      <c r="G569" s="2">
        <f>IF(_xlfn.XLOOKUP(C569,customers!$A$1:$A$1001,customers!$C$1:$C$1001,,0)=0,"",_xlfn.XLOOKUP(C569,customers!$A$1:$A$1001,customers!$C$1:$C$1001,,0))</f>
        <v/>
      </c>
      <c r="H569" s="2">
        <f>_xlfn.XLOOKUP(C569,customers!$A$1:$A$1001,customers!$G$1:$G$1001,,0)</f>
        <v/>
      </c>
      <c r="I569">
        <f>INDEX(products!$A$1:$G$49,MATCH(orders!$D569,products!$A$1:$A$49,0),MATCH(orders!I$1,products!$A$1:$G$1,0))</f>
        <v/>
      </c>
      <c r="J569">
        <f>INDEX(products!$A$1:$G$49,MATCH(orders!$D569,products!$A$1:$A$49,0),MATCH(orders!J$1,products!$A$1:$G$1,0))</f>
        <v/>
      </c>
      <c r="K569" s="4">
        <f>INDEX(products!$A$1:$G$49,MATCH(orders!$D569,products!$A$1:$A$49,0),MATCH(orders!K$1,products!$A$1:$G$1,0))</f>
        <v/>
      </c>
      <c r="L569" s="5">
        <f>INDEX(products!$A$1:$G$49,MATCH(orders!$D569,products!$A$1:$A$49,0),MATCH(orders!L$1,products!$A$1:$G$1,0))</f>
        <v/>
      </c>
      <c r="M569" s="5">
        <f>L569*E569</f>
        <v/>
      </c>
      <c r="N569">
        <f>IF(I569="Rob","Robusta",IF(I569="Exc","Excelsa",IF(I569="Ara","Arabica",IF(I569="Lib","Liberica",""))))</f>
        <v/>
      </c>
      <c r="O569">
        <f>IF(J569="M","Medium",IF(J569="L","Light",IF(J569="D","Dark","")))</f>
        <v/>
      </c>
      <c r="P569">
        <f>_xlfn.XLOOKUP(Orders[[#This Row],[Customer ID]],customers!$A$1:$A$1001,customers!$I$1:$I$1001,,0)</f>
        <v/>
      </c>
    </row>
    <row r="570">
      <c r="A570" s="2" t="inlineStr">
        <is>
          <t>O2332</t>
        </is>
      </c>
      <c r="B570" s="3" t="inlineStr">
        <is>
          <t>2021-11-23</t>
        </is>
      </c>
      <c r="C570" s="2" t="inlineStr">
        <is>
          <t>O5922</t>
        </is>
      </c>
      <c r="D570" t="inlineStr">
        <is>
          <t>O4629</t>
        </is>
      </c>
      <c r="E570" s="2" t="n">
        <v>379</v>
      </c>
      <c r="F570" s="2">
        <f>_xlfn.XLOOKUP(C570,customers!$A$1:$A$1001,customers!$B$1:$B$1001,,0)</f>
        <v/>
      </c>
      <c r="G570" s="2">
        <f>IF(_xlfn.XLOOKUP(C570,customers!$A$1:$A$1001,customers!$C$1:$C$1001,,0)=0,"",_xlfn.XLOOKUP(C570,customers!$A$1:$A$1001,customers!$C$1:$C$1001,,0))</f>
        <v/>
      </c>
      <c r="H570" s="2">
        <f>_xlfn.XLOOKUP(C570,customers!$A$1:$A$1001,customers!$G$1:$G$1001,,0)</f>
        <v/>
      </c>
      <c r="I570">
        <f>INDEX(products!$A$1:$G$49,MATCH(orders!$D570,products!$A$1:$A$49,0),MATCH(orders!I$1,products!$A$1:$G$1,0))</f>
        <v/>
      </c>
      <c r="J570">
        <f>INDEX(products!$A$1:$G$49,MATCH(orders!$D570,products!$A$1:$A$49,0),MATCH(orders!J$1,products!$A$1:$G$1,0))</f>
        <v/>
      </c>
      <c r="K570" s="4">
        <f>INDEX(products!$A$1:$G$49,MATCH(orders!$D570,products!$A$1:$A$49,0),MATCH(orders!K$1,products!$A$1:$G$1,0))</f>
        <v/>
      </c>
      <c r="L570" s="5">
        <f>INDEX(products!$A$1:$G$49,MATCH(orders!$D570,products!$A$1:$A$49,0),MATCH(orders!L$1,products!$A$1:$G$1,0))</f>
        <v/>
      </c>
      <c r="M570" s="5">
        <f>L570*E570</f>
        <v/>
      </c>
      <c r="N570">
        <f>IF(I570="Rob","Robusta",IF(I570="Exc","Excelsa",IF(I570="Ara","Arabica",IF(I570="Lib","Liberica",""))))</f>
        <v/>
      </c>
      <c r="O570">
        <f>IF(J570="M","Medium",IF(J570="L","Light",IF(J570="D","Dark","")))</f>
        <v/>
      </c>
      <c r="P570">
        <f>_xlfn.XLOOKUP(Orders[[#This Row],[Customer ID]],customers!$A$1:$A$1001,customers!$I$1:$I$1001,,0)</f>
        <v/>
      </c>
    </row>
    <row r="571">
      <c r="A571" s="2" t="inlineStr">
        <is>
          <t>O3140</t>
        </is>
      </c>
      <c r="B571" s="3" t="inlineStr">
        <is>
          <t>2022-12-06</t>
        </is>
      </c>
      <c r="C571" s="2" t="inlineStr">
        <is>
          <t>O8944</t>
        </is>
      </c>
      <c r="D571" t="inlineStr">
        <is>
          <t>O6000</t>
        </is>
      </c>
      <c r="E571" s="2" t="n">
        <v>5</v>
      </c>
      <c r="F571" s="2">
        <f>_xlfn.XLOOKUP(C571,customers!$A$1:$A$1001,customers!$B$1:$B$1001,,0)</f>
        <v/>
      </c>
      <c r="G571" s="2">
        <f>IF(_xlfn.XLOOKUP(C571,customers!$A$1:$A$1001,customers!$C$1:$C$1001,,0)=0,"",_xlfn.XLOOKUP(C571,customers!$A$1:$A$1001,customers!$C$1:$C$1001,,0))</f>
        <v/>
      </c>
      <c r="H571" s="2">
        <f>_xlfn.XLOOKUP(C571,customers!$A$1:$A$1001,customers!$G$1:$G$1001,,0)</f>
        <v/>
      </c>
      <c r="I571">
        <f>INDEX(products!$A$1:$G$49,MATCH(orders!$D571,products!$A$1:$A$49,0),MATCH(orders!I$1,products!$A$1:$G$1,0))</f>
        <v/>
      </c>
      <c r="J571">
        <f>INDEX(products!$A$1:$G$49,MATCH(orders!$D571,products!$A$1:$A$49,0),MATCH(orders!J$1,products!$A$1:$G$1,0))</f>
        <v/>
      </c>
      <c r="K571" s="4">
        <f>INDEX(products!$A$1:$G$49,MATCH(orders!$D571,products!$A$1:$A$49,0),MATCH(orders!K$1,products!$A$1:$G$1,0))</f>
        <v/>
      </c>
      <c r="L571" s="5">
        <f>INDEX(products!$A$1:$G$49,MATCH(orders!$D571,products!$A$1:$A$49,0),MATCH(orders!L$1,products!$A$1:$G$1,0))</f>
        <v/>
      </c>
      <c r="M571" s="5">
        <f>L571*E571</f>
        <v/>
      </c>
      <c r="N571">
        <f>IF(I571="Rob","Robusta",IF(I571="Exc","Excelsa",IF(I571="Ara","Arabica",IF(I571="Lib","Liberica",""))))</f>
        <v/>
      </c>
      <c r="O571">
        <f>IF(J571="M","Medium",IF(J571="L","Light",IF(J571="D","Dark","")))</f>
        <v/>
      </c>
      <c r="P571">
        <f>_xlfn.XLOOKUP(Orders[[#This Row],[Customer ID]],customers!$A$1:$A$1001,customers!$I$1:$I$1001,,0)</f>
        <v/>
      </c>
    </row>
    <row r="572">
      <c r="A572" s="2" t="inlineStr">
        <is>
          <t>O5150</t>
        </is>
      </c>
      <c r="B572" s="3" t="inlineStr">
        <is>
          <t>2025-07-07</t>
        </is>
      </c>
      <c r="C572" s="2" t="inlineStr">
        <is>
          <t>O2162</t>
        </is>
      </c>
      <c r="D572" t="inlineStr">
        <is>
          <t>O9585</t>
        </is>
      </c>
      <c r="E572" s="2" t="n">
        <v>194</v>
      </c>
      <c r="F572" s="2">
        <f>_xlfn.XLOOKUP(C572,customers!$A$1:$A$1001,customers!$B$1:$B$1001,,0)</f>
        <v/>
      </c>
      <c r="G572" s="2">
        <f>IF(_xlfn.XLOOKUP(C572,customers!$A$1:$A$1001,customers!$C$1:$C$1001,,0)=0,"",_xlfn.XLOOKUP(C572,customers!$A$1:$A$1001,customers!$C$1:$C$1001,,0))</f>
        <v/>
      </c>
      <c r="H572" s="2">
        <f>_xlfn.XLOOKUP(C572,customers!$A$1:$A$1001,customers!$G$1:$G$1001,,0)</f>
        <v/>
      </c>
      <c r="I572">
        <f>INDEX(products!$A$1:$G$49,MATCH(orders!$D572,products!$A$1:$A$49,0),MATCH(orders!I$1,products!$A$1:$G$1,0))</f>
        <v/>
      </c>
      <c r="J572">
        <f>INDEX(products!$A$1:$G$49,MATCH(orders!$D572,products!$A$1:$A$49,0),MATCH(orders!J$1,products!$A$1:$G$1,0))</f>
        <v/>
      </c>
      <c r="K572" s="4">
        <f>INDEX(products!$A$1:$G$49,MATCH(orders!$D572,products!$A$1:$A$49,0),MATCH(orders!K$1,products!$A$1:$G$1,0))</f>
        <v/>
      </c>
      <c r="L572" s="5">
        <f>INDEX(products!$A$1:$G$49,MATCH(orders!$D572,products!$A$1:$A$49,0),MATCH(orders!L$1,products!$A$1:$G$1,0))</f>
        <v/>
      </c>
      <c r="M572" s="5">
        <f>L572*E572</f>
        <v/>
      </c>
      <c r="N572">
        <f>IF(I572="Rob","Robusta",IF(I572="Exc","Excelsa",IF(I572="Ara","Arabica",IF(I572="Lib","Liberica",""))))</f>
        <v/>
      </c>
      <c r="O572">
        <f>IF(J572="M","Medium",IF(J572="L","Light",IF(J572="D","Dark","")))</f>
        <v/>
      </c>
      <c r="P572">
        <f>_xlfn.XLOOKUP(Orders[[#This Row],[Customer ID]],customers!$A$1:$A$1001,customers!$I$1:$I$1001,,0)</f>
        <v/>
      </c>
    </row>
    <row r="573">
      <c r="A573" s="2" t="inlineStr">
        <is>
          <t>O2165</t>
        </is>
      </c>
      <c r="B573" s="3" t="inlineStr">
        <is>
          <t>2020-09-11</t>
        </is>
      </c>
      <c r="C573" s="2" t="inlineStr">
        <is>
          <t>O9015</t>
        </is>
      </c>
      <c r="D573" t="inlineStr">
        <is>
          <t>O3210</t>
        </is>
      </c>
      <c r="E573" s="2" t="n">
        <v>333</v>
      </c>
      <c r="F573" s="2">
        <f>_xlfn.XLOOKUP(C573,customers!$A$1:$A$1001,customers!$B$1:$B$1001,,0)</f>
        <v/>
      </c>
      <c r="G573" s="2">
        <f>IF(_xlfn.XLOOKUP(C573,customers!$A$1:$A$1001,customers!$C$1:$C$1001,,0)=0,"",_xlfn.XLOOKUP(C573,customers!$A$1:$A$1001,customers!$C$1:$C$1001,,0))</f>
        <v/>
      </c>
      <c r="H573" s="2">
        <f>_xlfn.XLOOKUP(C573,customers!$A$1:$A$1001,customers!$G$1:$G$1001,,0)</f>
        <v/>
      </c>
      <c r="I573">
        <f>INDEX(products!$A$1:$G$49,MATCH(orders!$D573,products!$A$1:$A$49,0),MATCH(orders!I$1,products!$A$1:$G$1,0))</f>
        <v/>
      </c>
      <c r="J573">
        <f>INDEX(products!$A$1:$G$49,MATCH(orders!$D573,products!$A$1:$A$49,0),MATCH(orders!J$1,products!$A$1:$G$1,0))</f>
        <v/>
      </c>
      <c r="K573" s="4">
        <f>INDEX(products!$A$1:$G$49,MATCH(orders!$D573,products!$A$1:$A$49,0),MATCH(orders!K$1,products!$A$1:$G$1,0))</f>
        <v/>
      </c>
      <c r="L573" s="5">
        <f>INDEX(products!$A$1:$G$49,MATCH(orders!$D573,products!$A$1:$A$49,0),MATCH(orders!L$1,products!$A$1:$G$1,0))</f>
        <v/>
      </c>
      <c r="M573" s="5">
        <f>L573*E573</f>
        <v/>
      </c>
      <c r="N573">
        <f>IF(I573="Rob","Robusta",IF(I573="Exc","Excelsa",IF(I573="Ara","Arabica",IF(I573="Lib","Liberica",""))))</f>
        <v/>
      </c>
      <c r="O573">
        <f>IF(J573="M","Medium",IF(J573="L","Light",IF(J573="D","Dark","")))</f>
        <v/>
      </c>
      <c r="P573">
        <f>_xlfn.XLOOKUP(Orders[[#This Row],[Customer ID]],customers!$A$1:$A$1001,customers!$I$1:$I$1001,,0)</f>
        <v/>
      </c>
    </row>
    <row r="574">
      <c r="A574" s="2" t="inlineStr">
        <is>
          <t>O1550</t>
        </is>
      </c>
      <c r="B574" s="3" t="inlineStr">
        <is>
          <t>2021-10-09</t>
        </is>
      </c>
      <c r="C574" s="2" t="inlineStr">
        <is>
          <t>O9149</t>
        </is>
      </c>
      <c r="D574" t="inlineStr">
        <is>
          <t>O6026</t>
        </is>
      </c>
      <c r="E574" s="2" t="n">
        <v>310</v>
      </c>
      <c r="F574" s="2">
        <f>_xlfn.XLOOKUP(C574,customers!$A$1:$A$1001,customers!$B$1:$B$1001,,0)</f>
        <v/>
      </c>
      <c r="G574" s="2">
        <f>IF(_xlfn.XLOOKUP(C574,customers!$A$1:$A$1001,customers!$C$1:$C$1001,,0)=0,"",_xlfn.XLOOKUP(C574,customers!$A$1:$A$1001,customers!$C$1:$C$1001,,0))</f>
        <v/>
      </c>
      <c r="H574" s="2">
        <f>_xlfn.XLOOKUP(C574,customers!$A$1:$A$1001,customers!$G$1:$G$1001,,0)</f>
        <v/>
      </c>
      <c r="I574">
        <f>INDEX(products!$A$1:$G$49,MATCH(orders!$D574,products!$A$1:$A$49,0),MATCH(orders!I$1,products!$A$1:$G$1,0))</f>
        <v/>
      </c>
      <c r="J574">
        <f>INDEX(products!$A$1:$G$49,MATCH(orders!$D574,products!$A$1:$A$49,0),MATCH(orders!J$1,products!$A$1:$G$1,0))</f>
        <v/>
      </c>
      <c r="K574" s="4">
        <f>INDEX(products!$A$1:$G$49,MATCH(orders!$D574,products!$A$1:$A$49,0),MATCH(orders!K$1,products!$A$1:$G$1,0))</f>
        <v/>
      </c>
      <c r="L574" s="5">
        <f>INDEX(products!$A$1:$G$49,MATCH(orders!$D574,products!$A$1:$A$49,0),MATCH(orders!L$1,products!$A$1:$G$1,0))</f>
        <v/>
      </c>
      <c r="M574" s="5">
        <f>L574*E574</f>
        <v/>
      </c>
      <c r="N574">
        <f>IF(I574="Rob","Robusta",IF(I574="Exc","Excelsa",IF(I574="Ara","Arabica",IF(I574="Lib","Liberica",""))))</f>
        <v/>
      </c>
      <c r="O574">
        <f>IF(J574="M","Medium",IF(J574="L","Light",IF(J574="D","Dark","")))</f>
        <v/>
      </c>
      <c r="P574">
        <f>_xlfn.XLOOKUP(Orders[[#This Row],[Customer ID]],customers!$A$1:$A$1001,customers!$I$1:$I$1001,,0)</f>
        <v/>
      </c>
    </row>
    <row r="575">
      <c r="A575" s="2" t="inlineStr">
        <is>
          <t>O2527</t>
        </is>
      </c>
      <c r="B575" s="3" t="inlineStr">
        <is>
          <t>2023-01-14</t>
        </is>
      </c>
      <c r="C575" s="2" t="inlineStr">
        <is>
          <t>O9942</t>
        </is>
      </c>
      <c r="D575" t="inlineStr">
        <is>
          <t>O2482</t>
        </is>
      </c>
      <c r="E575" s="2" t="n">
        <v>104</v>
      </c>
      <c r="F575" s="2">
        <f>_xlfn.XLOOKUP(C575,customers!$A$1:$A$1001,customers!$B$1:$B$1001,,0)</f>
        <v/>
      </c>
      <c r="G575" s="2">
        <f>IF(_xlfn.XLOOKUP(C575,customers!$A$1:$A$1001,customers!$C$1:$C$1001,,0)=0,"",_xlfn.XLOOKUP(C575,customers!$A$1:$A$1001,customers!$C$1:$C$1001,,0))</f>
        <v/>
      </c>
      <c r="H575" s="2">
        <f>_xlfn.XLOOKUP(C575,customers!$A$1:$A$1001,customers!$G$1:$G$1001,,0)</f>
        <v/>
      </c>
      <c r="I575">
        <f>INDEX(products!$A$1:$G$49,MATCH(orders!$D575,products!$A$1:$A$49,0),MATCH(orders!I$1,products!$A$1:$G$1,0))</f>
        <v/>
      </c>
      <c r="J575">
        <f>INDEX(products!$A$1:$G$49,MATCH(orders!$D575,products!$A$1:$A$49,0),MATCH(orders!J$1,products!$A$1:$G$1,0))</f>
        <v/>
      </c>
      <c r="K575" s="4">
        <f>INDEX(products!$A$1:$G$49,MATCH(orders!$D575,products!$A$1:$A$49,0),MATCH(orders!K$1,products!$A$1:$G$1,0))</f>
        <v/>
      </c>
      <c r="L575" s="5">
        <f>INDEX(products!$A$1:$G$49,MATCH(orders!$D575,products!$A$1:$A$49,0),MATCH(orders!L$1,products!$A$1:$G$1,0))</f>
        <v/>
      </c>
      <c r="M575" s="5">
        <f>L575*E575</f>
        <v/>
      </c>
      <c r="N575">
        <f>IF(I575="Rob","Robusta",IF(I575="Exc","Excelsa",IF(I575="Ara","Arabica",IF(I575="Lib","Liberica",""))))</f>
        <v/>
      </c>
      <c r="O575">
        <f>IF(J575="M","Medium",IF(J575="L","Light",IF(J575="D","Dark","")))</f>
        <v/>
      </c>
      <c r="P575">
        <f>_xlfn.XLOOKUP(Orders[[#This Row],[Customer ID]],customers!$A$1:$A$1001,customers!$I$1:$I$1001,,0)</f>
        <v/>
      </c>
    </row>
    <row r="576">
      <c r="A576" s="2" t="inlineStr">
        <is>
          <t>O5039</t>
        </is>
      </c>
      <c r="B576" s="3" t="inlineStr">
        <is>
          <t>2020-04-06</t>
        </is>
      </c>
      <c r="C576" s="2" t="inlineStr">
        <is>
          <t>O6734</t>
        </is>
      </c>
      <c r="D576" t="inlineStr">
        <is>
          <t>O4726</t>
        </is>
      </c>
      <c r="E576" s="2" t="n">
        <v>103</v>
      </c>
      <c r="F576" s="2">
        <f>_xlfn.XLOOKUP(C576,customers!$A$1:$A$1001,customers!$B$1:$B$1001,,0)</f>
        <v/>
      </c>
      <c r="G576" s="2">
        <f>IF(_xlfn.XLOOKUP(C576,customers!$A$1:$A$1001,customers!$C$1:$C$1001,,0)=0,"",_xlfn.XLOOKUP(C576,customers!$A$1:$A$1001,customers!$C$1:$C$1001,,0))</f>
        <v/>
      </c>
      <c r="H576" s="2">
        <f>_xlfn.XLOOKUP(C576,customers!$A$1:$A$1001,customers!$G$1:$G$1001,,0)</f>
        <v/>
      </c>
      <c r="I576">
        <f>INDEX(products!$A$1:$G$49,MATCH(orders!$D576,products!$A$1:$A$49,0),MATCH(orders!I$1,products!$A$1:$G$1,0))</f>
        <v/>
      </c>
      <c r="J576">
        <f>INDEX(products!$A$1:$G$49,MATCH(orders!$D576,products!$A$1:$A$49,0),MATCH(orders!J$1,products!$A$1:$G$1,0))</f>
        <v/>
      </c>
      <c r="K576" s="4">
        <f>INDEX(products!$A$1:$G$49,MATCH(orders!$D576,products!$A$1:$A$49,0),MATCH(orders!K$1,products!$A$1:$G$1,0))</f>
        <v/>
      </c>
      <c r="L576" s="5">
        <f>INDEX(products!$A$1:$G$49,MATCH(orders!$D576,products!$A$1:$A$49,0),MATCH(orders!L$1,products!$A$1:$G$1,0))</f>
        <v/>
      </c>
      <c r="M576" s="5">
        <f>L576*E576</f>
        <v/>
      </c>
      <c r="N576">
        <f>IF(I576="Rob","Robusta",IF(I576="Exc","Excelsa",IF(I576="Ara","Arabica",IF(I576="Lib","Liberica",""))))</f>
        <v/>
      </c>
      <c r="O576">
        <f>IF(J576="M","Medium",IF(J576="L","Light",IF(J576="D","Dark","")))</f>
        <v/>
      </c>
      <c r="P576">
        <f>_xlfn.XLOOKUP(Orders[[#This Row],[Customer ID]],customers!$A$1:$A$1001,customers!$I$1:$I$1001,,0)</f>
        <v/>
      </c>
    </row>
    <row r="577">
      <c r="A577" s="2" t="inlineStr">
        <is>
          <t>O1759</t>
        </is>
      </c>
      <c r="B577" s="3" t="inlineStr">
        <is>
          <t>2025-06-17</t>
        </is>
      </c>
      <c r="C577" s="2" t="inlineStr">
        <is>
          <t>O3099</t>
        </is>
      </c>
      <c r="D577" t="inlineStr">
        <is>
          <t>O1461</t>
        </is>
      </c>
      <c r="E577" s="2" t="n">
        <v>71</v>
      </c>
      <c r="F577" s="2">
        <f>_xlfn.XLOOKUP(C577,customers!$A$1:$A$1001,customers!$B$1:$B$1001,,0)</f>
        <v/>
      </c>
      <c r="G577" s="2">
        <f>IF(_xlfn.XLOOKUP(C577,customers!$A$1:$A$1001,customers!$C$1:$C$1001,,0)=0,"",_xlfn.XLOOKUP(C577,customers!$A$1:$A$1001,customers!$C$1:$C$1001,,0))</f>
        <v/>
      </c>
      <c r="H577" s="2">
        <f>_xlfn.XLOOKUP(C577,customers!$A$1:$A$1001,customers!$G$1:$G$1001,,0)</f>
        <v/>
      </c>
      <c r="I577">
        <f>INDEX(products!$A$1:$G$49,MATCH(orders!$D577,products!$A$1:$A$49,0),MATCH(orders!I$1,products!$A$1:$G$1,0))</f>
        <v/>
      </c>
      <c r="J577">
        <f>INDEX(products!$A$1:$G$49,MATCH(orders!$D577,products!$A$1:$A$49,0),MATCH(orders!J$1,products!$A$1:$G$1,0))</f>
        <v/>
      </c>
      <c r="K577" s="4">
        <f>INDEX(products!$A$1:$G$49,MATCH(orders!$D577,products!$A$1:$A$49,0),MATCH(orders!K$1,products!$A$1:$G$1,0))</f>
        <v/>
      </c>
      <c r="L577" s="5">
        <f>INDEX(products!$A$1:$G$49,MATCH(orders!$D577,products!$A$1:$A$49,0),MATCH(orders!L$1,products!$A$1:$G$1,0))</f>
        <v/>
      </c>
      <c r="M577" s="5">
        <f>L577*E577</f>
        <v/>
      </c>
      <c r="N577">
        <f>IF(I577="Rob","Robusta",IF(I577="Exc","Excelsa",IF(I577="Ara","Arabica",IF(I577="Lib","Liberica",""))))</f>
        <v/>
      </c>
      <c r="O577">
        <f>IF(J577="M","Medium",IF(J577="L","Light",IF(J577="D","Dark","")))</f>
        <v/>
      </c>
      <c r="P577">
        <f>_xlfn.XLOOKUP(Orders[[#This Row],[Customer ID]],customers!$A$1:$A$1001,customers!$I$1:$I$1001,,0)</f>
        <v/>
      </c>
    </row>
    <row r="578">
      <c r="A578" s="2" t="inlineStr">
        <is>
          <t>O3944</t>
        </is>
      </c>
      <c r="B578" s="3" t="inlineStr">
        <is>
          <t>2020-12-16</t>
        </is>
      </c>
      <c r="C578" s="2" t="inlineStr">
        <is>
          <t>O4265</t>
        </is>
      </c>
      <c r="D578" t="inlineStr">
        <is>
          <t>O2135</t>
        </is>
      </c>
      <c r="E578" s="2" t="n">
        <v>418</v>
      </c>
      <c r="F578" s="2">
        <f>_xlfn.XLOOKUP(C578,customers!$A$1:$A$1001,customers!$B$1:$B$1001,,0)</f>
        <v/>
      </c>
      <c r="G578" s="2">
        <f>IF(_xlfn.XLOOKUP(C578,customers!$A$1:$A$1001,customers!$C$1:$C$1001,,0)=0,"",_xlfn.XLOOKUP(C578,customers!$A$1:$A$1001,customers!$C$1:$C$1001,,0))</f>
        <v/>
      </c>
      <c r="H578" s="2">
        <f>_xlfn.XLOOKUP(C578,customers!$A$1:$A$1001,customers!$G$1:$G$1001,,0)</f>
        <v/>
      </c>
      <c r="I578">
        <f>INDEX(products!$A$1:$G$49,MATCH(orders!$D578,products!$A$1:$A$49,0),MATCH(orders!I$1,products!$A$1:$G$1,0))</f>
        <v/>
      </c>
      <c r="J578">
        <f>INDEX(products!$A$1:$G$49,MATCH(orders!$D578,products!$A$1:$A$49,0),MATCH(orders!J$1,products!$A$1:$G$1,0))</f>
        <v/>
      </c>
      <c r="K578" s="4">
        <f>INDEX(products!$A$1:$G$49,MATCH(orders!$D578,products!$A$1:$A$49,0),MATCH(orders!K$1,products!$A$1:$G$1,0))</f>
        <v/>
      </c>
      <c r="L578" s="5">
        <f>INDEX(products!$A$1:$G$49,MATCH(orders!$D578,products!$A$1:$A$49,0),MATCH(orders!L$1,products!$A$1:$G$1,0))</f>
        <v/>
      </c>
      <c r="M578" s="5">
        <f>L578*E578</f>
        <v/>
      </c>
      <c r="N578">
        <f>IF(I578="Rob","Robusta",IF(I578="Exc","Excelsa",IF(I578="Ara","Arabica",IF(I578="Lib","Liberica",""))))</f>
        <v/>
      </c>
      <c r="O578">
        <f>IF(J578="M","Medium",IF(J578="L","Light",IF(J578="D","Dark","")))</f>
        <v/>
      </c>
      <c r="P578">
        <f>_xlfn.XLOOKUP(Orders[[#This Row],[Customer ID]],customers!$A$1:$A$1001,customers!$I$1:$I$1001,,0)</f>
        <v/>
      </c>
    </row>
    <row r="579">
      <c r="A579" s="2" t="inlineStr">
        <is>
          <t>O6555</t>
        </is>
      </c>
      <c r="B579" s="3" t="inlineStr">
        <is>
          <t>2021-12-17</t>
        </is>
      </c>
      <c r="C579" s="2" t="inlineStr">
        <is>
          <t>O1233</t>
        </is>
      </c>
      <c r="D579" t="inlineStr">
        <is>
          <t>O9504</t>
        </is>
      </c>
      <c r="E579" s="2" t="n">
        <v>272</v>
      </c>
      <c r="F579" s="2">
        <f>_xlfn.XLOOKUP(C579,customers!$A$1:$A$1001,customers!$B$1:$B$1001,,0)</f>
        <v/>
      </c>
      <c r="G579" s="2">
        <f>IF(_xlfn.XLOOKUP(C579,customers!$A$1:$A$1001,customers!$C$1:$C$1001,,0)=0,"",_xlfn.XLOOKUP(C579,customers!$A$1:$A$1001,customers!$C$1:$C$1001,,0))</f>
        <v/>
      </c>
      <c r="H579" s="2">
        <f>_xlfn.XLOOKUP(C579,customers!$A$1:$A$1001,customers!$G$1:$G$1001,,0)</f>
        <v/>
      </c>
      <c r="I579">
        <f>INDEX(products!$A$1:$G$49,MATCH(orders!$D579,products!$A$1:$A$49,0),MATCH(orders!I$1,products!$A$1:$G$1,0))</f>
        <v/>
      </c>
      <c r="J579">
        <f>INDEX(products!$A$1:$G$49,MATCH(orders!$D579,products!$A$1:$A$49,0),MATCH(orders!J$1,products!$A$1:$G$1,0))</f>
        <v/>
      </c>
      <c r="K579" s="4">
        <f>INDEX(products!$A$1:$G$49,MATCH(orders!$D579,products!$A$1:$A$49,0),MATCH(orders!K$1,products!$A$1:$G$1,0))</f>
        <v/>
      </c>
      <c r="L579" s="5">
        <f>INDEX(products!$A$1:$G$49,MATCH(orders!$D579,products!$A$1:$A$49,0),MATCH(orders!L$1,products!$A$1:$G$1,0))</f>
        <v/>
      </c>
      <c r="M579" s="5">
        <f>L579*E579</f>
        <v/>
      </c>
      <c r="N579">
        <f>IF(I579="Rob","Robusta",IF(I579="Exc","Excelsa",IF(I579="Ara","Arabica",IF(I579="Lib","Liberica",""))))</f>
        <v/>
      </c>
      <c r="O579">
        <f>IF(J579="M","Medium",IF(J579="L","Light",IF(J579="D","Dark","")))</f>
        <v/>
      </c>
      <c r="P579">
        <f>_xlfn.XLOOKUP(Orders[[#This Row],[Customer ID]],customers!$A$1:$A$1001,customers!$I$1:$I$1001,,0)</f>
        <v/>
      </c>
    </row>
    <row r="580">
      <c r="A580" s="2" t="inlineStr">
        <is>
          <t>O6119</t>
        </is>
      </c>
      <c r="B580" s="3" t="inlineStr">
        <is>
          <t>2022-05-16</t>
        </is>
      </c>
      <c r="C580" s="2" t="inlineStr">
        <is>
          <t>O4678</t>
        </is>
      </c>
      <c r="D580" t="inlineStr">
        <is>
          <t>O7457</t>
        </is>
      </c>
      <c r="E580" s="2" t="n">
        <v>325</v>
      </c>
      <c r="F580" s="2">
        <f>_xlfn.XLOOKUP(C580,customers!$A$1:$A$1001,customers!$B$1:$B$1001,,0)</f>
        <v/>
      </c>
      <c r="G580" s="2">
        <f>IF(_xlfn.XLOOKUP(C580,customers!$A$1:$A$1001,customers!$C$1:$C$1001,,0)=0,"",_xlfn.XLOOKUP(C580,customers!$A$1:$A$1001,customers!$C$1:$C$1001,,0))</f>
        <v/>
      </c>
      <c r="H580" s="2">
        <f>_xlfn.XLOOKUP(C580,customers!$A$1:$A$1001,customers!$G$1:$G$1001,,0)</f>
        <v/>
      </c>
      <c r="I580">
        <f>INDEX(products!$A$1:$G$49,MATCH(orders!$D580,products!$A$1:$A$49,0),MATCH(orders!I$1,products!$A$1:$G$1,0))</f>
        <v/>
      </c>
      <c r="J580">
        <f>INDEX(products!$A$1:$G$49,MATCH(orders!$D580,products!$A$1:$A$49,0),MATCH(orders!J$1,products!$A$1:$G$1,0))</f>
        <v/>
      </c>
      <c r="K580" s="4">
        <f>INDEX(products!$A$1:$G$49,MATCH(orders!$D580,products!$A$1:$A$49,0),MATCH(orders!K$1,products!$A$1:$G$1,0))</f>
        <v/>
      </c>
      <c r="L580" s="5">
        <f>INDEX(products!$A$1:$G$49,MATCH(orders!$D580,products!$A$1:$A$49,0),MATCH(orders!L$1,products!$A$1:$G$1,0))</f>
        <v/>
      </c>
      <c r="M580" s="5">
        <f>L580*E580</f>
        <v/>
      </c>
      <c r="N580">
        <f>IF(I580="Rob","Robusta",IF(I580="Exc","Excelsa",IF(I580="Ara","Arabica",IF(I580="Lib","Liberica",""))))</f>
        <v/>
      </c>
      <c r="O580">
        <f>IF(J580="M","Medium",IF(J580="L","Light",IF(J580="D","Dark","")))</f>
        <v/>
      </c>
      <c r="P580">
        <f>_xlfn.XLOOKUP(Orders[[#This Row],[Customer ID]],customers!$A$1:$A$1001,customers!$I$1:$I$1001,,0)</f>
        <v/>
      </c>
    </row>
    <row r="581">
      <c r="A581" s="2" t="inlineStr">
        <is>
          <t>O4614</t>
        </is>
      </c>
      <c r="B581" s="3" t="inlineStr">
        <is>
          <t>2024-02-01</t>
        </is>
      </c>
      <c r="C581" s="2" t="inlineStr">
        <is>
          <t>O2019</t>
        </is>
      </c>
      <c r="D581" t="inlineStr">
        <is>
          <t>O3980</t>
        </is>
      </c>
      <c r="E581" s="2" t="n">
        <v>56</v>
      </c>
      <c r="F581" s="2">
        <f>_xlfn.XLOOKUP(C581,customers!$A$1:$A$1001,customers!$B$1:$B$1001,,0)</f>
        <v/>
      </c>
      <c r="G581" s="2">
        <f>IF(_xlfn.XLOOKUP(C581,customers!$A$1:$A$1001,customers!$C$1:$C$1001,,0)=0,"",_xlfn.XLOOKUP(C581,customers!$A$1:$A$1001,customers!$C$1:$C$1001,,0))</f>
        <v/>
      </c>
      <c r="H581" s="2">
        <f>_xlfn.XLOOKUP(C581,customers!$A$1:$A$1001,customers!$G$1:$G$1001,,0)</f>
        <v/>
      </c>
      <c r="I581">
        <f>INDEX(products!$A$1:$G$49,MATCH(orders!$D581,products!$A$1:$A$49,0),MATCH(orders!I$1,products!$A$1:$G$1,0))</f>
        <v/>
      </c>
      <c r="J581">
        <f>INDEX(products!$A$1:$G$49,MATCH(orders!$D581,products!$A$1:$A$49,0),MATCH(orders!J$1,products!$A$1:$G$1,0))</f>
        <v/>
      </c>
      <c r="K581" s="4">
        <f>INDEX(products!$A$1:$G$49,MATCH(orders!$D581,products!$A$1:$A$49,0),MATCH(orders!K$1,products!$A$1:$G$1,0))</f>
        <v/>
      </c>
      <c r="L581" s="5">
        <f>INDEX(products!$A$1:$G$49,MATCH(orders!$D581,products!$A$1:$A$49,0),MATCH(orders!L$1,products!$A$1:$G$1,0))</f>
        <v/>
      </c>
      <c r="M581" s="5">
        <f>L581*E581</f>
        <v/>
      </c>
      <c r="N581">
        <f>IF(I581="Rob","Robusta",IF(I581="Exc","Excelsa",IF(I581="Ara","Arabica",IF(I581="Lib","Liberica",""))))</f>
        <v/>
      </c>
      <c r="O581">
        <f>IF(J581="M","Medium",IF(J581="L","Light",IF(J581="D","Dark","")))</f>
        <v/>
      </c>
      <c r="P581">
        <f>_xlfn.XLOOKUP(Orders[[#This Row],[Customer ID]],customers!$A$1:$A$1001,customers!$I$1:$I$1001,,0)</f>
        <v/>
      </c>
    </row>
    <row r="582">
      <c r="A582" s="2" t="inlineStr">
        <is>
          <t>O5622</t>
        </is>
      </c>
      <c r="B582" s="3" t="inlineStr">
        <is>
          <t>2021-02-05</t>
        </is>
      </c>
      <c r="C582" s="2" t="inlineStr">
        <is>
          <t>O7753</t>
        </is>
      </c>
      <c r="D582" t="inlineStr">
        <is>
          <t>O9096</t>
        </is>
      </c>
      <c r="E582" s="2" t="n">
        <v>396</v>
      </c>
      <c r="F582" s="2">
        <f>_xlfn.XLOOKUP(C582,customers!$A$1:$A$1001,customers!$B$1:$B$1001,,0)</f>
        <v/>
      </c>
      <c r="G582" s="2">
        <f>IF(_xlfn.XLOOKUP(C582,customers!$A$1:$A$1001,customers!$C$1:$C$1001,,0)=0,"",_xlfn.XLOOKUP(C582,customers!$A$1:$A$1001,customers!$C$1:$C$1001,,0))</f>
        <v/>
      </c>
      <c r="H582" s="2">
        <f>_xlfn.XLOOKUP(C582,customers!$A$1:$A$1001,customers!$G$1:$G$1001,,0)</f>
        <v/>
      </c>
      <c r="I582">
        <f>INDEX(products!$A$1:$G$49,MATCH(orders!$D582,products!$A$1:$A$49,0),MATCH(orders!I$1,products!$A$1:$G$1,0))</f>
        <v/>
      </c>
      <c r="J582">
        <f>INDEX(products!$A$1:$G$49,MATCH(orders!$D582,products!$A$1:$A$49,0),MATCH(orders!J$1,products!$A$1:$G$1,0))</f>
        <v/>
      </c>
      <c r="K582" s="4">
        <f>INDEX(products!$A$1:$G$49,MATCH(orders!$D582,products!$A$1:$A$49,0),MATCH(orders!K$1,products!$A$1:$G$1,0))</f>
        <v/>
      </c>
      <c r="L582" s="5">
        <f>INDEX(products!$A$1:$G$49,MATCH(orders!$D582,products!$A$1:$A$49,0),MATCH(orders!L$1,products!$A$1:$G$1,0))</f>
        <v/>
      </c>
      <c r="M582" s="5">
        <f>L582*E582</f>
        <v/>
      </c>
      <c r="N582">
        <f>IF(I582="Rob","Robusta",IF(I582="Exc","Excelsa",IF(I582="Ara","Arabica",IF(I582="Lib","Liberica",""))))</f>
        <v/>
      </c>
      <c r="O582">
        <f>IF(J582="M","Medium",IF(J582="L","Light",IF(J582="D","Dark","")))</f>
        <v/>
      </c>
      <c r="P582">
        <f>_xlfn.XLOOKUP(Orders[[#This Row],[Customer ID]],customers!$A$1:$A$1001,customers!$I$1:$I$1001,,0)</f>
        <v/>
      </c>
    </row>
    <row r="583">
      <c r="A583" s="2" t="inlineStr">
        <is>
          <t>O1245</t>
        </is>
      </c>
      <c r="B583" s="3" t="inlineStr">
        <is>
          <t>2020-07-09</t>
        </is>
      </c>
      <c r="C583" s="2" t="inlineStr">
        <is>
          <t>O6405</t>
        </is>
      </c>
      <c r="D583" t="inlineStr">
        <is>
          <t>O3589</t>
        </is>
      </c>
      <c r="E583" s="2" t="n">
        <v>56</v>
      </c>
      <c r="F583" s="2">
        <f>_xlfn.XLOOKUP(C583,customers!$A$1:$A$1001,customers!$B$1:$B$1001,,0)</f>
        <v/>
      </c>
      <c r="G583" s="2">
        <f>IF(_xlfn.XLOOKUP(C583,customers!$A$1:$A$1001,customers!$C$1:$C$1001,,0)=0,"",_xlfn.XLOOKUP(C583,customers!$A$1:$A$1001,customers!$C$1:$C$1001,,0))</f>
        <v/>
      </c>
      <c r="H583" s="2">
        <f>_xlfn.XLOOKUP(C583,customers!$A$1:$A$1001,customers!$G$1:$G$1001,,0)</f>
        <v/>
      </c>
      <c r="I583">
        <f>INDEX(products!$A$1:$G$49,MATCH(orders!$D583,products!$A$1:$A$49,0),MATCH(orders!I$1,products!$A$1:$G$1,0))</f>
        <v/>
      </c>
      <c r="J583">
        <f>INDEX(products!$A$1:$G$49,MATCH(orders!$D583,products!$A$1:$A$49,0),MATCH(orders!J$1,products!$A$1:$G$1,0))</f>
        <v/>
      </c>
      <c r="K583" s="4">
        <f>INDEX(products!$A$1:$G$49,MATCH(orders!$D583,products!$A$1:$A$49,0),MATCH(orders!K$1,products!$A$1:$G$1,0))</f>
        <v/>
      </c>
      <c r="L583" s="5">
        <f>INDEX(products!$A$1:$G$49,MATCH(orders!$D583,products!$A$1:$A$49,0),MATCH(orders!L$1,products!$A$1:$G$1,0))</f>
        <v/>
      </c>
      <c r="M583" s="5">
        <f>L583*E583</f>
        <v/>
      </c>
      <c r="N583">
        <f>IF(I583="Rob","Robusta",IF(I583="Exc","Excelsa",IF(I583="Ara","Arabica",IF(I583="Lib","Liberica",""))))</f>
        <v/>
      </c>
      <c r="O583">
        <f>IF(J583="M","Medium",IF(J583="L","Light",IF(J583="D","Dark","")))</f>
        <v/>
      </c>
      <c r="P583">
        <f>_xlfn.XLOOKUP(Orders[[#This Row],[Customer ID]],customers!$A$1:$A$1001,customers!$I$1:$I$1001,,0)</f>
        <v/>
      </c>
    </row>
    <row r="584">
      <c r="A584" s="2" t="inlineStr">
        <is>
          <t>O4538</t>
        </is>
      </c>
      <c r="B584" s="3" t="inlineStr">
        <is>
          <t>2022-07-13</t>
        </is>
      </c>
      <c r="C584" s="2" t="inlineStr">
        <is>
          <t>O2137</t>
        </is>
      </c>
      <c r="D584" t="inlineStr">
        <is>
          <t>O4570</t>
        </is>
      </c>
      <c r="E584" s="2" t="n">
        <v>35</v>
      </c>
      <c r="F584" s="2">
        <f>_xlfn.XLOOKUP(C584,customers!$A$1:$A$1001,customers!$B$1:$B$1001,,0)</f>
        <v/>
      </c>
      <c r="G584" s="2">
        <f>IF(_xlfn.XLOOKUP(C584,customers!$A$1:$A$1001,customers!$C$1:$C$1001,,0)=0,"",_xlfn.XLOOKUP(C584,customers!$A$1:$A$1001,customers!$C$1:$C$1001,,0))</f>
        <v/>
      </c>
      <c r="H584" s="2">
        <f>_xlfn.XLOOKUP(C584,customers!$A$1:$A$1001,customers!$G$1:$G$1001,,0)</f>
        <v/>
      </c>
      <c r="I584">
        <f>INDEX(products!$A$1:$G$49,MATCH(orders!$D584,products!$A$1:$A$49,0),MATCH(orders!I$1,products!$A$1:$G$1,0))</f>
        <v/>
      </c>
      <c r="J584">
        <f>INDEX(products!$A$1:$G$49,MATCH(orders!$D584,products!$A$1:$A$49,0),MATCH(orders!J$1,products!$A$1:$G$1,0))</f>
        <v/>
      </c>
      <c r="K584" s="4">
        <f>INDEX(products!$A$1:$G$49,MATCH(orders!$D584,products!$A$1:$A$49,0),MATCH(orders!K$1,products!$A$1:$G$1,0))</f>
        <v/>
      </c>
      <c r="L584" s="5">
        <f>INDEX(products!$A$1:$G$49,MATCH(orders!$D584,products!$A$1:$A$49,0),MATCH(orders!L$1,products!$A$1:$G$1,0))</f>
        <v/>
      </c>
      <c r="M584" s="5">
        <f>L584*E584</f>
        <v/>
      </c>
      <c r="N584">
        <f>IF(I584="Rob","Robusta",IF(I584="Exc","Excelsa",IF(I584="Ara","Arabica",IF(I584="Lib","Liberica",""))))</f>
        <v/>
      </c>
      <c r="O584">
        <f>IF(J584="M","Medium",IF(J584="L","Light",IF(J584="D","Dark","")))</f>
        <v/>
      </c>
      <c r="P584">
        <f>_xlfn.XLOOKUP(Orders[[#This Row],[Customer ID]],customers!$A$1:$A$1001,customers!$I$1:$I$1001,,0)</f>
        <v/>
      </c>
    </row>
    <row r="585">
      <c r="A585" s="2" t="inlineStr">
        <is>
          <t>O7349</t>
        </is>
      </c>
      <c r="B585" s="3" t="inlineStr">
        <is>
          <t>2025-01-19</t>
        </is>
      </c>
      <c r="C585" s="2" t="inlineStr">
        <is>
          <t>O6929</t>
        </is>
      </c>
      <c r="D585" t="inlineStr">
        <is>
          <t>O4262</t>
        </is>
      </c>
      <c r="E585" s="2" t="n">
        <v>439</v>
      </c>
      <c r="F585" s="2">
        <f>_xlfn.XLOOKUP(C585,customers!$A$1:$A$1001,customers!$B$1:$B$1001,,0)</f>
        <v/>
      </c>
      <c r="G585" s="2">
        <f>IF(_xlfn.XLOOKUP(C585,customers!$A$1:$A$1001,customers!$C$1:$C$1001,,0)=0,"",_xlfn.XLOOKUP(C585,customers!$A$1:$A$1001,customers!$C$1:$C$1001,,0))</f>
        <v/>
      </c>
      <c r="H585" s="2">
        <f>_xlfn.XLOOKUP(C585,customers!$A$1:$A$1001,customers!$G$1:$G$1001,,0)</f>
        <v/>
      </c>
      <c r="I585">
        <f>INDEX(products!$A$1:$G$49,MATCH(orders!$D585,products!$A$1:$A$49,0),MATCH(orders!I$1,products!$A$1:$G$1,0))</f>
        <v/>
      </c>
      <c r="J585">
        <f>INDEX(products!$A$1:$G$49,MATCH(orders!$D585,products!$A$1:$A$49,0),MATCH(orders!J$1,products!$A$1:$G$1,0))</f>
        <v/>
      </c>
      <c r="K585" s="4">
        <f>INDEX(products!$A$1:$G$49,MATCH(orders!$D585,products!$A$1:$A$49,0),MATCH(orders!K$1,products!$A$1:$G$1,0))</f>
        <v/>
      </c>
      <c r="L585" s="5">
        <f>INDEX(products!$A$1:$G$49,MATCH(orders!$D585,products!$A$1:$A$49,0),MATCH(orders!L$1,products!$A$1:$G$1,0))</f>
        <v/>
      </c>
      <c r="M585" s="5">
        <f>L585*E585</f>
        <v/>
      </c>
      <c r="N585">
        <f>IF(I585="Rob","Robusta",IF(I585="Exc","Excelsa",IF(I585="Ara","Arabica",IF(I585="Lib","Liberica",""))))</f>
        <v/>
      </c>
      <c r="O585">
        <f>IF(J585="M","Medium",IF(J585="L","Light",IF(J585="D","Dark","")))</f>
        <v/>
      </c>
      <c r="P585">
        <f>_xlfn.XLOOKUP(Orders[[#This Row],[Customer ID]],customers!$A$1:$A$1001,customers!$I$1:$I$1001,,0)</f>
        <v/>
      </c>
    </row>
    <row r="586">
      <c r="A586" s="2" t="inlineStr">
        <is>
          <t>O4961</t>
        </is>
      </c>
      <c r="B586" s="3" t="inlineStr">
        <is>
          <t>2025-01-13</t>
        </is>
      </c>
      <c r="C586" s="2" t="inlineStr">
        <is>
          <t>O6417</t>
        </is>
      </c>
      <c r="D586" t="inlineStr">
        <is>
          <t>O9303</t>
        </is>
      </c>
      <c r="E586" s="2" t="n">
        <v>369</v>
      </c>
      <c r="F586" s="2">
        <f>_xlfn.XLOOKUP(C586,customers!$A$1:$A$1001,customers!$B$1:$B$1001,,0)</f>
        <v/>
      </c>
      <c r="G586" s="2">
        <f>IF(_xlfn.XLOOKUP(C586,customers!$A$1:$A$1001,customers!$C$1:$C$1001,,0)=0,"",_xlfn.XLOOKUP(C586,customers!$A$1:$A$1001,customers!$C$1:$C$1001,,0))</f>
        <v/>
      </c>
      <c r="H586" s="2">
        <f>_xlfn.XLOOKUP(C586,customers!$A$1:$A$1001,customers!$G$1:$G$1001,,0)</f>
        <v/>
      </c>
      <c r="I586">
        <f>INDEX(products!$A$1:$G$49,MATCH(orders!$D586,products!$A$1:$A$49,0),MATCH(orders!I$1,products!$A$1:$G$1,0))</f>
        <v/>
      </c>
      <c r="J586">
        <f>INDEX(products!$A$1:$G$49,MATCH(orders!$D586,products!$A$1:$A$49,0),MATCH(orders!J$1,products!$A$1:$G$1,0))</f>
        <v/>
      </c>
      <c r="K586" s="4">
        <f>INDEX(products!$A$1:$G$49,MATCH(orders!$D586,products!$A$1:$A$49,0),MATCH(orders!K$1,products!$A$1:$G$1,0))</f>
        <v/>
      </c>
      <c r="L586" s="5">
        <f>INDEX(products!$A$1:$G$49,MATCH(orders!$D586,products!$A$1:$A$49,0),MATCH(orders!L$1,products!$A$1:$G$1,0))</f>
        <v/>
      </c>
      <c r="M586" s="5">
        <f>L586*E586</f>
        <v/>
      </c>
      <c r="N586">
        <f>IF(I586="Rob","Robusta",IF(I586="Exc","Excelsa",IF(I586="Ara","Arabica",IF(I586="Lib","Liberica",""))))</f>
        <v/>
      </c>
      <c r="O586">
        <f>IF(J586="M","Medium",IF(J586="L","Light",IF(J586="D","Dark","")))</f>
        <v/>
      </c>
      <c r="P586">
        <f>_xlfn.XLOOKUP(Orders[[#This Row],[Customer ID]],customers!$A$1:$A$1001,customers!$I$1:$I$1001,,0)</f>
        <v/>
      </c>
    </row>
    <row r="587">
      <c r="A587" s="2" t="inlineStr">
        <is>
          <t>O9931</t>
        </is>
      </c>
      <c r="B587" s="3" t="inlineStr">
        <is>
          <t>2021-12-31</t>
        </is>
      </c>
      <c r="C587" s="2" t="inlineStr">
        <is>
          <t>O2978</t>
        </is>
      </c>
      <c r="D587" t="inlineStr">
        <is>
          <t>O1215</t>
        </is>
      </c>
      <c r="E587" s="2" t="n">
        <v>422</v>
      </c>
      <c r="F587" s="2">
        <f>_xlfn.XLOOKUP(C587,customers!$A$1:$A$1001,customers!$B$1:$B$1001,,0)</f>
        <v/>
      </c>
      <c r="G587" s="2">
        <f>IF(_xlfn.XLOOKUP(C587,customers!$A$1:$A$1001,customers!$C$1:$C$1001,,0)=0,"",_xlfn.XLOOKUP(C587,customers!$A$1:$A$1001,customers!$C$1:$C$1001,,0))</f>
        <v/>
      </c>
      <c r="H587" s="2">
        <f>_xlfn.XLOOKUP(C587,customers!$A$1:$A$1001,customers!$G$1:$G$1001,,0)</f>
        <v/>
      </c>
      <c r="I587">
        <f>INDEX(products!$A$1:$G$49,MATCH(orders!$D587,products!$A$1:$A$49,0),MATCH(orders!I$1,products!$A$1:$G$1,0))</f>
        <v/>
      </c>
      <c r="J587">
        <f>INDEX(products!$A$1:$G$49,MATCH(orders!$D587,products!$A$1:$A$49,0),MATCH(orders!J$1,products!$A$1:$G$1,0))</f>
        <v/>
      </c>
      <c r="K587" s="4">
        <f>INDEX(products!$A$1:$G$49,MATCH(orders!$D587,products!$A$1:$A$49,0),MATCH(orders!K$1,products!$A$1:$G$1,0))</f>
        <v/>
      </c>
      <c r="L587" s="5">
        <f>INDEX(products!$A$1:$G$49,MATCH(orders!$D587,products!$A$1:$A$49,0),MATCH(orders!L$1,products!$A$1:$G$1,0))</f>
        <v/>
      </c>
      <c r="M587" s="5">
        <f>L587*E587</f>
        <v/>
      </c>
      <c r="N587">
        <f>IF(I587="Rob","Robusta",IF(I587="Exc","Excelsa",IF(I587="Ara","Arabica",IF(I587="Lib","Liberica",""))))</f>
        <v/>
      </c>
      <c r="O587">
        <f>IF(J587="M","Medium",IF(J587="L","Light",IF(J587="D","Dark","")))</f>
        <v/>
      </c>
      <c r="P587">
        <f>_xlfn.XLOOKUP(Orders[[#This Row],[Customer ID]],customers!$A$1:$A$1001,customers!$I$1:$I$1001,,0)</f>
        <v/>
      </c>
    </row>
    <row r="588">
      <c r="A588" s="2" t="inlineStr">
        <is>
          <t>O5032</t>
        </is>
      </c>
      <c r="B588" s="3" t="inlineStr">
        <is>
          <t>2023-02-19</t>
        </is>
      </c>
      <c r="C588" s="2" t="inlineStr">
        <is>
          <t>O6025</t>
        </is>
      </c>
      <c r="D588" t="inlineStr">
        <is>
          <t>O5956</t>
        </is>
      </c>
      <c r="E588" s="2" t="n">
        <v>101</v>
      </c>
      <c r="F588" s="2">
        <f>_xlfn.XLOOKUP(C588,customers!$A$1:$A$1001,customers!$B$1:$B$1001,,0)</f>
        <v/>
      </c>
      <c r="G588" s="2">
        <f>IF(_xlfn.XLOOKUP(C588,customers!$A$1:$A$1001,customers!$C$1:$C$1001,,0)=0,"",_xlfn.XLOOKUP(C588,customers!$A$1:$A$1001,customers!$C$1:$C$1001,,0))</f>
        <v/>
      </c>
      <c r="H588" s="2">
        <f>_xlfn.XLOOKUP(C588,customers!$A$1:$A$1001,customers!$G$1:$G$1001,,0)</f>
        <v/>
      </c>
      <c r="I588">
        <f>INDEX(products!$A$1:$G$49,MATCH(orders!$D588,products!$A$1:$A$49,0),MATCH(orders!I$1,products!$A$1:$G$1,0))</f>
        <v/>
      </c>
      <c r="J588">
        <f>INDEX(products!$A$1:$G$49,MATCH(orders!$D588,products!$A$1:$A$49,0),MATCH(orders!J$1,products!$A$1:$G$1,0))</f>
        <v/>
      </c>
      <c r="K588" s="4">
        <f>INDEX(products!$A$1:$G$49,MATCH(orders!$D588,products!$A$1:$A$49,0),MATCH(orders!K$1,products!$A$1:$G$1,0))</f>
        <v/>
      </c>
      <c r="L588" s="5">
        <f>INDEX(products!$A$1:$G$49,MATCH(orders!$D588,products!$A$1:$A$49,0),MATCH(orders!L$1,products!$A$1:$G$1,0))</f>
        <v/>
      </c>
      <c r="M588" s="5">
        <f>L588*E588</f>
        <v/>
      </c>
      <c r="N588">
        <f>IF(I588="Rob","Robusta",IF(I588="Exc","Excelsa",IF(I588="Ara","Arabica",IF(I588="Lib","Liberica",""))))</f>
        <v/>
      </c>
      <c r="O588">
        <f>IF(J588="M","Medium",IF(J588="L","Light",IF(J588="D","Dark","")))</f>
        <v/>
      </c>
      <c r="P588">
        <f>_xlfn.XLOOKUP(Orders[[#This Row],[Customer ID]],customers!$A$1:$A$1001,customers!$I$1:$I$1001,,0)</f>
        <v/>
      </c>
    </row>
    <row r="589">
      <c r="A589" s="2" t="inlineStr">
        <is>
          <t>O7477</t>
        </is>
      </c>
      <c r="B589" s="3" t="inlineStr">
        <is>
          <t>2025-06-10</t>
        </is>
      </c>
      <c r="C589" s="2" t="inlineStr">
        <is>
          <t>O3924</t>
        </is>
      </c>
      <c r="D589" t="inlineStr">
        <is>
          <t>O5858</t>
        </is>
      </c>
      <c r="E589" s="2" t="n">
        <v>385</v>
      </c>
      <c r="F589" s="2">
        <f>_xlfn.XLOOKUP(C589,customers!$A$1:$A$1001,customers!$B$1:$B$1001,,0)</f>
        <v/>
      </c>
      <c r="G589" s="2">
        <f>IF(_xlfn.XLOOKUP(C589,customers!$A$1:$A$1001,customers!$C$1:$C$1001,,0)=0,"",_xlfn.XLOOKUP(C589,customers!$A$1:$A$1001,customers!$C$1:$C$1001,,0))</f>
        <v/>
      </c>
      <c r="H589" s="2">
        <f>_xlfn.XLOOKUP(C589,customers!$A$1:$A$1001,customers!$G$1:$G$1001,,0)</f>
        <v/>
      </c>
      <c r="I589">
        <f>INDEX(products!$A$1:$G$49,MATCH(orders!$D589,products!$A$1:$A$49,0),MATCH(orders!I$1,products!$A$1:$G$1,0))</f>
        <v/>
      </c>
      <c r="J589">
        <f>INDEX(products!$A$1:$G$49,MATCH(orders!$D589,products!$A$1:$A$49,0),MATCH(orders!J$1,products!$A$1:$G$1,0))</f>
        <v/>
      </c>
      <c r="K589" s="4">
        <f>INDEX(products!$A$1:$G$49,MATCH(orders!$D589,products!$A$1:$A$49,0),MATCH(orders!K$1,products!$A$1:$G$1,0))</f>
        <v/>
      </c>
      <c r="L589" s="5">
        <f>INDEX(products!$A$1:$G$49,MATCH(orders!$D589,products!$A$1:$A$49,0),MATCH(orders!L$1,products!$A$1:$G$1,0))</f>
        <v/>
      </c>
      <c r="M589" s="5">
        <f>L589*E589</f>
        <v/>
      </c>
      <c r="N589">
        <f>IF(I589="Rob","Robusta",IF(I589="Exc","Excelsa",IF(I589="Ara","Arabica",IF(I589="Lib","Liberica",""))))</f>
        <v/>
      </c>
      <c r="O589">
        <f>IF(J589="M","Medium",IF(J589="L","Light",IF(J589="D","Dark","")))</f>
        <v/>
      </c>
      <c r="P589">
        <f>_xlfn.XLOOKUP(Orders[[#This Row],[Customer ID]],customers!$A$1:$A$1001,customers!$I$1:$I$1001,,0)</f>
        <v/>
      </c>
    </row>
    <row r="590">
      <c r="A590" s="2" t="inlineStr">
        <is>
          <t>O8263</t>
        </is>
      </c>
      <c r="B590" s="3" t="inlineStr">
        <is>
          <t>2025-06-06</t>
        </is>
      </c>
      <c r="C590" s="2" t="inlineStr">
        <is>
          <t>O4694</t>
        </is>
      </c>
      <c r="D590" t="inlineStr">
        <is>
          <t>O9990</t>
        </is>
      </c>
      <c r="E590" s="2" t="n">
        <v>380</v>
      </c>
      <c r="F590" s="2">
        <f>_xlfn.XLOOKUP(C590,customers!$A$1:$A$1001,customers!$B$1:$B$1001,,0)</f>
        <v/>
      </c>
      <c r="G590" s="2">
        <f>IF(_xlfn.XLOOKUP(C590,customers!$A$1:$A$1001,customers!$C$1:$C$1001,,0)=0,"",_xlfn.XLOOKUP(C590,customers!$A$1:$A$1001,customers!$C$1:$C$1001,,0))</f>
        <v/>
      </c>
      <c r="H590" s="2">
        <f>_xlfn.XLOOKUP(C590,customers!$A$1:$A$1001,customers!$G$1:$G$1001,,0)</f>
        <v/>
      </c>
      <c r="I590">
        <f>INDEX(products!$A$1:$G$49,MATCH(orders!$D590,products!$A$1:$A$49,0),MATCH(orders!I$1,products!$A$1:$G$1,0))</f>
        <v/>
      </c>
      <c r="J590">
        <f>INDEX(products!$A$1:$G$49,MATCH(orders!$D590,products!$A$1:$A$49,0),MATCH(orders!J$1,products!$A$1:$G$1,0))</f>
        <v/>
      </c>
      <c r="K590" s="4">
        <f>INDEX(products!$A$1:$G$49,MATCH(orders!$D590,products!$A$1:$A$49,0),MATCH(orders!K$1,products!$A$1:$G$1,0))</f>
        <v/>
      </c>
      <c r="L590" s="5">
        <f>INDEX(products!$A$1:$G$49,MATCH(orders!$D590,products!$A$1:$A$49,0),MATCH(orders!L$1,products!$A$1:$G$1,0))</f>
        <v/>
      </c>
      <c r="M590" s="5">
        <f>L590*E590</f>
        <v/>
      </c>
      <c r="N590">
        <f>IF(I590="Rob","Robusta",IF(I590="Exc","Excelsa",IF(I590="Ara","Arabica",IF(I590="Lib","Liberica",""))))</f>
        <v/>
      </c>
      <c r="O590">
        <f>IF(J590="M","Medium",IF(J590="L","Light",IF(J590="D","Dark","")))</f>
        <v/>
      </c>
      <c r="P590">
        <f>_xlfn.XLOOKUP(Orders[[#This Row],[Customer ID]],customers!$A$1:$A$1001,customers!$I$1:$I$1001,,0)</f>
        <v/>
      </c>
    </row>
    <row r="591">
      <c r="A591" s="2" t="inlineStr">
        <is>
          <t>O5703</t>
        </is>
      </c>
      <c r="B591" s="3" t="inlineStr">
        <is>
          <t>2023-04-18</t>
        </is>
      </c>
      <c r="C591" s="2" t="inlineStr">
        <is>
          <t>O4829</t>
        </is>
      </c>
      <c r="D591" t="inlineStr">
        <is>
          <t>O2989</t>
        </is>
      </c>
      <c r="E591" s="2" t="n">
        <v>427</v>
      </c>
      <c r="F591" s="2">
        <f>_xlfn.XLOOKUP(C591,customers!$A$1:$A$1001,customers!$B$1:$B$1001,,0)</f>
        <v/>
      </c>
      <c r="G591" s="2">
        <f>IF(_xlfn.XLOOKUP(C591,customers!$A$1:$A$1001,customers!$C$1:$C$1001,,0)=0,"",_xlfn.XLOOKUP(C591,customers!$A$1:$A$1001,customers!$C$1:$C$1001,,0))</f>
        <v/>
      </c>
      <c r="H591" s="2">
        <f>_xlfn.XLOOKUP(C591,customers!$A$1:$A$1001,customers!$G$1:$G$1001,,0)</f>
        <v/>
      </c>
      <c r="I591">
        <f>INDEX(products!$A$1:$G$49,MATCH(orders!$D591,products!$A$1:$A$49,0),MATCH(orders!I$1,products!$A$1:$G$1,0))</f>
        <v/>
      </c>
      <c r="J591">
        <f>INDEX(products!$A$1:$G$49,MATCH(orders!$D591,products!$A$1:$A$49,0),MATCH(orders!J$1,products!$A$1:$G$1,0))</f>
        <v/>
      </c>
      <c r="K591" s="4">
        <f>INDEX(products!$A$1:$G$49,MATCH(orders!$D591,products!$A$1:$A$49,0),MATCH(orders!K$1,products!$A$1:$G$1,0))</f>
        <v/>
      </c>
      <c r="L591" s="5">
        <f>INDEX(products!$A$1:$G$49,MATCH(orders!$D591,products!$A$1:$A$49,0),MATCH(orders!L$1,products!$A$1:$G$1,0))</f>
        <v/>
      </c>
      <c r="M591" s="5">
        <f>L591*E591</f>
        <v/>
      </c>
      <c r="N591">
        <f>IF(I591="Rob","Robusta",IF(I591="Exc","Excelsa",IF(I591="Ara","Arabica",IF(I591="Lib","Liberica",""))))</f>
        <v/>
      </c>
      <c r="O591">
        <f>IF(J591="M","Medium",IF(J591="L","Light",IF(J591="D","Dark","")))</f>
        <v/>
      </c>
      <c r="P591">
        <f>_xlfn.XLOOKUP(Orders[[#This Row],[Customer ID]],customers!$A$1:$A$1001,customers!$I$1:$I$1001,,0)</f>
        <v/>
      </c>
    </row>
    <row r="592">
      <c r="A592" s="2" t="inlineStr">
        <is>
          <t>O8344</t>
        </is>
      </c>
      <c r="B592" s="3" t="inlineStr">
        <is>
          <t>2022-07-04</t>
        </is>
      </c>
      <c r="C592" s="2" t="inlineStr">
        <is>
          <t>O6650</t>
        </is>
      </c>
      <c r="D592" t="inlineStr">
        <is>
          <t>O7151</t>
        </is>
      </c>
      <c r="E592" s="2" t="n">
        <v>293</v>
      </c>
      <c r="F592" s="2">
        <f>_xlfn.XLOOKUP(C592,customers!$A$1:$A$1001,customers!$B$1:$B$1001,,0)</f>
        <v/>
      </c>
      <c r="G592" s="2">
        <f>IF(_xlfn.XLOOKUP(C592,customers!$A$1:$A$1001,customers!$C$1:$C$1001,,0)=0,"",_xlfn.XLOOKUP(C592,customers!$A$1:$A$1001,customers!$C$1:$C$1001,,0))</f>
        <v/>
      </c>
      <c r="H592" s="2">
        <f>_xlfn.XLOOKUP(C592,customers!$A$1:$A$1001,customers!$G$1:$G$1001,,0)</f>
        <v/>
      </c>
      <c r="I592">
        <f>INDEX(products!$A$1:$G$49,MATCH(orders!$D592,products!$A$1:$A$49,0),MATCH(orders!I$1,products!$A$1:$G$1,0))</f>
        <v/>
      </c>
      <c r="J592">
        <f>INDEX(products!$A$1:$G$49,MATCH(orders!$D592,products!$A$1:$A$49,0),MATCH(orders!J$1,products!$A$1:$G$1,0))</f>
        <v/>
      </c>
      <c r="K592" s="4">
        <f>INDEX(products!$A$1:$G$49,MATCH(orders!$D592,products!$A$1:$A$49,0),MATCH(orders!K$1,products!$A$1:$G$1,0))</f>
        <v/>
      </c>
      <c r="L592" s="5">
        <f>INDEX(products!$A$1:$G$49,MATCH(orders!$D592,products!$A$1:$A$49,0),MATCH(orders!L$1,products!$A$1:$G$1,0))</f>
        <v/>
      </c>
      <c r="M592" s="5">
        <f>L592*E592</f>
        <v/>
      </c>
      <c r="N592">
        <f>IF(I592="Rob","Robusta",IF(I592="Exc","Excelsa",IF(I592="Ara","Arabica",IF(I592="Lib","Liberica",""))))</f>
        <v/>
      </c>
      <c r="O592">
        <f>IF(J592="M","Medium",IF(J592="L","Light",IF(J592="D","Dark","")))</f>
        <v/>
      </c>
      <c r="P592">
        <f>_xlfn.XLOOKUP(Orders[[#This Row],[Customer ID]],customers!$A$1:$A$1001,customers!$I$1:$I$1001,,0)</f>
        <v/>
      </c>
    </row>
    <row r="593">
      <c r="A593" s="2" t="inlineStr">
        <is>
          <t>O8669</t>
        </is>
      </c>
      <c r="B593" s="3" t="inlineStr">
        <is>
          <t>2023-09-13</t>
        </is>
      </c>
      <c r="C593" s="2" t="inlineStr">
        <is>
          <t>O2602</t>
        </is>
      </c>
      <c r="D593" t="inlineStr">
        <is>
          <t>O4206</t>
        </is>
      </c>
      <c r="E593" s="2" t="n">
        <v>178</v>
      </c>
      <c r="F593" s="2">
        <f>_xlfn.XLOOKUP(C593,customers!$A$1:$A$1001,customers!$B$1:$B$1001,,0)</f>
        <v/>
      </c>
      <c r="G593" s="2">
        <f>IF(_xlfn.XLOOKUP(C593,customers!$A$1:$A$1001,customers!$C$1:$C$1001,,0)=0,"",_xlfn.XLOOKUP(C593,customers!$A$1:$A$1001,customers!$C$1:$C$1001,,0))</f>
        <v/>
      </c>
      <c r="H593" s="2">
        <f>_xlfn.XLOOKUP(C593,customers!$A$1:$A$1001,customers!$G$1:$G$1001,,0)</f>
        <v/>
      </c>
      <c r="I593">
        <f>INDEX(products!$A$1:$G$49,MATCH(orders!$D593,products!$A$1:$A$49,0),MATCH(orders!I$1,products!$A$1:$G$1,0))</f>
        <v/>
      </c>
      <c r="J593">
        <f>INDEX(products!$A$1:$G$49,MATCH(orders!$D593,products!$A$1:$A$49,0),MATCH(orders!J$1,products!$A$1:$G$1,0))</f>
        <v/>
      </c>
      <c r="K593" s="4">
        <f>INDEX(products!$A$1:$G$49,MATCH(orders!$D593,products!$A$1:$A$49,0),MATCH(orders!K$1,products!$A$1:$G$1,0))</f>
        <v/>
      </c>
      <c r="L593" s="5">
        <f>INDEX(products!$A$1:$G$49,MATCH(orders!$D593,products!$A$1:$A$49,0),MATCH(orders!L$1,products!$A$1:$G$1,0))</f>
        <v/>
      </c>
      <c r="M593" s="5">
        <f>L593*E593</f>
        <v/>
      </c>
      <c r="N593">
        <f>IF(I593="Rob","Robusta",IF(I593="Exc","Excelsa",IF(I593="Ara","Arabica",IF(I593="Lib","Liberica",""))))</f>
        <v/>
      </c>
      <c r="O593">
        <f>IF(J593="M","Medium",IF(J593="L","Light",IF(J593="D","Dark","")))</f>
        <v/>
      </c>
      <c r="P593">
        <f>_xlfn.XLOOKUP(Orders[[#This Row],[Customer ID]],customers!$A$1:$A$1001,customers!$I$1:$I$1001,,0)</f>
        <v/>
      </c>
    </row>
    <row r="594">
      <c r="A594" s="2" t="inlineStr">
        <is>
          <t>O7175</t>
        </is>
      </c>
      <c r="B594" s="3" t="inlineStr">
        <is>
          <t>2021-01-06</t>
        </is>
      </c>
      <c r="C594" s="2" t="inlineStr">
        <is>
          <t>O5411</t>
        </is>
      </c>
      <c r="D594" t="inlineStr">
        <is>
          <t>O6698</t>
        </is>
      </c>
      <c r="E594" s="2" t="n">
        <v>412</v>
      </c>
      <c r="F594" s="2">
        <f>_xlfn.XLOOKUP(C594,customers!$A$1:$A$1001,customers!$B$1:$B$1001,,0)</f>
        <v/>
      </c>
      <c r="G594" s="2">
        <f>IF(_xlfn.XLOOKUP(C594,customers!$A$1:$A$1001,customers!$C$1:$C$1001,,0)=0,"",_xlfn.XLOOKUP(C594,customers!$A$1:$A$1001,customers!$C$1:$C$1001,,0))</f>
        <v/>
      </c>
      <c r="H594" s="2">
        <f>_xlfn.XLOOKUP(C594,customers!$A$1:$A$1001,customers!$G$1:$G$1001,,0)</f>
        <v/>
      </c>
      <c r="I594">
        <f>INDEX(products!$A$1:$G$49,MATCH(orders!$D594,products!$A$1:$A$49,0),MATCH(orders!I$1,products!$A$1:$G$1,0))</f>
        <v/>
      </c>
      <c r="J594">
        <f>INDEX(products!$A$1:$G$49,MATCH(orders!$D594,products!$A$1:$A$49,0),MATCH(orders!J$1,products!$A$1:$G$1,0))</f>
        <v/>
      </c>
      <c r="K594" s="4">
        <f>INDEX(products!$A$1:$G$49,MATCH(orders!$D594,products!$A$1:$A$49,0),MATCH(orders!K$1,products!$A$1:$G$1,0))</f>
        <v/>
      </c>
      <c r="L594" s="5">
        <f>INDEX(products!$A$1:$G$49,MATCH(orders!$D594,products!$A$1:$A$49,0),MATCH(orders!L$1,products!$A$1:$G$1,0))</f>
        <v/>
      </c>
      <c r="M594" s="5">
        <f>L594*E594</f>
        <v/>
      </c>
      <c r="N594">
        <f>IF(I594="Rob","Robusta",IF(I594="Exc","Excelsa",IF(I594="Ara","Arabica",IF(I594="Lib","Liberica",""))))</f>
        <v/>
      </c>
      <c r="O594">
        <f>IF(J594="M","Medium",IF(J594="L","Light",IF(J594="D","Dark","")))</f>
        <v/>
      </c>
      <c r="P594">
        <f>_xlfn.XLOOKUP(Orders[[#This Row],[Customer ID]],customers!$A$1:$A$1001,customers!$I$1:$I$1001,,0)</f>
        <v/>
      </c>
    </row>
    <row r="595">
      <c r="A595" s="2" t="inlineStr">
        <is>
          <t>O2068</t>
        </is>
      </c>
      <c r="B595" s="3" t="inlineStr">
        <is>
          <t>2025-01-19</t>
        </is>
      </c>
      <c r="C595" s="2" t="inlineStr">
        <is>
          <t>O2830</t>
        </is>
      </c>
      <c r="D595" t="inlineStr">
        <is>
          <t>O4293</t>
        </is>
      </c>
      <c r="E595" s="2" t="n">
        <v>381</v>
      </c>
      <c r="F595" s="2">
        <f>_xlfn.XLOOKUP(C595,customers!$A$1:$A$1001,customers!$B$1:$B$1001,,0)</f>
        <v/>
      </c>
      <c r="G595" s="2">
        <f>IF(_xlfn.XLOOKUP(C595,customers!$A$1:$A$1001,customers!$C$1:$C$1001,,0)=0,"",_xlfn.XLOOKUP(C595,customers!$A$1:$A$1001,customers!$C$1:$C$1001,,0))</f>
        <v/>
      </c>
      <c r="H595" s="2">
        <f>_xlfn.XLOOKUP(C595,customers!$A$1:$A$1001,customers!$G$1:$G$1001,,0)</f>
        <v/>
      </c>
      <c r="I595">
        <f>INDEX(products!$A$1:$G$49,MATCH(orders!$D595,products!$A$1:$A$49,0),MATCH(orders!I$1,products!$A$1:$G$1,0))</f>
        <v/>
      </c>
      <c r="J595">
        <f>INDEX(products!$A$1:$G$49,MATCH(orders!$D595,products!$A$1:$A$49,0),MATCH(orders!J$1,products!$A$1:$G$1,0))</f>
        <v/>
      </c>
      <c r="K595" s="4">
        <f>INDEX(products!$A$1:$G$49,MATCH(orders!$D595,products!$A$1:$A$49,0),MATCH(orders!K$1,products!$A$1:$G$1,0))</f>
        <v/>
      </c>
      <c r="L595" s="5">
        <f>INDEX(products!$A$1:$G$49,MATCH(orders!$D595,products!$A$1:$A$49,0),MATCH(orders!L$1,products!$A$1:$G$1,0))</f>
        <v/>
      </c>
      <c r="M595" s="5">
        <f>L595*E595</f>
        <v/>
      </c>
      <c r="N595">
        <f>IF(I595="Rob","Robusta",IF(I595="Exc","Excelsa",IF(I595="Ara","Arabica",IF(I595="Lib","Liberica",""))))</f>
        <v/>
      </c>
      <c r="O595">
        <f>IF(J595="M","Medium",IF(J595="L","Light",IF(J595="D","Dark","")))</f>
        <v/>
      </c>
      <c r="P595">
        <f>_xlfn.XLOOKUP(Orders[[#This Row],[Customer ID]],customers!$A$1:$A$1001,customers!$I$1:$I$1001,,0)</f>
        <v/>
      </c>
    </row>
    <row r="596">
      <c r="A596" s="2" t="inlineStr">
        <is>
          <t>O9938</t>
        </is>
      </c>
      <c r="B596" s="3" t="inlineStr">
        <is>
          <t>2022-09-19</t>
        </is>
      </c>
      <c r="C596" s="2" t="inlineStr">
        <is>
          <t>O9952</t>
        </is>
      </c>
      <c r="D596" t="inlineStr">
        <is>
          <t>O3825</t>
        </is>
      </c>
      <c r="E596" s="2" t="n">
        <v>456</v>
      </c>
      <c r="F596" s="2">
        <f>_xlfn.XLOOKUP(C596,customers!$A$1:$A$1001,customers!$B$1:$B$1001,,0)</f>
        <v/>
      </c>
      <c r="G596" s="2">
        <f>IF(_xlfn.XLOOKUP(C596,customers!$A$1:$A$1001,customers!$C$1:$C$1001,,0)=0,"",_xlfn.XLOOKUP(C596,customers!$A$1:$A$1001,customers!$C$1:$C$1001,,0))</f>
        <v/>
      </c>
      <c r="H596" s="2">
        <f>_xlfn.XLOOKUP(C596,customers!$A$1:$A$1001,customers!$G$1:$G$1001,,0)</f>
        <v/>
      </c>
      <c r="I596">
        <f>INDEX(products!$A$1:$G$49,MATCH(orders!$D596,products!$A$1:$A$49,0),MATCH(orders!I$1,products!$A$1:$G$1,0))</f>
        <v/>
      </c>
      <c r="J596">
        <f>INDEX(products!$A$1:$G$49,MATCH(orders!$D596,products!$A$1:$A$49,0),MATCH(orders!J$1,products!$A$1:$G$1,0))</f>
        <v/>
      </c>
      <c r="K596" s="4">
        <f>INDEX(products!$A$1:$G$49,MATCH(orders!$D596,products!$A$1:$A$49,0),MATCH(orders!K$1,products!$A$1:$G$1,0))</f>
        <v/>
      </c>
      <c r="L596" s="5">
        <f>INDEX(products!$A$1:$G$49,MATCH(orders!$D596,products!$A$1:$A$49,0),MATCH(orders!L$1,products!$A$1:$G$1,0))</f>
        <v/>
      </c>
      <c r="M596" s="5">
        <f>L596*E596</f>
        <v/>
      </c>
      <c r="N596">
        <f>IF(I596="Rob","Robusta",IF(I596="Exc","Excelsa",IF(I596="Ara","Arabica",IF(I596="Lib","Liberica",""))))</f>
        <v/>
      </c>
      <c r="O596">
        <f>IF(J596="M","Medium",IF(J596="L","Light",IF(J596="D","Dark","")))</f>
        <v/>
      </c>
      <c r="P596">
        <f>_xlfn.XLOOKUP(Orders[[#This Row],[Customer ID]],customers!$A$1:$A$1001,customers!$I$1:$I$1001,,0)</f>
        <v/>
      </c>
    </row>
    <row r="597">
      <c r="A597" s="2" t="inlineStr">
        <is>
          <t>O4238</t>
        </is>
      </c>
      <c r="B597" s="3" t="inlineStr">
        <is>
          <t>2021-01-26</t>
        </is>
      </c>
      <c r="C597" s="2" t="inlineStr">
        <is>
          <t>O2948</t>
        </is>
      </c>
      <c r="D597" t="inlineStr">
        <is>
          <t>O9266</t>
        </is>
      </c>
      <c r="E597" s="2" t="n">
        <v>451</v>
      </c>
      <c r="F597" s="2">
        <f>_xlfn.XLOOKUP(C597,customers!$A$1:$A$1001,customers!$B$1:$B$1001,,0)</f>
        <v/>
      </c>
      <c r="G597" s="2">
        <f>IF(_xlfn.XLOOKUP(C597,customers!$A$1:$A$1001,customers!$C$1:$C$1001,,0)=0,"",_xlfn.XLOOKUP(C597,customers!$A$1:$A$1001,customers!$C$1:$C$1001,,0))</f>
        <v/>
      </c>
      <c r="H597" s="2">
        <f>_xlfn.XLOOKUP(C597,customers!$A$1:$A$1001,customers!$G$1:$G$1001,,0)</f>
        <v/>
      </c>
      <c r="I597">
        <f>INDEX(products!$A$1:$G$49,MATCH(orders!$D597,products!$A$1:$A$49,0),MATCH(orders!I$1,products!$A$1:$G$1,0))</f>
        <v/>
      </c>
      <c r="J597">
        <f>INDEX(products!$A$1:$G$49,MATCH(orders!$D597,products!$A$1:$A$49,0),MATCH(orders!J$1,products!$A$1:$G$1,0))</f>
        <v/>
      </c>
      <c r="K597" s="4">
        <f>INDEX(products!$A$1:$G$49,MATCH(orders!$D597,products!$A$1:$A$49,0),MATCH(orders!K$1,products!$A$1:$G$1,0))</f>
        <v/>
      </c>
      <c r="L597" s="5">
        <f>INDEX(products!$A$1:$G$49,MATCH(orders!$D597,products!$A$1:$A$49,0),MATCH(orders!L$1,products!$A$1:$G$1,0))</f>
        <v/>
      </c>
      <c r="M597" s="5">
        <f>L597*E597</f>
        <v/>
      </c>
      <c r="N597">
        <f>IF(I597="Rob","Robusta",IF(I597="Exc","Excelsa",IF(I597="Ara","Arabica",IF(I597="Lib","Liberica",""))))</f>
        <v/>
      </c>
      <c r="O597">
        <f>IF(J597="M","Medium",IF(J597="L","Light",IF(J597="D","Dark","")))</f>
        <v/>
      </c>
      <c r="P597">
        <f>_xlfn.XLOOKUP(Orders[[#This Row],[Customer ID]],customers!$A$1:$A$1001,customers!$I$1:$I$1001,,0)</f>
        <v/>
      </c>
    </row>
    <row r="598">
      <c r="A598" s="2" t="inlineStr">
        <is>
          <t>O7153</t>
        </is>
      </c>
      <c r="B598" s="3" t="inlineStr">
        <is>
          <t>2023-03-02</t>
        </is>
      </c>
      <c r="C598" s="2" t="inlineStr">
        <is>
          <t>O7147</t>
        </is>
      </c>
      <c r="D598" t="inlineStr">
        <is>
          <t>O3054</t>
        </is>
      </c>
      <c r="E598" s="2" t="n">
        <v>303</v>
      </c>
      <c r="F598" s="2">
        <f>_xlfn.XLOOKUP(C598,customers!$A$1:$A$1001,customers!$B$1:$B$1001,,0)</f>
        <v/>
      </c>
      <c r="G598" s="2">
        <f>IF(_xlfn.XLOOKUP(C598,customers!$A$1:$A$1001,customers!$C$1:$C$1001,,0)=0,"",_xlfn.XLOOKUP(C598,customers!$A$1:$A$1001,customers!$C$1:$C$1001,,0))</f>
        <v/>
      </c>
      <c r="H598" s="2">
        <f>_xlfn.XLOOKUP(C598,customers!$A$1:$A$1001,customers!$G$1:$G$1001,,0)</f>
        <v/>
      </c>
      <c r="I598">
        <f>INDEX(products!$A$1:$G$49,MATCH(orders!$D598,products!$A$1:$A$49,0),MATCH(orders!I$1,products!$A$1:$G$1,0))</f>
        <v/>
      </c>
      <c r="J598">
        <f>INDEX(products!$A$1:$G$49,MATCH(orders!$D598,products!$A$1:$A$49,0),MATCH(orders!J$1,products!$A$1:$G$1,0))</f>
        <v/>
      </c>
      <c r="K598" s="4">
        <f>INDEX(products!$A$1:$G$49,MATCH(orders!$D598,products!$A$1:$A$49,0),MATCH(orders!K$1,products!$A$1:$G$1,0))</f>
        <v/>
      </c>
      <c r="L598" s="5">
        <f>INDEX(products!$A$1:$G$49,MATCH(orders!$D598,products!$A$1:$A$49,0),MATCH(orders!L$1,products!$A$1:$G$1,0))</f>
        <v/>
      </c>
      <c r="M598" s="5">
        <f>L598*E598</f>
        <v/>
      </c>
      <c r="N598">
        <f>IF(I598="Rob","Robusta",IF(I598="Exc","Excelsa",IF(I598="Ara","Arabica",IF(I598="Lib","Liberica",""))))</f>
        <v/>
      </c>
      <c r="O598">
        <f>IF(J598="M","Medium",IF(J598="L","Light",IF(J598="D","Dark","")))</f>
        <v/>
      </c>
      <c r="P598">
        <f>_xlfn.XLOOKUP(Orders[[#This Row],[Customer ID]],customers!$A$1:$A$1001,customers!$I$1:$I$1001,,0)</f>
        <v/>
      </c>
    </row>
    <row r="599">
      <c r="A599" s="2" t="inlineStr">
        <is>
          <t>O7086</t>
        </is>
      </c>
      <c r="B599" s="3" t="inlineStr">
        <is>
          <t>2021-11-08</t>
        </is>
      </c>
      <c r="C599" s="2" t="inlineStr">
        <is>
          <t>O3594</t>
        </is>
      </c>
      <c r="D599" t="inlineStr">
        <is>
          <t>O8625</t>
        </is>
      </c>
      <c r="E599" s="2" t="n">
        <v>175</v>
      </c>
      <c r="F599" s="2">
        <f>_xlfn.XLOOKUP(C599,customers!$A$1:$A$1001,customers!$B$1:$B$1001,,0)</f>
        <v/>
      </c>
      <c r="G599" s="2">
        <f>IF(_xlfn.XLOOKUP(C599,customers!$A$1:$A$1001,customers!$C$1:$C$1001,,0)=0,"",_xlfn.XLOOKUP(C599,customers!$A$1:$A$1001,customers!$C$1:$C$1001,,0))</f>
        <v/>
      </c>
      <c r="H599" s="2">
        <f>_xlfn.XLOOKUP(C599,customers!$A$1:$A$1001,customers!$G$1:$G$1001,,0)</f>
        <v/>
      </c>
      <c r="I599">
        <f>INDEX(products!$A$1:$G$49,MATCH(orders!$D599,products!$A$1:$A$49,0),MATCH(orders!I$1,products!$A$1:$G$1,0))</f>
        <v/>
      </c>
      <c r="J599">
        <f>INDEX(products!$A$1:$G$49,MATCH(orders!$D599,products!$A$1:$A$49,0),MATCH(orders!J$1,products!$A$1:$G$1,0))</f>
        <v/>
      </c>
      <c r="K599" s="4">
        <f>INDEX(products!$A$1:$G$49,MATCH(orders!$D599,products!$A$1:$A$49,0),MATCH(orders!K$1,products!$A$1:$G$1,0))</f>
        <v/>
      </c>
      <c r="L599" s="5">
        <f>INDEX(products!$A$1:$G$49,MATCH(orders!$D599,products!$A$1:$A$49,0),MATCH(orders!L$1,products!$A$1:$G$1,0))</f>
        <v/>
      </c>
      <c r="M599" s="5">
        <f>L599*E599</f>
        <v/>
      </c>
      <c r="N599">
        <f>IF(I599="Rob","Robusta",IF(I599="Exc","Excelsa",IF(I599="Ara","Arabica",IF(I599="Lib","Liberica",""))))</f>
        <v/>
      </c>
      <c r="O599">
        <f>IF(J599="M","Medium",IF(J599="L","Light",IF(J599="D","Dark","")))</f>
        <v/>
      </c>
      <c r="P599">
        <f>_xlfn.XLOOKUP(Orders[[#This Row],[Customer ID]],customers!$A$1:$A$1001,customers!$I$1:$I$1001,,0)</f>
        <v/>
      </c>
    </row>
    <row r="600">
      <c r="A600" s="2" t="inlineStr">
        <is>
          <t>O9112</t>
        </is>
      </c>
      <c r="B600" s="3" t="inlineStr">
        <is>
          <t>2025-02-07</t>
        </is>
      </c>
      <c r="C600" s="2" t="inlineStr">
        <is>
          <t>O2726</t>
        </is>
      </c>
      <c r="D600" t="inlineStr">
        <is>
          <t>O7417</t>
        </is>
      </c>
      <c r="E600" s="2" t="n">
        <v>400</v>
      </c>
      <c r="F600" s="2">
        <f>_xlfn.XLOOKUP(C600,customers!$A$1:$A$1001,customers!$B$1:$B$1001,,0)</f>
        <v/>
      </c>
      <c r="G600" s="2">
        <f>IF(_xlfn.XLOOKUP(C600,customers!$A$1:$A$1001,customers!$C$1:$C$1001,,0)=0,"",_xlfn.XLOOKUP(C600,customers!$A$1:$A$1001,customers!$C$1:$C$1001,,0))</f>
        <v/>
      </c>
      <c r="H600" s="2">
        <f>_xlfn.XLOOKUP(C600,customers!$A$1:$A$1001,customers!$G$1:$G$1001,,0)</f>
        <v/>
      </c>
      <c r="I600">
        <f>INDEX(products!$A$1:$G$49,MATCH(orders!$D600,products!$A$1:$A$49,0),MATCH(orders!I$1,products!$A$1:$G$1,0))</f>
        <v/>
      </c>
      <c r="J600">
        <f>INDEX(products!$A$1:$G$49,MATCH(orders!$D600,products!$A$1:$A$49,0),MATCH(orders!J$1,products!$A$1:$G$1,0))</f>
        <v/>
      </c>
      <c r="K600" s="4">
        <f>INDEX(products!$A$1:$G$49,MATCH(orders!$D600,products!$A$1:$A$49,0),MATCH(orders!K$1,products!$A$1:$G$1,0))</f>
        <v/>
      </c>
      <c r="L600" s="5">
        <f>INDEX(products!$A$1:$G$49,MATCH(orders!$D600,products!$A$1:$A$49,0),MATCH(orders!L$1,products!$A$1:$G$1,0))</f>
        <v/>
      </c>
      <c r="M600" s="5">
        <f>L600*E600</f>
        <v/>
      </c>
      <c r="N600">
        <f>IF(I600="Rob","Robusta",IF(I600="Exc","Excelsa",IF(I600="Ara","Arabica",IF(I600="Lib","Liberica",""))))</f>
        <v/>
      </c>
      <c r="O600">
        <f>IF(J600="M","Medium",IF(J600="L","Light",IF(J600="D","Dark","")))</f>
        <v/>
      </c>
      <c r="P600">
        <f>_xlfn.XLOOKUP(Orders[[#This Row],[Customer ID]],customers!$A$1:$A$1001,customers!$I$1:$I$1001,,0)</f>
        <v/>
      </c>
    </row>
    <row r="601">
      <c r="A601" s="2" t="inlineStr">
        <is>
          <t>O8773</t>
        </is>
      </c>
      <c r="B601" s="3" t="inlineStr">
        <is>
          <t>2021-02-11</t>
        </is>
      </c>
      <c r="C601" s="2" t="inlineStr">
        <is>
          <t>O2149</t>
        </is>
      </c>
      <c r="D601" t="inlineStr">
        <is>
          <t>O8352</t>
        </is>
      </c>
      <c r="E601" s="2" t="n">
        <v>92</v>
      </c>
      <c r="F601" s="2">
        <f>_xlfn.XLOOKUP(C601,customers!$A$1:$A$1001,customers!$B$1:$B$1001,,0)</f>
        <v/>
      </c>
      <c r="G601" s="2">
        <f>IF(_xlfn.XLOOKUP(C601,customers!$A$1:$A$1001,customers!$C$1:$C$1001,,0)=0,"",_xlfn.XLOOKUP(C601,customers!$A$1:$A$1001,customers!$C$1:$C$1001,,0))</f>
        <v/>
      </c>
      <c r="H601" s="2">
        <f>_xlfn.XLOOKUP(C601,customers!$A$1:$A$1001,customers!$G$1:$G$1001,,0)</f>
        <v/>
      </c>
      <c r="I601">
        <f>INDEX(products!$A$1:$G$49,MATCH(orders!$D601,products!$A$1:$A$49,0),MATCH(orders!I$1,products!$A$1:$G$1,0))</f>
        <v/>
      </c>
      <c r="J601">
        <f>INDEX(products!$A$1:$G$49,MATCH(orders!$D601,products!$A$1:$A$49,0),MATCH(orders!J$1,products!$A$1:$G$1,0))</f>
        <v/>
      </c>
      <c r="K601" s="4">
        <f>INDEX(products!$A$1:$G$49,MATCH(orders!$D601,products!$A$1:$A$49,0),MATCH(orders!K$1,products!$A$1:$G$1,0))</f>
        <v/>
      </c>
      <c r="L601" s="5">
        <f>INDEX(products!$A$1:$G$49,MATCH(orders!$D601,products!$A$1:$A$49,0),MATCH(orders!L$1,products!$A$1:$G$1,0))</f>
        <v/>
      </c>
      <c r="M601" s="5">
        <f>L601*E601</f>
        <v/>
      </c>
      <c r="N601">
        <f>IF(I601="Rob","Robusta",IF(I601="Exc","Excelsa",IF(I601="Ara","Arabica",IF(I601="Lib","Liberica",""))))</f>
        <v/>
      </c>
      <c r="O601">
        <f>IF(J601="M","Medium",IF(J601="L","Light",IF(J601="D","Dark","")))</f>
        <v/>
      </c>
      <c r="P601">
        <f>_xlfn.XLOOKUP(Orders[[#This Row],[Customer ID]],customers!$A$1:$A$1001,customers!$I$1:$I$1001,,0)</f>
        <v/>
      </c>
    </row>
    <row r="602">
      <c r="A602" s="2" t="inlineStr">
        <is>
          <t>O4543</t>
        </is>
      </c>
      <c r="B602" s="3" t="inlineStr">
        <is>
          <t>2020-12-20</t>
        </is>
      </c>
      <c r="C602" s="2" t="inlineStr">
        <is>
          <t>O2862</t>
        </is>
      </c>
      <c r="D602" t="inlineStr">
        <is>
          <t>O4461</t>
        </is>
      </c>
      <c r="E602" s="2" t="n">
        <v>102</v>
      </c>
      <c r="F602" s="2">
        <f>_xlfn.XLOOKUP(C602,customers!$A$1:$A$1001,customers!$B$1:$B$1001,,0)</f>
        <v/>
      </c>
      <c r="G602" s="2">
        <f>IF(_xlfn.XLOOKUP(C602,customers!$A$1:$A$1001,customers!$C$1:$C$1001,,0)=0,"",_xlfn.XLOOKUP(C602,customers!$A$1:$A$1001,customers!$C$1:$C$1001,,0))</f>
        <v/>
      </c>
      <c r="H602" s="2">
        <f>_xlfn.XLOOKUP(C602,customers!$A$1:$A$1001,customers!$G$1:$G$1001,,0)</f>
        <v/>
      </c>
      <c r="I602">
        <f>INDEX(products!$A$1:$G$49,MATCH(orders!$D602,products!$A$1:$A$49,0),MATCH(orders!I$1,products!$A$1:$G$1,0))</f>
        <v/>
      </c>
      <c r="J602">
        <f>INDEX(products!$A$1:$G$49,MATCH(orders!$D602,products!$A$1:$A$49,0),MATCH(orders!J$1,products!$A$1:$G$1,0))</f>
        <v/>
      </c>
      <c r="K602" s="4">
        <f>INDEX(products!$A$1:$G$49,MATCH(orders!$D602,products!$A$1:$A$49,0),MATCH(orders!K$1,products!$A$1:$G$1,0))</f>
        <v/>
      </c>
      <c r="L602" s="5">
        <f>INDEX(products!$A$1:$G$49,MATCH(orders!$D602,products!$A$1:$A$49,0),MATCH(orders!L$1,products!$A$1:$G$1,0))</f>
        <v/>
      </c>
      <c r="M602" s="5">
        <f>L602*E602</f>
        <v/>
      </c>
      <c r="N602">
        <f>IF(I602="Rob","Robusta",IF(I602="Exc","Excelsa",IF(I602="Ara","Arabica",IF(I602="Lib","Liberica",""))))</f>
        <v/>
      </c>
      <c r="O602">
        <f>IF(J602="M","Medium",IF(J602="L","Light",IF(J602="D","Dark","")))</f>
        <v/>
      </c>
      <c r="P602">
        <f>_xlfn.XLOOKUP(Orders[[#This Row],[Customer ID]],customers!$A$1:$A$1001,customers!$I$1:$I$1001,,0)</f>
        <v/>
      </c>
    </row>
    <row r="603">
      <c r="A603" s="2" t="inlineStr">
        <is>
          <t>O1788</t>
        </is>
      </c>
      <c r="B603" s="3" t="inlineStr">
        <is>
          <t>2020-03-07</t>
        </is>
      </c>
      <c r="C603" s="2" t="inlineStr">
        <is>
          <t>O5302</t>
        </is>
      </c>
      <c r="D603" t="inlineStr">
        <is>
          <t>O9402</t>
        </is>
      </c>
      <c r="E603" s="2" t="n">
        <v>144</v>
      </c>
      <c r="F603" s="2">
        <f>_xlfn.XLOOKUP(C603,customers!$A$1:$A$1001,customers!$B$1:$B$1001,,0)</f>
        <v/>
      </c>
      <c r="G603" s="2">
        <f>IF(_xlfn.XLOOKUP(C603,customers!$A$1:$A$1001,customers!$C$1:$C$1001,,0)=0,"",_xlfn.XLOOKUP(C603,customers!$A$1:$A$1001,customers!$C$1:$C$1001,,0))</f>
        <v/>
      </c>
      <c r="H603" s="2">
        <f>_xlfn.XLOOKUP(C603,customers!$A$1:$A$1001,customers!$G$1:$G$1001,,0)</f>
        <v/>
      </c>
      <c r="I603">
        <f>INDEX(products!$A$1:$G$49,MATCH(orders!$D603,products!$A$1:$A$49,0),MATCH(orders!I$1,products!$A$1:$G$1,0))</f>
        <v/>
      </c>
      <c r="J603">
        <f>INDEX(products!$A$1:$G$49,MATCH(orders!$D603,products!$A$1:$A$49,0),MATCH(orders!J$1,products!$A$1:$G$1,0))</f>
        <v/>
      </c>
      <c r="K603" s="4">
        <f>INDEX(products!$A$1:$G$49,MATCH(orders!$D603,products!$A$1:$A$49,0),MATCH(orders!K$1,products!$A$1:$G$1,0))</f>
        <v/>
      </c>
      <c r="L603" s="5">
        <f>INDEX(products!$A$1:$G$49,MATCH(orders!$D603,products!$A$1:$A$49,0),MATCH(orders!L$1,products!$A$1:$G$1,0))</f>
        <v/>
      </c>
      <c r="M603" s="5">
        <f>L603*E603</f>
        <v/>
      </c>
      <c r="N603">
        <f>IF(I603="Rob","Robusta",IF(I603="Exc","Excelsa",IF(I603="Ara","Arabica",IF(I603="Lib","Liberica",""))))</f>
        <v/>
      </c>
      <c r="O603">
        <f>IF(J603="M","Medium",IF(J603="L","Light",IF(J603="D","Dark","")))</f>
        <v/>
      </c>
      <c r="P603">
        <f>_xlfn.XLOOKUP(Orders[[#This Row],[Customer ID]],customers!$A$1:$A$1001,customers!$I$1:$I$1001,,0)</f>
        <v/>
      </c>
    </row>
    <row r="604">
      <c r="A604" s="2" t="inlineStr">
        <is>
          <t>O5403</t>
        </is>
      </c>
      <c r="B604" s="3" t="inlineStr">
        <is>
          <t>2020-06-27</t>
        </is>
      </c>
      <c r="C604" s="2" t="inlineStr">
        <is>
          <t>O8457</t>
        </is>
      </c>
      <c r="D604" t="inlineStr">
        <is>
          <t>O3889</t>
        </is>
      </c>
      <c r="E604" s="2" t="n">
        <v>385</v>
      </c>
      <c r="F604" s="2">
        <f>_xlfn.XLOOKUP(C604,customers!$A$1:$A$1001,customers!$B$1:$B$1001,,0)</f>
        <v/>
      </c>
      <c r="G604" s="2">
        <f>IF(_xlfn.XLOOKUP(C604,customers!$A$1:$A$1001,customers!$C$1:$C$1001,,0)=0,"",_xlfn.XLOOKUP(C604,customers!$A$1:$A$1001,customers!$C$1:$C$1001,,0))</f>
        <v/>
      </c>
      <c r="H604" s="2">
        <f>_xlfn.XLOOKUP(C604,customers!$A$1:$A$1001,customers!$G$1:$G$1001,,0)</f>
        <v/>
      </c>
      <c r="I604">
        <f>INDEX(products!$A$1:$G$49,MATCH(orders!$D604,products!$A$1:$A$49,0),MATCH(orders!I$1,products!$A$1:$G$1,0))</f>
        <v/>
      </c>
      <c r="J604">
        <f>INDEX(products!$A$1:$G$49,MATCH(orders!$D604,products!$A$1:$A$49,0),MATCH(orders!J$1,products!$A$1:$G$1,0))</f>
        <v/>
      </c>
      <c r="K604" s="4">
        <f>INDEX(products!$A$1:$G$49,MATCH(orders!$D604,products!$A$1:$A$49,0),MATCH(orders!K$1,products!$A$1:$G$1,0))</f>
        <v/>
      </c>
      <c r="L604" s="5">
        <f>INDEX(products!$A$1:$G$49,MATCH(orders!$D604,products!$A$1:$A$49,0),MATCH(orders!L$1,products!$A$1:$G$1,0))</f>
        <v/>
      </c>
      <c r="M604" s="5">
        <f>L604*E604</f>
        <v/>
      </c>
      <c r="N604">
        <f>IF(I604="Rob","Robusta",IF(I604="Exc","Excelsa",IF(I604="Ara","Arabica",IF(I604="Lib","Liberica",""))))</f>
        <v/>
      </c>
      <c r="O604">
        <f>IF(J604="M","Medium",IF(J604="L","Light",IF(J604="D","Dark","")))</f>
        <v/>
      </c>
      <c r="P604">
        <f>_xlfn.XLOOKUP(Orders[[#This Row],[Customer ID]],customers!$A$1:$A$1001,customers!$I$1:$I$1001,,0)</f>
        <v/>
      </c>
    </row>
    <row r="605">
      <c r="A605" s="2" t="inlineStr">
        <is>
          <t>O4900</t>
        </is>
      </c>
      <c r="B605" s="3" t="inlineStr">
        <is>
          <t>2023-02-20</t>
        </is>
      </c>
      <c r="C605" s="2" t="inlineStr">
        <is>
          <t>O6912</t>
        </is>
      </c>
      <c r="D605" t="inlineStr">
        <is>
          <t>O1156</t>
        </is>
      </c>
      <c r="E605" s="2" t="n">
        <v>78</v>
      </c>
      <c r="F605" s="2">
        <f>_xlfn.XLOOKUP(C605,customers!$A$1:$A$1001,customers!$B$1:$B$1001,,0)</f>
        <v/>
      </c>
      <c r="G605" s="2">
        <f>IF(_xlfn.XLOOKUP(C605,customers!$A$1:$A$1001,customers!$C$1:$C$1001,,0)=0,"",_xlfn.XLOOKUP(C605,customers!$A$1:$A$1001,customers!$C$1:$C$1001,,0))</f>
        <v/>
      </c>
      <c r="H605" s="2">
        <f>_xlfn.XLOOKUP(C605,customers!$A$1:$A$1001,customers!$G$1:$G$1001,,0)</f>
        <v/>
      </c>
      <c r="I605">
        <f>INDEX(products!$A$1:$G$49,MATCH(orders!$D605,products!$A$1:$A$49,0),MATCH(orders!I$1,products!$A$1:$G$1,0))</f>
        <v/>
      </c>
      <c r="J605">
        <f>INDEX(products!$A$1:$G$49,MATCH(orders!$D605,products!$A$1:$A$49,0),MATCH(orders!J$1,products!$A$1:$G$1,0))</f>
        <v/>
      </c>
      <c r="K605" s="4">
        <f>INDEX(products!$A$1:$G$49,MATCH(orders!$D605,products!$A$1:$A$49,0),MATCH(orders!K$1,products!$A$1:$G$1,0))</f>
        <v/>
      </c>
      <c r="L605" s="5">
        <f>INDEX(products!$A$1:$G$49,MATCH(orders!$D605,products!$A$1:$A$49,0),MATCH(orders!L$1,products!$A$1:$G$1,0))</f>
        <v/>
      </c>
      <c r="M605" s="5">
        <f>L605*E605</f>
        <v/>
      </c>
      <c r="N605">
        <f>IF(I605="Rob","Robusta",IF(I605="Exc","Excelsa",IF(I605="Ara","Arabica",IF(I605="Lib","Liberica",""))))</f>
        <v/>
      </c>
      <c r="O605">
        <f>IF(J605="M","Medium",IF(J605="L","Light",IF(J605="D","Dark","")))</f>
        <v/>
      </c>
      <c r="P605">
        <f>_xlfn.XLOOKUP(Orders[[#This Row],[Customer ID]],customers!$A$1:$A$1001,customers!$I$1:$I$1001,,0)</f>
        <v/>
      </c>
    </row>
    <row r="606">
      <c r="A606" s="2" t="inlineStr">
        <is>
          <t>O9548</t>
        </is>
      </c>
      <c r="B606" s="3" t="inlineStr">
        <is>
          <t>2021-08-14</t>
        </is>
      </c>
      <c r="C606" s="2" t="inlineStr">
        <is>
          <t>O5222</t>
        </is>
      </c>
      <c r="D606" t="inlineStr">
        <is>
          <t>O9521</t>
        </is>
      </c>
      <c r="E606" s="2" t="n">
        <v>65</v>
      </c>
      <c r="F606" s="2">
        <f>_xlfn.XLOOKUP(C606,customers!$A$1:$A$1001,customers!$B$1:$B$1001,,0)</f>
        <v/>
      </c>
      <c r="G606" s="2">
        <f>IF(_xlfn.XLOOKUP(C606,customers!$A$1:$A$1001,customers!$C$1:$C$1001,,0)=0,"",_xlfn.XLOOKUP(C606,customers!$A$1:$A$1001,customers!$C$1:$C$1001,,0))</f>
        <v/>
      </c>
      <c r="H606" s="2">
        <f>_xlfn.XLOOKUP(C606,customers!$A$1:$A$1001,customers!$G$1:$G$1001,,0)</f>
        <v/>
      </c>
      <c r="I606">
        <f>INDEX(products!$A$1:$G$49,MATCH(orders!$D606,products!$A$1:$A$49,0),MATCH(orders!I$1,products!$A$1:$G$1,0))</f>
        <v/>
      </c>
      <c r="J606">
        <f>INDEX(products!$A$1:$G$49,MATCH(orders!$D606,products!$A$1:$A$49,0),MATCH(orders!J$1,products!$A$1:$G$1,0))</f>
        <v/>
      </c>
      <c r="K606" s="4">
        <f>INDEX(products!$A$1:$G$49,MATCH(orders!$D606,products!$A$1:$A$49,0),MATCH(orders!K$1,products!$A$1:$G$1,0))</f>
        <v/>
      </c>
      <c r="L606" s="5">
        <f>INDEX(products!$A$1:$G$49,MATCH(orders!$D606,products!$A$1:$A$49,0),MATCH(orders!L$1,products!$A$1:$G$1,0))</f>
        <v/>
      </c>
      <c r="M606" s="5">
        <f>L606*E606</f>
        <v/>
      </c>
      <c r="N606">
        <f>IF(I606="Rob","Robusta",IF(I606="Exc","Excelsa",IF(I606="Ara","Arabica",IF(I606="Lib","Liberica",""))))</f>
        <v/>
      </c>
      <c r="O606">
        <f>IF(J606="M","Medium",IF(J606="L","Light",IF(J606="D","Dark","")))</f>
        <v/>
      </c>
      <c r="P606">
        <f>_xlfn.XLOOKUP(Orders[[#This Row],[Customer ID]],customers!$A$1:$A$1001,customers!$I$1:$I$1001,,0)</f>
        <v/>
      </c>
    </row>
    <row r="607">
      <c r="A607" s="2" t="inlineStr">
        <is>
          <t>O8520</t>
        </is>
      </c>
      <c r="B607" s="3" t="inlineStr">
        <is>
          <t>2021-07-25</t>
        </is>
      </c>
      <c r="C607" s="2" t="inlineStr">
        <is>
          <t>O3301</t>
        </is>
      </c>
      <c r="D607" t="inlineStr">
        <is>
          <t>O1109</t>
        </is>
      </c>
      <c r="E607" s="2" t="n">
        <v>393</v>
      </c>
      <c r="F607" s="2">
        <f>_xlfn.XLOOKUP(C607,customers!$A$1:$A$1001,customers!$B$1:$B$1001,,0)</f>
        <v/>
      </c>
      <c r="G607" s="2">
        <f>IF(_xlfn.XLOOKUP(C607,customers!$A$1:$A$1001,customers!$C$1:$C$1001,,0)=0,"",_xlfn.XLOOKUP(C607,customers!$A$1:$A$1001,customers!$C$1:$C$1001,,0))</f>
        <v/>
      </c>
      <c r="H607" s="2">
        <f>_xlfn.XLOOKUP(C607,customers!$A$1:$A$1001,customers!$G$1:$G$1001,,0)</f>
        <v/>
      </c>
      <c r="I607">
        <f>INDEX(products!$A$1:$G$49,MATCH(orders!$D607,products!$A$1:$A$49,0),MATCH(orders!I$1,products!$A$1:$G$1,0))</f>
        <v/>
      </c>
      <c r="J607">
        <f>INDEX(products!$A$1:$G$49,MATCH(orders!$D607,products!$A$1:$A$49,0),MATCH(orders!J$1,products!$A$1:$G$1,0))</f>
        <v/>
      </c>
      <c r="K607" s="4">
        <f>INDEX(products!$A$1:$G$49,MATCH(orders!$D607,products!$A$1:$A$49,0),MATCH(orders!K$1,products!$A$1:$G$1,0))</f>
        <v/>
      </c>
      <c r="L607" s="5">
        <f>INDEX(products!$A$1:$G$49,MATCH(orders!$D607,products!$A$1:$A$49,0),MATCH(orders!L$1,products!$A$1:$G$1,0))</f>
        <v/>
      </c>
      <c r="M607" s="5">
        <f>L607*E607</f>
        <v/>
      </c>
      <c r="N607">
        <f>IF(I607="Rob","Robusta",IF(I607="Exc","Excelsa",IF(I607="Ara","Arabica",IF(I607="Lib","Liberica",""))))</f>
        <v/>
      </c>
      <c r="O607">
        <f>IF(J607="M","Medium",IF(J607="L","Light",IF(J607="D","Dark","")))</f>
        <v/>
      </c>
      <c r="P607">
        <f>_xlfn.XLOOKUP(Orders[[#This Row],[Customer ID]],customers!$A$1:$A$1001,customers!$I$1:$I$1001,,0)</f>
        <v/>
      </c>
    </row>
    <row r="608">
      <c r="A608" s="2" t="inlineStr">
        <is>
          <t>O8607</t>
        </is>
      </c>
      <c r="B608" s="3" t="inlineStr">
        <is>
          <t>2025-07-08</t>
        </is>
      </c>
      <c r="C608" s="2" t="inlineStr">
        <is>
          <t>O6313</t>
        </is>
      </c>
      <c r="D608" t="inlineStr">
        <is>
          <t>O6532</t>
        </is>
      </c>
      <c r="E608" s="2" t="n">
        <v>133</v>
      </c>
      <c r="F608" s="2">
        <f>_xlfn.XLOOKUP(C608,customers!$A$1:$A$1001,customers!$B$1:$B$1001,,0)</f>
        <v/>
      </c>
      <c r="G608" s="2">
        <f>IF(_xlfn.XLOOKUP(C608,customers!$A$1:$A$1001,customers!$C$1:$C$1001,,0)=0,"",_xlfn.XLOOKUP(C608,customers!$A$1:$A$1001,customers!$C$1:$C$1001,,0))</f>
        <v/>
      </c>
      <c r="H608" s="2">
        <f>_xlfn.XLOOKUP(C608,customers!$A$1:$A$1001,customers!$G$1:$G$1001,,0)</f>
        <v/>
      </c>
      <c r="I608">
        <f>INDEX(products!$A$1:$G$49,MATCH(orders!$D608,products!$A$1:$A$49,0),MATCH(orders!I$1,products!$A$1:$G$1,0))</f>
        <v/>
      </c>
      <c r="J608">
        <f>INDEX(products!$A$1:$G$49,MATCH(orders!$D608,products!$A$1:$A$49,0),MATCH(orders!J$1,products!$A$1:$G$1,0))</f>
        <v/>
      </c>
      <c r="K608" s="4">
        <f>INDEX(products!$A$1:$G$49,MATCH(orders!$D608,products!$A$1:$A$49,0),MATCH(orders!K$1,products!$A$1:$G$1,0))</f>
        <v/>
      </c>
      <c r="L608" s="5">
        <f>INDEX(products!$A$1:$G$49,MATCH(orders!$D608,products!$A$1:$A$49,0),MATCH(orders!L$1,products!$A$1:$G$1,0))</f>
        <v/>
      </c>
      <c r="M608" s="5">
        <f>L608*E608</f>
        <v/>
      </c>
      <c r="N608">
        <f>IF(I608="Rob","Robusta",IF(I608="Exc","Excelsa",IF(I608="Ara","Arabica",IF(I608="Lib","Liberica",""))))</f>
        <v/>
      </c>
      <c r="O608">
        <f>IF(J608="M","Medium",IF(J608="L","Light",IF(J608="D","Dark","")))</f>
        <v/>
      </c>
      <c r="P608">
        <f>_xlfn.XLOOKUP(Orders[[#This Row],[Customer ID]],customers!$A$1:$A$1001,customers!$I$1:$I$1001,,0)</f>
        <v/>
      </c>
    </row>
    <row r="609">
      <c r="A609" s="2" t="inlineStr">
        <is>
          <t>O5400</t>
        </is>
      </c>
      <c r="B609" s="3" t="inlineStr">
        <is>
          <t>2023-01-22</t>
        </is>
      </c>
      <c r="C609" s="2" t="inlineStr">
        <is>
          <t>O6834</t>
        </is>
      </c>
      <c r="D609" t="inlineStr">
        <is>
          <t>O5953</t>
        </is>
      </c>
      <c r="E609" s="2" t="n">
        <v>316</v>
      </c>
      <c r="F609" s="2">
        <f>_xlfn.XLOOKUP(C609,customers!$A$1:$A$1001,customers!$B$1:$B$1001,,0)</f>
        <v/>
      </c>
      <c r="G609" s="2">
        <f>IF(_xlfn.XLOOKUP(C609,customers!$A$1:$A$1001,customers!$C$1:$C$1001,,0)=0,"",_xlfn.XLOOKUP(C609,customers!$A$1:$A$1001,customers!$C$1:$C$1001,,0))</f>
        <v/>
      </c>
      <c r="H609" s="2">
        <f>_xlfn.XLOOKUP(C609,customers!$A$1:$A$1001,customers!$G$1:$G$1001,,0)</f>
        <v/>
      </c>
      <c r="I609">
        <f>INDEX(products!$A$1:$G$49,MATCH(orders!$D609,products!$A$1:$A$49,0),MATCH(orders!I$1,products!$A$1:$G$1,0))</f>
        <v/>
      </c>
      <c r="J609">
        <f>INDEX(products!$A$1:$G$49,MATCH(orders!$D609,products!$A$1:$A$49,0),MATCH(orders!J$1,products!$A$1:$G$1,0))</f>
        <v/>
      </c>
      <c r="K609" s="4">
        <f>INDEX(products!$A$1:$G$49,MATCH(orders!$D609,products!$A$1:$A$49,0),MATCH(orders!K$1,products!$A$1:$G$1,0))</f>
        <v/>
      </c>
      <c r="L609" s="5">
        <f>INDEX(products!$A$1:$G$49,MATCH(orders!$D609,products!$A$1:$A$49,0),MATCH(orders!L$1,products!$A$1:$G$1,0))</f>
        <v/>
      </c>
      <c r="M609" s="5">
        <f>L609*E609</f>
        <v/>
      </c>
      <c r="N609">
        <f>IF(I609="Rob","Robusta",IF(I609="Exc","Excelsa",IF(I609="Ara","Arabica",IF(I609="Lib","Liberica",""))))</f>
        <v/>
      </c>
      <c r="O609">
        <f>IF(J609="M","Medium",IF(J609="L","Light",IF(J609="D","Dark","")))</f>
        <v/>
      </c>
      <c r="P609">
        <f>_xlfn.XLOOKUP(Orders[[#This Row],[Customer ID]],customers!$A$1:$A$1001,customers!$I$1:$I$1001,,0)</f>
        <v/>
      </c>
    </row>
    <row r="610">
      <c r="A610" s="2" t="inlineStr">
        <is>
          <t>O3307</t>
        </is>
      </c>
      <c r="B610" s="3" t="inlineStr">
        <is>
          <t>2020-08-07</t>
        </is>
      </c>
      <c r="C610" s="2" t="inlineStr">
        <is>
          <t>O4074</t>
        </is>
      </c>
      <c r="D610" t="inlineStr">
        <is>
          <t>O5162</t>
        </is>
      </c>
      <c r="E610" s="2" t="n">
        <v>270</v>
      </c>
      <c r="F610" s="2">
        <f>_xlfn.XLOOKUP(C610,customers!$A$1:$A$1001,customers!$B$1:$B$1001,,0)</f>
        <v/>
      </c>
      <c r="G610" s="2">
        <f>IF(_xlfn.XLOOKUP(C610,customers!$A$1:$A$1001,customers!$C$1:$C$1001,,0)=0,"",_xlfn.XLOOKUP(C610,customers!$A$1:$A$1001,customers!$C$1:$C$1001,,0))</f>
        <v/>
      </c>
      <c r="H610" s="2">
        <f>_xlfn.XLOOKUP(C610,customers!$A$1:$A$1001,customers!$G$1:$G$1001,,0)</f>
        <v/>
      </c>
      <c r="I610">
        <f>INDEX(products!$A$1:$G$49,MATCH(orders!$D610,products!$A$1:$A$49,0),MATCH(orders!I$1,products!$A$1:$G$1,0))</f>
        <v/>
      </c>
      <c r="J610">
        <f>INDEX(products!$A$1:$G$49,MATCH(orders!$D610,products!$A$1:$A$49,0),MATCH(orders!J$1,products!$A$1:$G$1,0))</f>
        <v/>
      </c>
      <c r="K610" s="4">
        <f>INDEX(products!$A$1:$G$49,MATCH(orders!$D610,products!$A$1:$A$49,0),MATCH(orders!K$1,products!$A$1:$G$1,0))</f>
        <v/>
      </c>
      <c r="L610" s="5">
        <f>INDEX(products!$A$1:$G$49,MATCH(orders!$D610,products!$A$1:$A$49,0),MATCH(orders!L$1,products!$A$1:$G$1,0))</f>
        <v/>
      </c>
      <c r="M610" s="5">
        <f>L610*E610</f>
        <v/>
      </c>
      <c r="N610">
        <f>IF(I610="Rob","Robusta",IF(I610="Exc","Excelsa",IF(I610="Ara","Arabica",IF(I610="Lib","Liberica",""))))</f>
        <v/>
      </c>
      <c r="O610">
        <f>IF(J610="M","Medium",IF(J610="L","Light",IF(J610="D","Dark","")))</f>
        <v/>
      </c>
      <c r="P610">
        <f>_xlfn.XLOOKUP(Orders[[#This Row],[Customer ID]],customers!$A$1:$A$1001,customers!$I$1:$I$1001,,0)</f>
        <v/>
      </c>
    </row>
    <row r="611">
      <c r="A611" s="2" t="inlineStr">
        <is>
          <t>O6665</t>
        </is>
      </c>
      <c r="B611" s="3" t="inlineStr">
        <is>
          <t>2021-03-03</t>
        </is>
      </c>
      <c r="C611" s="2" t="inlineStr">
        <is>
          <t>O5956</t>
        </is>
      </c>
      <c r="D611" t="inlineStr">
        <is>
          <t>O3693</t>
        </is>
      </c>
      <c r="E611" s="2" t="n">
        <v>327</v>
      </c>
      <c r="F611" s="2">
        <f>_xlfn.XLOOKUP(C611,customers!$A$1:$A$1001,customers!$B$1:$B$1001,,0)</f>
        <v/>
      </c>
      <c r="G611" s="2">
        <f>IF(_xlfn.XLOOKUP(C611,customers!$A$1:$A$1001,customers!$C$1:$C$1001,,0)=0,"",_xlfn.XLOOKUP(C611,customers!$A$1:$A$1001,customers!$C$1:$C$1001,,0))</f>
        <v/>
      </c>
      <c r="H611" s="2">
        <f>_xlfn.XLOOKUP(C611,customers!$A$1:$A$1001,customers!$G$1:$G$1001,,0)</f>
        <v/>
      </c>
      <c r="I611">
        <f>INDEX(products!$A$1:$G$49,MATCH(orders!$D611,products!$A$1:$A$49,0),MATCH(orders!I$1,products!$A$1:$G$1,0))</f>
        <v/>
      </c>
      <c r="J611">
        <f>INDEX(products!$A$1:$G$49,MATCH(orders!$D611,products!$A$1:$A$49,0),MATCH(orders!J$1,products!$A$1:$G$1,0))</f>
        <v/>
      </c>
      <c r="K611" s="4">
        <f>INDEX(products!$A$1:$G$49,MATCH(orders!$D611,products!$A$1:$A$49,0),MATCH(orders!K$1,products!$A$1:$G$1,0))</f>
        <v/>
      </c>
      <c r="L611" s="5">
        <f>INDEX(products!$A$1:$G$49,MATCH(orders!$D611,products!$A$1:$A$49,0),MATCH(orders!L$1,products!$A$1:$G$1,0))</f>
        <v/>
      </c>
      <c r="M611" s="5">
        <f>L611*E611</f>
        <v/>
      </c>
      <c r="N611">
        <f>IF(I611="Rob","Robusta",IF(I611="Exc","Excelsa",IF(I611="Ara","Arabica",IF(I611="Lib","Liberica",""))))</f>
        <v/>
      </c>
      <c r="O611">
        <f>IF(J611="M","Medium",IF(J611="L","Light",IF(J611="D","Dark","")))</f>
        <v/>
      </c>
      <c r="P611">
        <f>_xlfn.XLOOKUP(Orders[[#This Row],[Customer ID]],customers!$A$1:$A$1001,customers!$I$1:$I$1001,,0)</f>
        <v/>
      </c>
    </row>
    <row r="612">
      <c r="A612" s="2" t="inlineStr">
        <is>
          <t>O4808</t>
        </is>
      </c>
      <c r="B612" s="3" t="inlineStr">
        <is>
          <t>2022-02-24</t>
        </is>
      </c>
      <c r="C612" s="2" t="inlineStr">
        <is>
          <t>O8719</t>
        </is>
      </c>
      <c r="D612" t="inlineStr">
        <is>
          <t>O3005</t>
        </is>
      </c>
      <c r="E612" s="2" t="n">
        <v>311</v>
      </c>
      <c r="F612" s="2">
        <f>_xlfn.XLOOKUP(C612,customers!$A$1:$A$1001,customers!$B$1:$B$1001,,0)</f>
        <v/>
      </c>
      <c r="G612" s="2">
        <f>IF(_xlfn.XLOOKUP(C612,customers!$A$1:$A$1001,customers!$C$1:$C$1001,,0)=0,"",_xlfn.XLOOKUP(C612,customers!$A$1:$A$1001,customers!$C$1:$C$1001,,0))</f>
        <v/>
      </c>
      <c r="H612" s="2">
        <f>_xlfn.XLOOKUP(C612,customers!$A$1:$A$1001,customers!$G$1:$G$1001,,0)</f>
        <v/>
      </c>
      <c r="I612">
        <f>INDEX(products!$A$1:$G$49,MATCH(orders!$D612,products!$A$1:$A$49,0),MATCH(orders!I$1,products!$A$1:$G$1,0))</f>
        <v/>
      </c>
      <c r="J612">
        <f>INDEX(products!$A$1:$G$49,MATCH(orders!$D612,products!$A$1:$A$49,0),MATCH(orders!J$1,products!$A$1:$G$1,0))</f>
        <v/>
      </c>
      <c r="K612" s="4">
        <f>INDEX(products!$A$1:$G$49,MATCH(orders!$D612,products!$A$1:$A$49,0),MATCH(orders!K$1,products!$A$1:$G$1,0))</f>
        <v/>
      </c>
      <c r="L612" s="5">
        <f>INDEX(products!$A$1:$G$49,MATCH(orders!$D612,products!$A$1:$A$49,0),MATCH(orders!L$1,products!$A$1:$G$1,0))</f>
        <v/>
      </c>
      <c r="M612" s="5">
        <f>L612*E612</f>
        <v/>
      </c>
      <c r="N612">
        <f>IF(I612="Rob","Robusta",IF(I612="Exc","Excelsa",IF(I612="Ara","Arabica",IF(I612="Lib","Liberica",""))))</f>
        <v/>
      </c>
      <c r="O612">
        <f>IF(J612="M","Medium",IF(J612="L","Light",IF(J612="D","Dark","")))</f>
        <v/>
      </c>
      <c r="P612">
        <f>_xlfn.XLOOKUP(Orders[[#This Row],[Customer ID]],customers!$A$1:$A$1001,customers!$I$1:$I$1001,,0)</f>
        <v/>
      </c>
    </row>
    <row r="613">
      <c r="A613" s="2" t="inlineStr">
        <is>
          <t>O8797</t>
        </is>
      </c>
      <c r="B613" s="3" t="inlineStr">
        <is>
          <t>2022-05-21</t>
        </is>
      </c>
      <c r="C613" s="2" t="inlineStr">
        <is>
          <t>O5926</t>
        </is>
      </c>
      <c r="D613" t="inlineStr">
        <is>
          <t>O8381</t>
        </is>
      </c>
      <c r="E613" s="2" t="n">
        <v>130</v>
      </c>
      <c r="F613" s="2">
        <f>_xlfn.XLOOKUP(C613,customers!$A$1:$A$1001,customers!$B$1:$B$1001,,0)</f>
        <v/>
      </c>
      <c r="G613" s="2">
        <f>IF(_xlfn.XLOOKUP(C613,customers!$A$1:$A$1001,customers!$C$1:$C$1001,,0)=0,"",_xlfn.XLOOKUP(C613,customers!$A$1:$A$1001,customers!$C$1:$C$1001,,0))</f>
        <v/>
      </c>
      <c r="H613" s="2">
        <f>_xlfn.XLOOKUP(C613,customers!$A$1:$A$1001,customers!$G$1:$G$1001,,0)</f>
        <v/>
      </c>
      <c r="I613">
        <f>INDEX(products!$A$1:$G$49,MATCH(orders!$D613,products!$A$1:$A$49,0),MATCH(orders!I$1,products!$A$1:$G$1,0))</f>
        <v/>
      </c>
      <c r="J613">
        <f>INDEX(products!$A$1:$G$49,MATCH(orders!$D613,products!$A$1:$A$49,0),MATCH(orders!J$1,products!$A$1:$G$1,0))</f>
        <v/>
      </c>
      <c r="K613" s="4">
        <f>INDEX(products!$A$1:$G$49,MATCH(orders!$D613,products!$A$1:$A$49,0),MATCH(orders!K$1,products!$A$1:$G$1,0))</f>
        <v/>
      </c>
      <c r="L613" s="5">
        <f>INDEX(products!$A$1:$G$49,MATCH(orders!$D613,products!$A$1:$A$49,0),MATCH(orders!L$1,products!$A$1:$G$1,0))</f>
        <v/>
      </c>
      <c r="M613" s="5">
        <f>L613*E613</f>
        <v/>
      </c>
      <c r="N613">
        <f>IF(I613="Rob","Robusta",IF(I613="Exc","Excelsa",IF(I613="Ara","Arabica",IF(I613="Lib","Liberica",""))))</f>
        <v/>
      </c>
      <c r="O613">
        <f>IF(J613="M","Medium",IF(J613="L","Light",IF(J613="D","Dark","")))</f>
        <v/>
      </c>
      <c r="P613">
        <f>_xlfn.XLOOKUP(Orders[[#This Row],[Customer ID]],customers!$A$1:$A$1001,customers!$I$1:$I$1001,,0)</f>
        <v/>
      </c>
    </row>
    <row r="614">
      <c r="A614" s="2" t="inlineStr">
        <is>
          <t>O3510</t>
        </is>
      </c>
      <c r="B614" s="3" t="inlineStr">
        <is>
          <t>2021-10-03</t>
        </is>
      </c>
      <c r="C614" s="2" t="inlineStr">
        <is>
          <t>O7914</t>
        </is>
      </c>
      <c r="D614" t="inlineStr">
        <is>
          <t>O3097</t>
        </is>
      </c>
      <c r="E614" s="2" t="n">
        <v>114</v>
      </c>
      <c r="F614" s="2">
        <f>_xlfn.XLOOKUP(C614,customers!$A$1:$A$1001,customers!$B$1:$B$1001,,0)</f>
        <v/>
      </c>
      <c r="G614" s="2">
        <f>IF(_xlfn.XLOOKUP(C614,customers!$A$1:$A$1001,customers!$C$1:$C$1001,,0)=0,"",_xlfn.XLOOKUP(C614,customers!$A$1:$A$1001,customers!$C$1:$C$1001,,0))</f>
        <v/>
      </c>
      <c r="H614" s="2">
        <f>_xlfn.XLOOKUP(C614,customers!$A$1:$A$1001,customers!$G$1:$G$1001,,0)</f>
        <v/>
      </c>
      <c r="I614">
        <f>INDEX(products!$A$1:$G$49,MATCH(orders!$D614,products!$A$1:$A$49,0),MATCH(orders!I$1,products!$A$1:$G$1,0))</f>
        <v/>
      </c>
      <c r="J614">
        <f>INDEX(products!$A$1:$G$49,MATCH(orders!$D614,products!$A$1:$A$49,0),MATCH(orders!J$1,products!$A$1:$G$1,0))</f>
        <v/>
      </c>
      <c r="K614" s="4">
        <f>INDEX(products!$A$1:$G$49,MATCH(orders!$D614,products!$A$1:$A$49,0),MATCH(orders!K$1,products!$A$1:$G$1,0))</f>
        <v/>
      </c>
      <c r="L614" s="5">
        <f>INDEX(products!$A$1:$G$49,MATCH(orders!$D614,products!$A$1:$A$49,0),MATCH(orders!L$1,products!$A$1:$G$1,0))</f>
        <v/>
      </c>
      <c r="M614" s="5">
        <f>L614*E614</f>
        <v/>
      </c>
      <c r="N614">
        <f>IF(I614="Rob","Robusta",IF(I614="Exc","Excelsa",IF(I614="Ara","Arabica",IF(I614="Lib","Liberica",""))))</f>
        <v/>
      </c>
      <c r="O614">
        <f>IF(J614="M","Medium",IF(J614="L","Light",IF(J614="D","Dark","")))</f>
        <v/>
      </c>
      <c r="P614">
        <f>_xlfn.XLOOKUP(Orders[[#This Row],[Customer ID]],customers!$A$1:$A$1001,customers!$I$1:$I$1001,,0)</f>
        <v/>
      </c>
    </row>
    <row r="615">
      <c r="A615" s="2" t="inlineStr">
        <is>
          <t>O1645</t>
        </is>
      </c>
      <c r="B615" s="3" t="inlineStr">
        <is>
          <t>2022-05-12</t>
        </is>
      </c>
      <c r="C615" s="2" t="inlineStr">
        <is>
          <t>O5077</t>
        </is>
      </c>
      <c r="D615" t="inlineStr">
        <is>
          <t>O9612</t>
        </is>
      </c>
      <c r="E615" s="2" t="n">
        <v>181</v>
      </c>
      <c r="F615" s="2">
        <f>_xlfn.XLOOKUP(C615,customers!$A$1:$A$1001,customers!$B$1:$B$1001,,0)</f>
        <v/>
      </c>
      <c r="G615" s="2">
        <f>IF(_xlfn.XLOOKUP(C615,customers!$A$1:$A$1001,customers!$C$1:$C$1001,,0)=0,"",_xlfn.XLOOKUP(C615,customers!$A$1:$A$1001,customers!$C$1:$C$1001,,0))</f>
        <v/>
      </c>
      <c r="H615" s="2">
        <f>_xlfn.XLOOKUP(C615,customers!$A$1:$A$1001,customers!$G$1:$G$1001,,0)</f>
        <v/>
      </c>
      <c r="I615">
        <f>INDEX(products!$A$1:$G$49,MATCH(orders!$D615,products!$A$1:$A$49,0),MATCH(orders!I$1,products!$A$1:$G$1,0))</f>
        <v/>
      </c>
      <c r="J615">
        <f>INDEX(products!$A$1:$G$49,MATCH(orders!$D615,products!$A$1:$A$49,0),MATCH(orders!J$1,products!$A$1:$G$1,0))</f>
        <v/>
      </c>
      <c r="K615" s="4">
        <f>INDEX(products!$A$1:$G$49,MATCH(orders!$D615,products!$A$1:$A$49,0),MATCH(orders!K$1,products!$A$1:$G$1,0))</f>
        <v/>
      </c>
      <c r="L615" s="5">
        <f>INDEX(products!$A$1:$G$49,MATCH(orders!$D615,products!$A$1:$A$49,0),MATCH(orders!L$1,products!$A$1:$G$1,0))</f>
        <v/>
      </c>
      <c r="M615" s="5">
        <f>L615*E615</f>
        <v/>
      </c>
      <c r="N615">
        <f>IF(I615="Rob","Robusta",IF(I615="Exc","Excelsa",IF(I615="Ara","Arabica",IF(I615="Lib","Liberica",""))))</f>
        <v/>
      </c>
      <c r="O615">
        <f>IF(J615="M","Medium",IF(J615="L","Light",IF(J615="D","Dark","")))</f>
        <v/>
      </c>
      <c r="P615">
        <f>_xlfn.XLOOKUP(Orders[[#This Row],[Customer ID]],customers!$A$1:$A$1001,customers!$I$1:$I$1001,,0)</f>
        <v/>
      </c>
    </row>
    <row r="616">
      <c r="A616" s="2" t="inlineStr">
        <is>
          <t>O4354</t>
        </is>
      </c>
      <c r="B616" s="3" t="inlineStr">
        <is>
          <t>2021-02-05</t>
        </is>
      </c>
      <c r="C616" s="2" t="inlineStr">
        <is>
          <t>O8042</t>
        </is>
      </c>
      <c r="D616" t="inlineStr">
        <is>
          <t>O9058</t>
        </is>
      </c>
      <c r="E616" s="2" t="n">
        <v>138</v>
      </c>
      <c r="F616" s="2">
        <f>_xlfn.XLOOKUP(C616,customers!$A$1:$A$1001,customers!$B$1:$B$1001,,0)</f>
        <v/>
      </c>
      <c r="G616" s="2">
        <f>IF(_xlfn.XLOOKUP(C616,customers!$A$1:$A$1001,customers!$C$1:$C$1001,,0)=0,"",_xlfn.XLOOKUP(C616,customers!$A$1:$A$1001,customers!$C$1:$C$1001,,0))</f>
        <v/>
      </c>
      <c r="H616" s="2">
        <f>_xlfn.XLOOKUP(C616,customers!$A$1:$A$1001,customers!$G$1:$G$1001,,0)</f>
        <v/>
      </c>
      <c r="I616">
        <f>INDEX(products!$A$1:$G$49,MATCH(orders!$D616,products!$A$1:$A$49,0),MATCH(orders!I$1,products!$A$1:$G$1,0))</f>
        <v/>
      </c>
      <c r="J616">
        <f>INDEX(products!$A$1:$G$49,MATCH(orders!$D616,products!$A$1:$A$49,0),MATCH(orders!J$1,products!$A$1:$G$1,0))</f>
        <v/>
      </c>
      <c r="K616" s="4">
        <f>INDEX(products!$A$1:$G$49,MATCH(orders!$D616,products!$A$1:$A$49,0),MATCH(orders!K$1,products!$A$1:$G$1,0))</f>
        <v/>
      </c>
      <c r="L616" s="5">
        <f>INDEX(products!$A$1:$G$49,MATCH(orders!$D616,products!$A$1:$A$49,0),MATCH(orders!L$1,products!$A$1:$G$1,0))</f>
        <v/>
      </c>
      <c r="M616" s="5">
        <f>L616*E616</f>
        <v/>
      </c>
      <c r="N616">
        <f>IF(I616="Rob","Robusta",IF(I616="Exc","Excelsa",IF(I616="Ara","Arabica",IF(I616="Lib","Liberica",""))))</f>
        <v/>
      </c>
      <c r="O616">
        <f>IF(J616="M","Medium",IF(J616="L","Light",IF(J616="D","Dark","")))</f>
        <v/>
      </c>
      <c r="P616">
        <f>_xlfn.XLOOKUP(Orders[[#This Row],[Customer ID]],customers!$A$1:$A$1001,customers!$I$1:$I$1001,,0)</f>
        <v/>
      </c>
    </row>
    <row r="617">
      <c r="A617" s="2" t="inlineStr">
        <is>
          <t>O6980</t>
        </is>
      </c>
      <c r="B617" s="3" t="inlineStr">
        <is>
          <t>2021-10-27</t>
        </is>
      </c>
      <c r="C617" s="2" t="inlineStr">
        <is>
          <t>O1313</t>
        </is>
      </c>
      <c r="D617" t="inlineStr">
        <is>
          <t>O4326</t>
        </is>
      </c>
      <c r="E617" s="2" t="n">
        <v>481</v>
      </c>
      <c r="F617" s="2">
        <f>_xlfn.XLOOKUP(C617,customers!$A$1:$A$1001,customers!$B$1:$B$1001,,0)</f>
        <v/>
      </c>
      <c r="G617" s="2">
        <f>IF(_xlfn.XLOOKUP(C617,customers!$A$1:$A$1001,customers!$C$1:$C$1001,,0)=0,"",_xlfn.XLOOKUP(C617,customers!$A$1:$A$1001,customers!$C$1:$C$1001,,0))</f>
        <v/>
      </c>
      <c r="H617" s="2">
        <f>_xlfn.XLOOKUP(C617,customers!$A$1:$A$1001,customers!$G$1:$G$1001,,0)</f>
        <v/>
      </c>
      <c r="I617">
        <f>INDEX(products!$A$1:$G$49,MATCH(orders!$D617,products!$A$1:$A$49,0),MATCH(orders!I$1,products!$A$1:$G$1,0))</f>
        <v/>
      </c>
      <c r="J617">
        <f>INDEX(products!$A$1:$G$49,MATCH(orders!$D617,products!$A$1:$A$49,0),MATCH(orders!J$1,products!$A$1:$G$1,0))</f>
        <v/>
      </c>
      <c r="K617" s="4">
        <f>INDEX(products!$A$1:$G$49,MATCH(orders!$D617,products!$A$1:$A$49,0),MATCH(orders!K$1,products!$A$1:$G$1,0))</f>
        <v/>
      </c>
      <c r="L617" s="5">
        <f>INDEX(products!$A$1:$G$49,MATCH(orders!$D617,products!$A$1:$A$49,0),MATCH(orders!L$1,products!$A$1:$G$1,0))</f>
        <v/>
      </c>
      <c r="M617" s="5">
        <f>L617*E617</f>
        <v/>
      </c>
      <c r="N617">
        <f>IF(I617="Rob","Robusta",IF(I617="Exc","Excelsa",IF(I617="Ara","Arabica",IF(I617="Lib","Liberica",""))))</f>
        <v/>
      </c>
      <c r="O617">
        <f>IF(J617="M","Medium",IF(J617="L","Light",IF(J617="D","Dark","")))</f>
        <v/>
      </c>
      <c r="P617">
        <f>_xlfn.XLOOKUP(Orders[[#This Row],[Customer ID]],customers!$A$1:$A$1001,customers!$I$1:$I$1001,,0)</f>
        <v/>
      </c>
    </row>
    <row r="618">
      <c r="A618" s="2" t="inlineStr">
        <is>
          <t>O4112</t>
        </is>
      </c>
      <c r="B618" s="3" t="inlineStr">
        <is>
          <t>2022-10-14</t>
        </is>
      </c>
      <c r="C618" s="2" t="inlineStr">
        <is>
          <t>O7620</t>
        </is>
      </c>
      <c r="D618" t="inlineStr">
        <is>
          <t>O1345</t>
        </is>
      </c>
      <c r="E618" s="2" t="n">
        <v>130</v>
      </c>
      <c r="F618" s="2">
        <f>_xlfn.XLOOKUP(C618,customers!$A$1:$A$1001,customers!$B$1:$B$1001,,0)</f>
        <v/>
      </c>
      <c r="G618" s="2">
        <f>IF(_xlfn.XLOOKUP(C618,customers!$A$1:$A$1001,customers!$C$1:$C$1001,,0)=0,"",_xlfn.XLOOKUP(C618,customers!$A$1:$A$1001,customers!$C$1:$C$1001,,0))</f>
        <v/>
      </c>
      <c r="H618" s="2">
        <f>_xlfn.XLOOKUP(C618,customers!$A$1:$A$1001,customers!$G$1:$G$1001,,0)</f>
        <v/>
      </c>
      <c r="I618">
        <f>INDEX(products!$A$1:$G$49,MATCH(orders!$D618,products!$A$1:$A$49,0),MATCH(orders!I$1,products!$A$1:$G$1,0))</f>
        <v/>
      </c>
      <c r="J618">
        <f>INDEX(products!$A$1:$G$49,MATCH(orders!$D618,products!$A$1:$A$49,0),MATCH(orders!J$1,products!$A$1:$G$1,0))</f>
        <v/>
      </c>
      <c r="K618" s="4">
        <f>INDEX(products!$A$1:$G$49,MATCH(orders!$D618,products!$A$1:$A$49,0),MATCH(orders!K$1,products!$A$1:$G$1,0))</f>
        <v/>
      </c>
      <c r="L618" s="5">
        <f>INDEX(products!$A$1:$G$49,MATCH(orders!$D618,products!$A$1:$A$49,0),MATCH(orders!L$1,products!$A$1:$G$1,0))</f>
        <v/>
      </c>
      <c r="M618" s="5">
        <f>L618*E618</f>
        <v/>
      </c>
      <c r="N618">
        <f>IF(I618="Rob","Robusta",IF(I618="Exc","Excelsa",IF(I618="Ara","Arabica",IF(I618="Lib","Liberica",""))))</f>
        <v/>
      </c>
      <c r="O618">
        <f>IF(J618="M","Medium",IF(J618="L","Light",IF(J618="D","Dark","")))</f>
        <v/>
      </c>
      <c r="P618">
        <f>_xlfn.XLOOKUP(Orders[[#This Row],[Customer ID]],customers!$A$1:$A$1001,customers!$I$1:$I$1001,,0)</f>
        <v/>
      </c>
    </row>
    <row r="619">
      <c r="A619" s="2" t="inlineStr">
        <is>
          <t>O2890</t>
        </is>
      </c>
      <c r="B619" s="3" t="inlineStr">
        <is>
          <t>2025-07-18</t>
        </is>
      </c>
      <c r="C619" s="2" t="inlineStr">
        <is>
          <t>O7561</t>
        </is>
      </c>
      <c r="D619" t="inlineStr">
        <is>
          <t>O1011</t>
        </is>
      </c>
      <c r="E619" s="2" t="n">
        <v>231</v>
      </c>
      <c r="F619" s="2">
        <f>_xlfn.XLOOKUP(C619,customers!$A$1:$A$1001,customers!$B$1:$B$1001,,0)</f>
        <v/>
      </c>
      <c r="G619" s="2">
        <f>IF(_xlfn.XLOOKUP(C619,customers!$A$1:$A$1001,customers!$C$1:$C$1001,,0)=0,"",_xlfn.XLOOKUP(C619,customers!$A$1:$A$1001,customers!$C$1:$C$1001,,0))</f>
        <v/>
      </c>
      <c r="H619" s="2">
        <f>_xlfn.XLOOKUP(C619,customers!$A$1:$A$1001,customers!$G$1:$G$1001,,0)</f>
        <v/>
      </c>
      <c r="I619">
        <f>INDEX(products!$A$1:$G$49,MATCH(orders!$D619,products!$A$1:$A$49,0),MATCH(orders!I$1,products!$A$1:$G$1,0))</f>
        <v/>
      </c>
      <c r="J619">
        <f>INDEX(products!$A$1:$G$49,MATCH(orders!$D619,products!$A$1:$A$49,0),MATCH(orders!J$1,products!$A$1:$G$1,0))</f>
        <v/>
      </c>
      <c r="K619" s="4">
        <f>INDEX(products!$A$1:$G$49,MATCH(orders!$D619,products!$A$1:$A$49,0),MATCH(orders!K$1,products!$A$1:$G$1,0))</f>
        <v/>
      </c>
      <c r="L619" s="5">
        <f>INDEX(products!$A$1:$G$49,MATCH(orders!$D619,products!$A$1:$A$49,0),MATCH(orders!L$1,products!$A$1:$G$1,0))</f>
        <v/>
      </c>
      <c r="M619" s="5">
        <f>L619*E619</f>
        <v/>
      </c>
      <c r="N619">
        <f>IF(I619="Rob","Robusta",IF(I619="Exc","Excelsa",IF(I619="Ara","Arabica",IF(I619="Lib","Liberica",""))))</f>
        <v/>
      </c>
      <c r="O619">
        <f>IF(J619="M","Medium",IF(J619="L","Light",IF(J619="D","Dark","")))</f>
        <v/>
      </c>
      <c r="P619">
        <f>_xlfn.XLOOKUP(Orders[[#This Row],[Customer ID]],customers!$A$1:$A$1001,customers!$I$1:$I$1001,,0)</f>
        <v/>
      </c>
    </row>
    <row r="620">
      <c r="A620" s="2" t="inlineStr">
        <is>
          <t>O5885</t>
        </is>
      </c>
      <c r="B620" s="3" t="inlineStr">
        <is>
          <t>2020-02-08</t>
        </is>
      </c>
      <c r="C620" s="2" t="inlineStr">
        <is>
          <t>O2108</t>
        </is>
      </c>
      <c r="D620" t="inlineStr">
        <is>
          <t>O9154</t>
        </is>
      </c>
      <c r="E620" s="2" t="n">
        <v>476</v>
      </c>
      <c r="F620" s="2">
        <f>_xlfn.XLOOKUP(C620,customers!$A$1:$A$1001,customers!$B$1:$B$1001,,0)</f>
        <v/>
      </c>
      <c r="G620" s="2">
        <f>IF(_xlfn.XLOOKUP(C620,customers!$A$1:$A$1001,customers!$C$1:$C$1001,,0)=0,"",_xlfn.XLOOKUP(C620,customers!$A$1:$A$1001,customers!$C$1:$C$1001,,0))</f>
        <v/>
      </c>
      <c r="H620" s="2">
        <f>_xlfn.XLOOKUP(C620,customers!$A$1:$A$1001,customers!$G$1:$G$1001,,0)</f>
        <v/>
      </c>
      <c r="I620">
        <f>INDEX(products!$A$1:$G$49,MATCH(orders!$D620,products!$A$1:$A$49,0),MATCH(orders!I$1,products!$A$1:$G$1,0))</f>
        <v/>
      </c>
      <c r="J620">
        <f>INDEX(products!$A$1:$G$49,MATCH(orders!$D620,products!$A$1:$A$49,0),MATCH(orders!J$1,products!$A$1:$G$1,0))</f>
        <v/>
      </c>
      <c r="K620" s="4">
        <f>INDEX(products!$A$1:$G$49,MATCH(orders!$D620,products!$A$1:$A$49,0),MATCH(orders!K$1,products!$A$1:$G$1,0))</f>
        <v/>
      </c>
      <c r="L620" s="5">
        <f>INDEX(products!$A$1:$G$49,MATCH(orders!$D620,products!$A$1:$A$49,0),MATCH(orders!L$1,products!$A$1:$G$1,0))</f>
        <v/>
      </c>
      <c r="M620" s="5">
        <f>L620*E620</f>
        <v/>
      </c>
      <c r="N620">
        <f>IF(I620="Rob","Robusta",IF(I620="Exc","Excelsa",IF(I620="Ara","Arabica",IF(I620="Lib","Liberica",""))))</f>
        <v/>
      </c>
      <c r="O620">
        <f>IF(J620="M","Medium",IF(J620="L","Light",IF(J620="D","Dark","")))</f>
        <v/>
      </c>
      <c r="P620">
        <f>_xlfn.XLOOKUP(Orders[[#This Row],[Customer ID]],customers!$A$1:$A$1001,customers!$I$1:$I$1001,,0)</f>
        <v/>
      </c>
    </row>
    <row r="621">
      <c r="A621" s="2" t="inlineStr">
        <is>
          <t>O1901</t>
        </is>
      </c>
      <c r="B621" s="3" t="inlineStr">
        <is>
          <t>2024-02-10</t>
        </is>
      </c>
      <c r="C621" s="2" t="inlineStr">
        <is>
          <t>O4401</t>
        </is>
      </c>
      <c r="D621" t="inlineStr">
        <is>
          <t>O5104</t>
        </is>
      </c>
      <c r="E621" s="2" t="n">
        <v>353</v>
      </c>
      <c r="F621" s="2">
        <f>_xlfn.XLOOKUP(C621,customers!$A$1:$A$1001,customers!$B$1:$B$1001,,0)</f>
        <v/>
      </c>
      <c r="G621" s="2">
        <f>IF(_xlfn.XLOOKUP(C621,customers!$A$1:$A$1001,customers!$C$1:$C$1001,,0)=0,"",_xlfn.XLOOKUP(C621,customers!$A$1:$A$1001,customers!$C$1:$C$1001,,0))</f>
        <v/>
      </c>
      <c r="H621" s="2">
        <f>_xlfn.XLOOKUP(C621,customers!$A$1:$A$1001,customers!$G$1:$G$1001,,0)</f>
        <v/>
      </c>
      <c r="I621">
        <f>INDEX(products!$A$1:$G$49,MATCH(orders!$D621,products!$A$1:$A$49,0),MATCH(orders!I$1,products!$A$1:$G$1,0))</f>
        <v/>
      </c>
      <c r="J621">
        <f>INDEX(products!$A$1:$G$49,MATCH(orders!$D621,products!$A$1:$A$49,0),MATCH(orders!J$1,products!$A$1:$G$1,0))</f>
        <v/>
      </c>
      <c r="K621" s="4">
        <f>INDEX(products!$A$1:$G$49,MATCH(orders!$D621,products!$A$1:$A$49,0),MATCH(orders!K$1,products!$A$1:$G$1,0))</f>
        <v/>
      </c>
      <c r="L621" s="5">
        <f>INDEX(products!$A$1:$G$49,MATCH(orders!$D621,products!$A$1:$A$49,0),MATCH(orders!L$1,products!$A$1:$G$1,0))</f>
        <v/>
      </c>
      <c r="M621" s="5">
        <f>L621*E621</f>
        <v/>
      </c>
      <c r="N621">
        <f>IF(I621="Rob","Robusta",IF(I621="Exc","Excelsa",IF(I621="Ara","Arabica",IF(I621="Lib","Liberica",""))))</f>
        <v/>
      </c>
      <c r="O621">
        <f>IF(J621="M","Medium",IF(J621="L","Light",IF(J621="D","Dark","")))</f>
        <v/>
      </c>
      <c r="P621">
        <f>_xlfn.XLOOKUP(Orders[[#This Row],[Customer ID]],customers!$A$1:$A$1001,customers!$I$1:$I$1001,,0)</f>
        <v/>
      </c>
    </row>
    <row r="622">
      <c r="A622" s="2" t="inlineStr">
        <is>
          <t>O4921</t>
        </is>
      </c>
      <c r="B622" s="3" t="inlineStr">
        <is>
          <t>2023-01-03</t>
        </is>
      </c>
      <c r="C622" s="2" t="inlineStr">
        <is>
          <t>O2580</t>
        </is>
      </c>
      <c r="D622" t="inlineStr">
        <is>
          <t>O6453</t>
        </is>
      </c>
      <c r="E622" s="2" t="n">
        <v>200</v>
      </c>
      <c r="F622" s="2">
        <f>_xlfn.XLOOKUP(C622,customers!$A$1:$A$1001,customers!$B$1:$B$1001,,0)</f>
        <v/>
      </c>
      <c r="G622" s="2">
        <f>IF(_xlfn.XLOOKUP(C622,customers!$A$1:$A$1001,customers!$C$1:$C$1001,,0)=0,"",_xlfn.XLOOKUP(C622,customers!$A$1:$A$1001,customers!$C$1:$C$1001,,0))</f>
        <v/>
      </c>
      <c r="H622" s="2">
        <f>_xlfn.XLOOKUP(C622,customers!$A$1:$A$1001,customers!$G$1:$G$1001,,0)</f>
        <v/>
      </c>
      <c r="I622">
        <f>INDEX(products!$A$1:$G$49,MATCH(orders!$D622,products!$A$1:$A$49,0),MATCH(orders!I$1,products!$A$1:$G$1,0))</f>
        <v/>
      </c>
      <c r="J622">
        <f>INDEX(products!$A$1:$G$49,MATCH(orders!$D622,products!$A$1:$A$49,0),MATCH(orders!J$1,products!$A$1:$G$1,0))</f>
        <v/>
      </c>
      <c r="K622" s="4">
        <f>INDEX(products!$A$1:$G$49,MATCH(orders!$D622,products!$A$1:$A$49,0),MATCH(orders!K$1,products!$A$1:$G$1,0))</f>
        <v/>
      </c>
      <c r="L622" s="5">
        <f>INDEX(products!$A$1:$G$49,MATCH(orders!$D622,products!$A$1:$A$49,0),MATCH(orders!L$1,products!$A$1:$G$1,0))</f>
        <v/>
      </c>
      <c r="M622" s="5">
        <f>L622*E622</f>
        <v/>
      </c>
      <c r="N622">
        <f>IF(I622="Rob","Robusta",IF(I622="Exc","Excelsa",IF(I622="Ara","Arabica",IF(I622="Lib","Liberica",""))))</f>
        <v/>
      </c>
      <c r="O622">
        <f>IF(J622="M","Medium",IF(J622="L","Light",IF(J622="D","Dark","")))</f>
        <v/>
      </c>
      <c r="P622">
        <f>_xlfn.XLOOKUP(Orders[[#This Row],[Customer ID]],customers!$A$1:$A$1001,customers!$I$1:$I$1001,,0)</f>
        <v/>
      </c>
    </row>
    <row r="623">
      <c r="A623" s="2" t="inlineStr">
        <is>
          <t>O5809</t>
        </is>
      </c>
      <c r="B623" s="3" t="inlineStr">
        <is>
          <t>2023-02-14</t>
        </is>
      </c>
      <c r="C623" s="2" t="inlineStr">
        <is>
          <t>O5934</t>
        </is>
      </c>
      <c r="D623" t="inlineStr">
        <is>
          <t>O2787</t>
        </is>
      </c>
      <c r="E623" s="2" t="n">
        <v>118</v>
      </c>
      <c r="F623" s="2">
        <f>_xlfn.XLOOKUP(C623,customers!$A$1:$A$1001,customers!$B$1:$B$1001,,0)</f>
        <v/>
      </c>
      <c r="G623" s="2">
        <f>IF(_xlfn.XLOOKUP(C623,customers!$A$1:$A$1001,customers!$C$1:$C$1001,,0)=0,"",_xlfn.XLOOKUP(C623,customers!$A$1:$A$1001,customers!$C$1:$C$1001,,0))</f>
        <v/>
      </c>
      <c r="H623" s="2">
        <f>_xlfn.XLOOKUP(C623,customers!$A$1:$A$1001,customers!$G$1:$G$1001,,0)</f>
        <v/>
      </c>
      <c r="I623">
        <f>INDEX(products!$A$1:$G$49,MATCH(orders!$D623,products!$A$1:$A$49,0),MATCH(orders!I$1,products!$A$1:$G$1,0))</f>
        <v/>
      </c>
      <c r="J623">
        <f>INDEX(products!$A$1:$G$49,MATCH(orders!$D623,products!$A$1:$A$49,0),MATCH(orders!J$1,products!$A$1:$G$1,0))</f>
        <v/>
      </c>
      <c r="K623" s="4">
        <f>INDEX(products!$A$1:$G$49,MATCH(orders!$D623,products!$A$1:$A$49,0),MATCH(orders!K$1,products!$A$1:$G$1,0))</f>
        <v/>
      </c>
      <c r="L623" s="5">
        <f>INDEX(products!$A$1:$G$49,MATCH(orders!$D623,products!$A$1:$A$49,0),MATCH(orders!L$1,products!$A$1:$G$1,0))</f>
        <v/>
      </c>
      <c r="M623" s="5">
        <f>L623*E623</f>
        <v/>
      </c>
      <c r="N623">
        <f>IF(I623="Rob","Robusta",IF(I623="Exc","Excelsa",IF(I623="Ara","Arabica",IF(I623="Lib","Liberica",""))))</f>
        <v/>
      </c>
      <c r="O623">
        <f>IF(J623="M","Medium",IF(J623="L","Light",IF(J623="D","Dark","")))</f>
        <v/>
      </c>
      <c r="P623">
        <f>_xlfn.XLOOKUP(Orders[[#This Row],[Customer ID]],customers!$A$1:$A$1001,customers!$I$1:$I$1001,,0)</f>
        <v/>
      </c>
    </row>
    <row r="624">
      <c r="A624" s="2" t="inlineStr">
        <is>
          <t>O2197</t>
        </is>
      </c>
      <c r="B624" s="3" t="inlineStr">
        <is>
          <t>2024-04-26</t>
        </is>
      </c>
      <c r="C624" s="2" t="inlineStr">
        <is>
          <t>O9549</t>
        </is>
      </c>
      <c r="D624" t="inlineStr">
        <is>
          <t>O4674</t>
        </is>
      </c>
      <c r="E624" s="2" t="n">
        <v>321</v>
      </c>
      <c r="F624" s="2">
        <f>_xlfn.XLOOKUP(C624,customers!$A$1:$A$1001,customers!$B$1:$B$1001,,0)</f>
        <v/>
      </c>
      <c r="G624" s="2">
        <f>IF(_xlfn.XLOOKUP(C624,customers!$A$1:$A$1001,customers!$C$1:$C$1001,,0)=0,"",_xlfn.XLOOKUP(C624,customers!$A$1:$A$1001,customers!$C$1:$C$1001,,0))</f>
        <v/>
      </c>
      <c r="H624" s="2">
        <f>_xlfn.XLOOKUP(C624,customers!$A$1:$A$1001,customers!$G$1:$G$1001,,0)</f>
        <v/>
      </c>
      <c r="I624">
        <f>INDEX(products!$A$1:$G$49,MATCH(orders!$D624,products!$A$1:$A$49,0),MATCH(orders!I$1,products!$A$1:$G$1,0))</f>
        <v/>
      </c>
      <c r="J624">
        <f>INDEX(products!$A$1:$G$49,MATCH(orders!$D624,products!$A$1:$A$49,0),MATCH(orders!J$1,products!$A$1:$G$1,0))</f>
        <v/>
      </c>
      <c r="K624" s="4">
        <f>INDEX(products!$A$1:$G$49,MATCH(orders!$D624,products!$A$1:$A$49,0),MATCH(orders!K$1,products!$A$1:$G$1,0))</f>
        <v/>
      </c>
      <c r="L624" s="5">
        <f>INDEX(products!$A$1:$G$49,MATCH(orders!$D624,products!$A$1:$A$49,0),MATCH(orders!L$1,products!$A$1:$G$1,0))</f>
        <v/>
      </c>
      <c r="M624" s="5">
        <f>L624*E624</f>
        <v/>
      </c>
      <c r="N624">
        <f>IF(I624="Rob","Robusta",IF(I624="Exc","Excelsa",IF(I624="Ara","Arabica",IF(I624="Lib","Liberica",""))))</f>
        <v/>
      </c>
      <c r="O624">
        <f>IF(J624="M","Medium",IF(J624="L","Light",IF(J624="D","Dark","")))</f>
        <v/>
      </c>
      <c r="P624">
        <f>_xlfn.XLOOKUP(Orders[[#This Row],[Customer ID]],customers!$A$1:$A$1001,customers!$I$1:$I$1001,,0)</f>
        <v/>
      </c>
    </row>
    <row r="625">
      <c r="A625" s="2" t="inlineStr">
        <is>
          <t>O4539</t>
        </is>
      </c>
      <c r="B625" s="3" t="inlineStr">
        <is>
          <t>2021-08-01</t>
        </is>
      </c>
      <c r="C625" s="2" t="inlineStr">
        <is>
          <t>O2080</t>
        </is>
      </c>
      <c r="D625" t="inlineStr">
        <is>
          <t>O9667</t>
        </is>
      </c>
      <c r="E625" s="2" t="n">
        <v>496</v>
      </c>
      <c r="F625" s="2">
        <f>_xlfn.XLOOKUP(C625,customers!$A$1:$A$1001,customers!$B$1:$B$1001,,0)</f>
        <v/>
      </c>
      <c r="G625" s="2">
        <f>IF(_xlfn.XLOOKUP(C625,customers!$A$1:$A$1001,customers!$C$1:$C$1001,,0)=0,"",_xlfn.XLOOKUP(C625,customers!$A$1:$A$1001,customers!$C$1:$C$1001,,0))</f>
        <v/>
      </c>
      <c r="H625" s="2">
        <f>_xlfn.XLOOKUP(C625,customers!$A$1:$A$1001,customers!$G$1:$G$1001,,0)</f>
        <v/>
      </c>
      <c r="I625">
        <f>INDEX(products!$A$1:$G$49,MATCH(orders!$D625,products!$A$1:$A$49,0),MATCH(orders!I$1,products!$A$1:$G$1,0))</f>
        <v/>
      </c>
      <c r="J625">
        <f>INDEX(products!$A$1:$G$49,MATCH(orders!$D625,products!$A$1:$A$49,0),MATCH(orders!J$1,products!$A$1:$G$1,0))</f>
        <v/>
      </c>
      <c r="K625" s="4">
        <f>INDEX(products!$A$1:$G$49,MATCH(orders!$D625,products!$A$1:$A$49,0),MATCH(orders!K$1,products!$A$1:$G$1,0))</f>
        <v/>
      </c>
      <c r="L625" s="5">
        <f>INDEX(products!$A$1:$G$49,MATCH(orders!$D625,products!$A$1:$A$49,0),MATCH(orders!L$1,products!$A$1:$G$1,0))</f>
        <v/>
      </c>
      <c r="M625" s="5">
        <f>L625*E625</f>
        <v/>
      </c>
      <c r="N625">
        <f>IF(I625="Rob","Robusta",IF(I625="Exc","Excelsa",IF(I625="Ara","Arabica",IF(I625="Lib","Liberica",""))))</f>
        <v/>
      </c>
      <c r="O625">
        <f>IF(J625="M","Medium",IF(J625="L","Light",IF(J625="D","Dark","")))</f>
        <v/>
      </c>
      <c r="P625">
        <f>_xlfn.XLOOKUP(Orders[[#This Row],[Customer ID]],customers!$A$1:$A$1001,customers!$I$1:$I$1001,,0)</f>
        <v/>
      </c>
    </row>
    <row r="626">
      <c r="A626" s="2" t="inlineStr">
        <is>
          <t>O7902</t>
        </is>
      </c>
      <c r="B626" s="3" t="inlineStr">
        <is>
          <t>2020-09-09</t>
        </is>
      </c>
      <c r="C626" s="2" t="inlineStr">
        <is>
          <t>O6375</t>
        </is>
      </c>
      <c r="D626" t="inlineStr">
        <is>
          <t>O2222</t>
        </is>
      </c>
      <c r="E626" s="2" t="n">
        <v>473</v>
      </c>
      <c r="F626" s="2">
        <f>_xlfn.XLOOKUP(C626,customers!$A$1:$A$1001,customers!$B$1:$B$1001,,0)</f>
        <v/>
      </c>
      <c r="G626" s="2">
        <f>IF(_xlfn.XLOOKUP(C626,customers!$A$1:$A$1001,customers!$C$1:$C$1001,,0)=0,"",_xlfn.XLOOKUP(C626,customers!$A$1:$A$1001,customers!$C$1:$C$1001,,0))</f>
        <v/>
      </c>
      <c r="H626" s="2">
        <f>_xlfn.XLOOKUP(C626,customers!$A$1:$A$1001,customers!$G$1:$G$1001,,0)</f>
        <v/>
      </c>
      <c r="I626">
        <f>INDEX(products!$A$1:$G$49,MATCH(orders!$D626,products!$A$1:$A$49,0),MATCH(orders!I$1,products!$A$1:$G$1,0))</f>
        <v/>
      </c>
      <c r="J626">
        <f>INDEX(products!$A$1:$G$49,MATCH(orders!$D626,products!$A$1:$A$49,0),MATCH(orders!J$1,products!$A$1:$G$1,0))</f>
        <v/>
      </c>
      <c r="K626" s="4">
        <f>INDEX(products!$A$1:$G$49,MATCH(orders!$D626,products!$A$1:$A$49,0),MATCH(orders!K$1,products!$A$1:$G$1,0))</f>
        <v/>
      </c>
      <c r="L626" s="5">
        <f>INDEX(products!$A$1:$G$49,MATCH(orders!$D626,products!$A$1:$A$49,0),MATCH(orders!L$1,products!$A$1:$G$1,0))</f>
        <v/>
      </c>
      <c r="M626" s="5">
        <f>L626*E626</f>
        <v/>
      </c>
      <c r="N626">
        <f>IF(I626="Rob","Robusta",IF(I626="Exc","Excelsa",IF(I626="Ara","Arabica",IF(I626="Lib","Liberica",""))))</f>
        <v/>
      </c>
      <c r="O626">
        <f>IF(J626="M","Medium",IF(J626="L","Light",IF(J626="D","Dark","")))</f>
        <v/>
      </c>
      <c r="P626">
        <f>_xlfn.XLOOKUP(Orders[[#This Row],[Customer ID]],customers!$A$1:$A$1001,customers!$I$1:$I$1001,,0)</f>
        <v/>
      </c>
    </row>
    <row r="627">
      <c r="A627" s="2" t="inlineStr">
        <is>
          <t>O8424</t>
        </is>
      </c>
      <c r="B627" s="3" t="inlineStr">
        <is>
          <t>2021-07-10</t>
        </is>
      </c>
      <c r="C627" s="2" t="inlineStr">
        <is>
          <t>O2550</t>
        </is>
      </c>
      <c r="D627" t="inlineStr">
        <is>
          <t>O1259</t>
        </is>
      </c>
      <c r="E627" s="2" t="n">
        <v>463</v>
      </c>
      <c r="F627" s="2">
        <f>_xlfn.XLOOKUP(C627,customers!$A$1:$A$1001,customers!$B$1:$B$1001,,0)</f>
        <v/>
      </c>
      <c r="G627" s="2">
        <f>IF(_xlfn.XLOOKUP(C627,customers!$A$1:$A$1001,customers!$C$1:$C$1001,,0)=0,"",_xlfn.XLOOKUP(C627,customers!$A$1:$A$1001,customers!$C$1:$C$1001,,0))</f>
        <v/>
      </c>
      <c r="H627" s="2">
        <f>_xlfn.XLOOKUP(C627,customers!$A$1:$A$1001,customers!$G$1:$G$1001,,0)</f>
        <v/>
      </c>
      <c r="I627">
        <f>INDEX(products!$A$1:$G$49,MATCH(orders!$D627,products!$A$1:$A$49,0),MATCH(orders!I$1,products!$A$1:$G$1,0))</f>
        <v/>
      </c>
      <c r="J627">
        <f>INDEX(products!$A$1:$G$49,MATCH(orders!$D627,products!$A$1:$A$49,0),MATCH(orders!J$1,products!$A$1:$G$1,0))</f>
        <v/>
      </c>
      <c r="K627" s="4">
        <f>INDEX(products!$A$1:$G$49,MATCH(orders!$D627,products!$A$1:$A$49,0),MATCH(orders!K$1,products!$A$1:$G$1,0))</f>
        <v/>
      </c>
      <c r="L627" s="5">
        <f>INDEX(products!$A$1:$G$49,MATCH(orders!$D627,products!$A$1:$A$49,0),MATCH(orders!L$1,products!$A$1:$G$1,0))</f>
        <v/>
      </c>
      <c r="M627" s="5">
        <f>L627*E627</f>
        <v/>
      </c>
      <c r="N627">
        <f>IF(I627="Rob","Robusta",IF(I627="Exc","Excelsa",IF(I627="Ara","Arabica",IF(I627="Lib","Liberica",""))))</f>
        <v/>
      </c>
      <c r="O627">
        <f>IF(J627="M","Medium",IF(J627="L","Light",IF(J627="D","Dark","")))</f>
        <v/>
      </c>
      <c r="P627">
        <f>_xlfn.XLOOKUP(Orders[[#This Row],[Customer ID]],customers!$A$1:$A$1001,customers!$I$1:$I$1001,,0)</f>
        <v/>
      </c>
    </row>
    <row r="628">
      <c r="A628" s="2" t="inlineStr">
        <is>
          <t>O4515</t>
        </is>
      </c>
      <c r="B628" s="3" t="inlineStr">
        <is>
          <t>2025-04-20</t>
        </is>
      </c>
      <c r="C628" s="2" t="inlineStr">
        <is>
          <t>O6022</t>
        </is>
      </c>
      <c r="D628" t="inlineStr">
        <is>
          <t>O1732</t>
        </is>
      </c>
      <c r="E628" s="2" t="n">
        <v>211</v>
      </c>
      <c r="F628" s="2">
        <f>_xlfn.XLOOKUP(C628,customers!$A$1:$A$1001,customers!$B$1:$B$1001,,0)</f>
        <v/>
      </c>
      <c r="G628" s="2">
        <f>IF(_xlfn.XLOOKUP(C628,customers!$A$1:$A$1001,customers!$C$1:$C$1001,,0)=0,"",_xlfn.XLOOKUP(C628,customers!$A$1:$A$1001,customers!$C$1:$C$1001,,0))</f>
        <v/>
      </c>
      <c r="H628" s="2">
        <f>_xlfn.XLOOKUP(C628,customers!$A$1:$A$1001,customers!$G$1:$G$1001,,0)</f>
        <v/>
      </c>
      <c r="I628">
        <f>INDEX(products!$A$1:$G$49,MATCH(orders!$D628,products!$A$1:$A$49,0),MATCH(orders!I$1,products!$A$1:$G$1,0))</f>
        <v/>
      </c>
      <c r="J628">
        <f>INDEX(products!$A$1:$G$49,MATCH(orders!$D628,products!$A$1:$A$49,0),MATCH(orders!J$1,products!$A$1:$G$1,0))</f>
        <v/>
      </c>
      <c r="K628" s="4">
        <f>INDEX(products!$A$1:$G$49,MATCH(orders!$D628,products!$A$1:$A$49,0),MATCH(orders!K$1,products!$A$1:$G$1,0))</f>
        <v/>
      </c>
      <c r="L628" s="5">
        <f>INDEX(products!$A$1:$G$49,MATCH(orders!$D628,products!$A$1:$A$49,0),MATCH(orders!L$1,products!$A$1:$G$1,0))</f>
        <v/>
      </c>
      <c r="M628" s="5">
        <f>L628*E628</f>
        <v/>
      </c>
      <c r="N628">
        <f>IF(I628="Rob","Robusta",IF(I628="Exc","Excelsa",IF(I628="Ara","Arabica",IF(I628="Lib","Liberica",""))))</f>
        <v/>
      </c>
      <c r="O628">
        <f>IF(J628="M","Medium",IF(J628="L","Light",IF(J628="D","Dark","")))</f>
        <v/>
      </c>
      <c r="P628">
        <f>_xlfn.XLOOKUP(Orders[[#This Row],[Customer ID]],customers!$A$1:$A$1001,customers!$I$1:$I$1001,,0)</f>
        <v/>
      </c>
    </row>
    <row r="629">
      <c r="A629" s="2" t="inlineStr">
        <is>
          <t>O8704</t>
        </is>
      </c>
      <c r="B629" s="3" t="inlineStr">
        <is>
          <t>2020-06-20</t>
        </is>
      </c>
      <c r="C629" s="2" t="inlineStr">
        <is>
          <t>O2866</t>
        </is>
      </c>
      <c r="D629" t="inlineStr">
        <is>
          <t>O5203</t>
        </is>
      </c>
      <c r="E629" s="2" t="n">
        <v>361</v>
      </c>
      <c r="F629" s="2">
        <f>_xlfn.XLOOKUP(C629,customers!$A$1:$A$1001,customers!$B$1:$B$1001,,0)</f>
        <v/>
      </c>
      <c r="G629" s="2">
        <f>IF(_xlfn.XLOOKUP(C629,customers!$A$1:$A$1001,customers!$C$1:$C$1001,,0)=0,"",_xlfn.XLOOKUP(C629,customers!$A$1:$A$1001,customers!$C$1:$C$1001,,0))</f>
        <v/>
      </c>
      <c r="H629" s="2">
        <f>_xlfn.XLOOKUP(C629,customers!$A$1:$A$1001,customers!$G$1:$G$1001,,0)</f>
        <v/>
      </c>
      <c r="I629">
        <f>INDEX(products!$A$1:$G$49,MATCH(orders!$D629,products!$A$1:$A$49,0),MATCH(orders!I$1,products!$A$1:$G$1,0))</f>
        <v/>
      </c>
      <c r="J629">
        <f>INDEX(products!$A$1:$G$49,MATCH(orders!$D629,products!$A$1:$A$49,0),MATCH(orders!J$1,products!$A$1:$G$1,0))</f>
        <v/>
      </c>
      <c r="K629" s="4">
        <f>INDEX(products!$A$1:$G$49,MATCH(orders!$D629,products!$A$1:$A$49,0),MATCH(orders!K$1,products!$A$1:$G$1,0))</f>
        <v/>
      </c>
      <c r="L629" s="5">
        <f>INDEX(products!$A$1:$G$49,MATCH(orders!$D629,products!$A$1:$A$49,0),MATCH(orders!L$1,products!$A$1:$G$1,0))</f>
        <v/>
      </c>
      <c r="M629" s="5">
        <f>L629*E629</f>
        <v/>
      </c>
      <c r="N629">
        <f>IF(I629="Rob","Robusta",IF(I629="Exc","Excelsa",IF(I629="Ara","Arabica",IF(I629="Lib","Liberica",""))))</f>
        <v/>
      </c>
      <c r="O629">
        <f>IF(J629="M","Medium",IF(J629="L","Light",IF(J629="D","Dark","")))</f>
        <v/>
      </c>
      <c r="P629">
        <f>_xlfn.XLOOKUP(Orders[[#This Row],[Customer ID]],customers!$A$1:$A$1001,customers!$I$1:$I$1001,,0)</f>
        <v/>
      </c>
    </row>
    <row r="630">
      <c r="A630" s="2" t="inlineStr">
        <is>
          <t>O2134</t>
        </is>
      </c>
      <c r="B630" s="3" t="inlineStr">
        <is>
          <t>2022-06-22</t>
        </is>
      </c>
      <c r="C630" s="2" t="inlineStr">
        <is>
          <t>O4136</t>
        </is>
      </c>
      <c r="D630" t="inlineStr">
        <is>
          <t>O3273</t>
        </is>
      </c>
      <c r="E630" s="2" t="n">
        <v>406</v>
      </c>
      <c r="F630" s="2">
        <f>_xlfn.XLOOKUP(C630,customers!$A$1:$A$1001,customers!$B$1:$B$1001,,0)</f>
        <v/>
      </c>
      <c r="G630" s="2">
        <f>IF(_xlfn.XLOOKUP(C630,customers!$A$1:$A$1001,customers!$C$1:$C$1001,,0)=0,"",_xlfn.XLOOKUP(C630,customers!$A$1:$A$1001,customers!$C$1:$C$1001,,0))</f>
        <v/>
      </c>
      <c r="H630" s="2">
        <f>_xlfn.XLOOKUP(C630,customers!$A$1:$A$1001,customers!$G$1:$G$1001,,0)</f>
        <v/>
      </c>
      <c r="I630">
        <f>INDEX(products!$A$1:$G$49,MATCH(orders!$D630,products!$A$1:$A$49,0),MATCH(orders!I$1,products!$A$1:$G$1,0))</f>
        <v/>
      </c>
      <c r="J630">
        <f>INDEX(products!$A$1:$G$49,MATCH(orders!$D630,products!$A$1:$A$49,0),MATCH(orders!J$1,products!$A$1:$G$1,0))</f>
        <v/>
      </c>
      <c r="K630" s="4">
        <f>INDEX(products!$A$1:$G$49,MATCH(orders!$D630,products!$A$1:$A$49,0),MATCH(orders!K$1,products!$A$1:$G$1,0))</f>
        <v/>
      </c>
      <c r="L630" s="5">
        <f>INDEX(products!$A$1:$G$49,MATCH(orders!$D630,products!$A$1:$A$49,0),MATCH(orders!L$1,products!$A$1:$G$1,0))</f>
        <v/>
      </c>
      <c r="M630" s="5">
        <f>L630*E630</f>
        <v/>
      </c>
      <c r="N630">
        <f>IF(I630="Rob","Robusta",IF(I630="Exc","Excelsa",IF(I630="Ara","Arabica",IF(I630="Lib","Liberica",""))))</f>
        <v/>
      </c>
      <c r="O630">
        <f>IF(J630="M","Medium",IF(J630="L","Light",IF(J630="D","Dark","")))</f>
        <v/>
      </c>
      <c r="P630">
        <f>_xlfn.XLOOKUP(Orders[[#This Row],[Customer ID]],customers!$A$1:$A$1001,customers!$I$1:$I$1001,,0)</f>
        <v/>
      </c>
    </row>
    <row r="631">
      <c r="A631" s="2" t="inlineStr">
        <is>
          <t>O4108</t>
        </is>
      </c>
      <c r="B631" s="3" t="inlineStr">
        <is>
          <t>2023-01-17</t>
        </is>
      </c>
      <c r="C631" s="2" t="inlineStr">
        <is>
          <t>O1303</t>
        </is>
      </c>
      <c r="D631" t="inlineStr">
        <is>
          <t>O8024</t>
        </is>
      </c>
      <c r="E631" s="2" t="n">
        <v>341</v>
      </c>
      <c r="F631" s="2">
        <f>_xlfn.XLOOKUP(C631,customers!$A$1:$A$1001,customers!$B$1:$B$1001,,0)</f>
        <v/>
      </c>
      <c r="G631" s="2">
        <f>IF(_xlfn.XLOOKUP(C631,customers!$A$1:$A$1001,customers!$C$1:$C$1001,,0)=0,"",_xlfn.XLOOKUP(C631,customers!$A$1:$A$1001,customers!$C$1:$C$1001,,0))</f>
        <v/>
      </c>
      <c r="H631" s="2">
        <f>_xlfn.XLOOKUP(C631,customers!$A$1:$A$1001,customers!$G$1:$G$1001,,0)</f>
        <v/>
      </c>
      <c r="I631">
        <f>INDEX(products!$A$1:$G$49,MATCH(orders!$D631,products!$A$1:$A$49,0),MATCH(orders!I$1,products!$A$1:$G$1,0))</f>
        <v/>
      </c>
      <c r="J631">
        <f>INDEX(products!$A$1:$G$49,MATCH(orders!$D631,products!$A$1:$A$49,0),MATCH(orders!J$1,products!$A$1:$G$1,0))</f>
        <v/>
      </c>
      <c r="K631" s="4">
        <f>INDEX(products!$A$1:$G$49,MATCH(orders!$D631,products!$A$1:$A$49,0),MATCH(orders!K$1,products!$A$1:$G$1,0))</f>
        <v/>
      </c>
      <c r="L631" s="5">
        <f>INDEX(products!$A$1:$G$49,MATCH(orders!$D631,products!$A$1:$A$49,0),MATCH(orders!L$1,products!$A$1:$G$1,0))</f>
        <v/>
      </c>
      <c r="M631" s="5">
        <f>L631*E631</f>
        <v/>
      </c>
      <c r="N631">
        <f>IF(I631="Rob","Robusta",IF(I631="Exc","Excelsa",IF(I631="Ara","Arabica",IF(I631="Lib","Liberica",""))))</f>
        <v/>
      </c>
      <c r="O631">
        <f>IF(J631="M","Medium",IF(J631="L","Light",IF(J631="D","Dark","")))</f>
        <v/>
      </c>
      <c r="P631">
        <f>_xlfn.XLOOKUP(Orders[[#This Row],[Customer ID]],customers!$A$1:$A$1001,customers!$I$1:$I$1001,,0)</f>
        <v/>
      </c>
    </row>
    <row r="632">
      <c r="A632" s="2" t="inlineStr">
        <is>
          <t>O1450</t>
        </is>
      </c>
      <c r="B632" s="3" t="inlineStr">
        <is>
          <t>2020-10-15</t>
        </is>
      </c>
      <c r="C632" s="2" t="inlineStr">
        <is>
          <t>O3003</t>
        </is>
      </c>
      <c r="D632" t="inlineStr">
        <is>
          <t>O4037</t>
        </is>
      </c>
      <c r="E632" s="2" t="n">
        <v>407</v>
      </c>
      <c r="F632" s="2">
        <f>_xlfn.XLOOKUP(C632,customers!$A$1:$A$1001,customers!$B$1:$B$1001,,0)</f>
        <v/>
      </c>
      <c r="G632" s="2">
        <f>IF(_xlfn.XLOOKUP(C632,customers!$A$1:$A$1001,customers!$C$1:$C$1001,,0)=0,"",_xlfn.XLOOKUP(C632,customers!$A$1:$A$1001,customers!$C$1:$C$1001,,0))</f>
        <v/>
      </c>
      <c r="H632" s="2">
        <f>_xlfn.XLOOKUP(C632,customers!$A$1:$A$1001,customers!$G$1:$G$1001,,0)</f>
        <v/>
      </c>
      <c r="I632">
        <f>INDEX(products!$A$1:$G$49,MATCH(orders!$D632,products!$A$1:$A$49,0),MATCH(orders!I$1,products!$A$1:$G$1,0))</f>
        <v/>
      </c>
      <c r="J632">
        <f>INDEX(products!$A$1:$G$49,MATCH(orders!$D632,products!$A$1:$A$49,0),MATCH(orders!J$1,products!$A$1:$G$1,0))</f>
        <v/>
      </c>
      <c r="K632" s="4">
        <f>INDEX(products!$A$1:$G$49,MATCH(orders!$D632,products!$A$1:$A$49,0),MATCH(orders!K$1,products!$A$1:$G$1,0))</f>
        <v/>
      </c>
      <c r="L632" s="5">
        <f>INDEX(products!$A$1:$G$49,MATCH(orders!$D632,products!$A$1:$A$49,0),MATCH(orders!L$1,products!$A$1:$G$1,0))</f>
        <v/>
      </c>
      <c r="M632" s="5">
        <f>L632*E632</f>
        <v/>
      </c>
      <c r="N632">
        <f>IF(I632="Rob","Robusta",IF(I632="Exc","Excelsa",IF(I632="Ara","Arabica",IF(I632="Lib","Liberica",""))))</f>
        <v/>
      </c>
      <c r="O632">
        <f>IF(J632="M","Medium",IF(J632="L","Light",IF(J632="D","Dark","")))</f>
        <v/>
      </c>
      <c r="P632">
        <f>_xlfn.XLOOKUP(Orders[[#This Row],[Customer ID]],customers!$A$1:$A$1001,customers!$I$1:$I$1001,,0)</f>
        <v/>
      </c>
    </row>
    <row r="633">
      <c r="A633" s="2" t="inlineStr">
        <is>
          <t>O8695</t>
        </is>
      </c>
      <c r="B633" s="3" t="inlineStr">
        <is>
          <t>2025-04-26</t>
        </is>
      </c>
      <c r="C633" s="2" t="inlineStr">
        <is>
          <t>O9637</t>
        </is>
      </c>
      <c r="D633" t="inlineStr">
        <is>
          <t>O9580</t>
        </is>
      </c>
      <c r="E633" s="2" t="n">
        <v>498</v>
      </c>
      <c r="F633" s="2">
        <f>_xlfn.XLOOKUP(C633,customers!$A$1:$A$1001,customers!$B$1:$B$1001,,0)</f>
        <v/>
      </c>
      <c r="G633" s="2">
        <f>IF(_xlfn.XLOOKUP(C633,customers!$A$1:$A$1001,customers!$C$1:$C$1001,,0)=0,"",_xlfn.XLOOKUP(C633,customers!$A$1:$A$1001,customers!$C$1:$C$1001,,0))</f>
        <v/>
      </c>
      <c r="H633" s="2">
        <f>_xlfn.XLOOKUP(C633,customers!$A$1:$A$1001,customers!$G$1:$G$1001,,0)</f>
        <v/>
      </c>
      <c r="I633">
        <f>INDEX(products!$A$1:$G$49,MATCH(orders!$D633,products!$A$1:$A$49,0),MATCH(orders!I$1,products!$A$1:$G$1,0))</f>
        <v/>
      </c>
      <c r="J633">
        <f>INDEX(products!$A$1:$G$49,MATCH(orders!$D633,products!$A$1:$A$49,0),MATCH(orders!J$1,products!$A$1:$G$1,0))</f>
        <v/>
      </c>
      <c r="K633" s="4">
        <f>INDEX(products!$A$1:$G$49,MATCH(orders!$D633,products!$A$1:$A$49,0),MATCH(orders!K$1,products!$A$1:$G$1,0))</f>
        <v/>
      </c>
      <c r="L633" s="5">
        <f>INDEX(products!$A$1:$G$49,MATCH(orders!$D633,products!$A$1:$A$49,0),MATCH(orders!L$1,products!$A$1:$G$1,0))</f>
        <v/>
      </c>
      <c r="M633" s="5">
        <f>L633*E633</f>
        <v/>
      </c>
      <c r="N633">
        <f>IF(I633="Rob","Robusta",IF(I633="Exc","Excelsa",IF(I633="Ara","Arabica",IF(I633="Lib","Liberica",""))))</f>
        <v/>
      </c>
      <c r="O633">
        <f>IF(J633="M","Medium",IF(J633="L","Light",IF(J633="D","Dark","")))</f>
        <v/>
      </c>
      <c r="P633">
        <f>_xlfn.XLOOKUP(Orders[[#This Row],[Customer ID]],customers!$A$1:$A$1001,customers!$I$1:$I$1001,,0)</f>
        <v/>
      </c>
    </row>
    <row r="634">
      <c r="A634" s="2" t="inlineStr">
        <is>
          <t>O9002</t>
        </is>
      </c>
      <c r="B634" s="3" t="inlineStr">
        <is>
          <t>2024-09-28</t>
        </is>
      </c>
      <c r="C634" s="2" t="inlineStr">
        <is>
          <t>O8496</t>
        </is>
      </c>
      <c r="D634" t="inlineStr">
        <is>
          <t>O7240</t>
        </is>
      </c>
      <c r="E634" s="2" t="n">
        <v>109</v>
      </c>
      <c r="F634" s="2">
        <f>_xlfn.XLOOKUP(C634,customers!$A$1:$A$1001,customers!$B$1:$B$1001,,0)</f>
        <v/>
      </c>
      <c r="G634" s="2">
        <f>IF(_xlfn.XLOOKUP(C634,customers!$A$1:$A$1001,customers!$C$1:$C$1001,,0)=0,"",_xlfn.XLOOKUP(C634,customers!$A$1:$A$1001,customers!$C$1:$C$1001,,0))</f>
        <v/>
      </c>
      <c r="H634" s="2">
        <f>_xlfn.XLOOKUP(C634,customers!$A$1:$A$1001,customers!$G$1:$G$1001,,0)</f>
        <v/>
      </c>
      <c r="I634">
        <f>INDEX(products!$A$1:$G$49,MATCH(orders!$D634,products!$A$1:$A$49,0),MATCH(orders!I$1,products!$A$1:$G$1,0))</f>
        <v/>
      </c>
      <c r="J634">
        <f>INDEX(products!$A$1:$G$49,MATCH(orders!$D634,products!$A$1:$A$49,0),MATCH(orders!J$1,products!$A$1:$G$1,0))</f>
        <v/>
      </c>
      <c r="K634" s="4">
        <f>INDEX(products!$A$1:$G$49,MATCH(orders!$D634,products!$A$1:$A$49,0),MATCH(orders!K$1,products!$A$1:$G$1,0))</f>
        <v/>
      </c>
      <c r="L634" s="5">
        <f>INDEX(products!$A$1:$G$49,MATCH(orders!$D634,products!$A$1:$A$49,0),MATCH(orders!L$1,products!$A$1:$G$1,0))</f>
        <v/>
      </c>
      <c r="M634" s="5">
        <f>L634*E634</f>
        <v/>
      </c>
      <c r="N634">
        <f>IF(I634="Rob","Robusta",IF(I634="Exc","Excelsa",IF(I634="Ara","Arabica",IF(I634="Lib","Liberica",""))))</f>
        <v/>
      </c>
      <c r="O634">
        <f>IF(J634="M","Medium",IF(J634="L","Light",IF(J634="D","Dark","")))</f>
        <v/>
      </c>
      <c r="P634">
        <f>_xlfn.XLOOKUP(Orders[[#This Row],[Customer ID]],customers!$A$1:$A$1001,customers!$I$1:$I$1001,,0)</f>
        <v/>
      </c>
    </row>
    <row r="635">
      <c r="A635" s="2" t="inlineStr">
        <is>
          <t>O6382</t>
        </is>
      </c>
      <c r="B635" s="3" t="inlineStr">
        <is>
          <t>2024-01-13</t>
        </is>
      </c>
      <c r="C635" s="2" t="inlineStr">
        <is>
          <t>O8006</t>
        </is>
      </c>
      <c r="D635" t="inlineStr">
        <is>
          <t>O3484</t>
        </is>
      </c>
      <c r="E635" s="2" t="n">
        <v>31</v>
      </c>
      <c r="F635" s="2">
        <f>_xlfn.XLOOKUP(C635,customers!$A$1:$A$1001,customers!$B$1:$B$1001,,0)</f>
        <v/>
      </c>
      <c r="G635" s="2">
        <f>IF(_xlfn.XLOOKUP(C635,customers!$A$1:$A$1001,customers!$C$1:$C$1001,,0)=0,"",_xlfn.XLOOKUP(C635,customers!$A$1:$A$1001,customers!$C$1:$C$1001,,0))</f>
        <v/>
      </c>
      <c r="H635" s="2">
        <f>_xlfn.XLOOKUP(C635,customers!$A$1:$A$1001,customers!$G$1:$G$1001,,0)</f>
        <v/>
      </c>
      <c r="I635">
        <f>INDEX(products!$A$1:$G$49,MATCH(orders!$D635,products!$A$1:$A$49,0),MATCH(orders!I$1,products!$A$1:$G$1,0))</f>
        <v/>
      </c>
      <c r="J635">
        <f>INDEX(products!$A$1:$G$49,MATCH(orders!$D635,products!$A$1:$A$49,0),MATCH(orders!J$1,products!$A$1:$G$1,0))</f>
        <v/>
      </c>
      <c r="K635" s="4">
        <f>INDEX(products!$A$1:$G$49,MATCH(orders!$D635,products!$A$1:$A$49,0),MATCH(orders!K$1,products!$A$1:$G$1,0))</f>
        <v/>
      </c>
      <c r="L635" s="5">
        <f>INDEX(products!$A$1:$G$49,MATCH(orders!$D635,products!$A$1:$A$49,0),MATCH(orders!L$1,products!$A$1:$G$1,0))</f>
        <v/>
      </c>
      <c r="M635" s="5">
        <f>L635*E635</f>
        <v/>
      </c>
      <c r="N635">
        <f>IF(I635="Rob","Robusta",IF(I635="Exc","Excelsa",IF(I635="Ara","Arabica",IF(I635="Lib","Liberica",""))))</f>
        <v/>
      </c>
      <c r="O635">
        <f>IF(J635="M","Medium",IF(J635="L","Light",IF(J635="D","Dark","")))</f>
        <v/>
      </c>
      <c r="P635">
        <f>_xlfn.XLOOKUP(Orders[[#This Row],[Customer ID]],customers!$A$1:$A$1001,customers!$I$1:$I$1001,,0)</f>
        <v/>
      </c>
    </row>
    <row r="636">
      <c r="A636" s="2" t="inlineStr">
        <is>
          <t>O8682</t>
        </is>
      </c>
      <c r="B636" s="3" t="inlineStr">
        <is>
          <t>2020-11-06</t>
        </is>
      </c>
      <c r="C636" s="2" t="inlineStr">
        <is>
          <t>O6536</t>
        </is>
      </c>
      <c r="D636" t="inlineStr">
        <is>
          <t>O2737</t>
        </is>
      </c>
      <c r="E636" s="2" t="n">
        <v>299</v>
      </c>
      <c r="F636" s="2">
        <f>_xlfn.XLOOKUP(C636,customers!$A$1:$A$1001,customers!$B$1:$B$1001,,0)</f>
        <v/>
      </c>
      <c r="G636" s="2">
        <f>IF(_xlfn.XLOOKUP(C636,customers!$A$1:$A$1001,customers!$C$1:$C$1001,,0)=0,"",_xlfn.XLOOKUP(C636,customers!$A$1:$A$1001,customers!$C$1:$C$1001,,0))</f>
        <v/>
      </c>
      <c r="H636" s="2">
        <f>_xlfn.XLOOKUP(C636,customers!$A$1:$A$1001,customers!$G$1:$G$1001,,0)</f>
        <v/>
      </c>
      <c r="I636">
        <f>INDEX(products!$A$1:$G$49,MATCH(orders!$D636,products!$A$1:$A$49,0),MATCH(orders!I$1,products!$A$1:$G$1,0))</f>
        <v/>
      </c>
      <c r="J636">
        <f>INDEX(products!$A$1:$G$49,MATCH(orders!$D636,products!$A$1:$A$49,0),MATCH(orders!J$1,products!$A$1:$G$1,0))</f>
        <v/>
      </c>
      <c r="K636" s="4">
        <f>INDEX(products!$A$1:$G$49,MATCH(orders!$D636,products!$A$1:$A$49,0),MATCH(orders!K$1,products!$A$1:$G$1,0))</f>
        <v/>
      </c>
      <c r="L636" s="5">
        <f>INDEX(products!$A$1:$G$49,MATCH(orders!$D636,products!$A$1:$A$49,0),MATCH(orders!L$1,products!$A$1:$G$1,0))</f>
        <v/>
      </c>
      <c r="M636" s="5">
        <f>L636*E636</f>
        <v/>
      </c>
      <c r="N636">
        <f>IF(I636="Rob","Robusta",IF(I636="Exc","Excelsa",IF(I636="Ara","Arabica",IF(I636="Lib","Liberica",""))))</f>
        <v/>
      </c>
      <c r="O636">
        <f>IF(J636="M","Medium",IF(J636="L","Light",IF(J636="D","Dark","")))</f>
        <v/>
      </c>
      <c r="P636">
        <f>_xlfn.XLOOKUP(Orders[[#This Row],[Customer ID]],customers!$A$1:$A$1001,customers!$I$1:$I$1001,,0)</f>
        <v/>
      </c>
    </row>
    <row r="637">
      <c r="A637" s="2" t="inlineStr">
        <is>
          <t>O1632</t>
        </is>
      </c>
      <c r="B637" s="3" t="inlineStr">
        <is>
          <t>2020-07-22</t>
        </is>
      </c>
      <c r="C637" s="2" t="inlineStr">
        <is>
          <t>O3252</t>
        </is>
      </c>
      <c r="D637" t="inlineStr">
        <is>
          <t>O6043</t>
        </is>
      </c>
      <c r="E637" s="2" t="n">
        <v>277</v>
      </c>
      <c r="F637" s="2">
        <f>_xlfn.XLOOKUP(C637,customers!$A$1:$A$1001,customers!$B$1:$B$1001,,0)</f>
        <v/>
      </c>
      <c r="G637" s="2">
        <f>IF(_xlfn.XLOOKUP(C637,customers!$A$1:$A$1001,customers!$C$1:$C$1001,,0)=0,"",_xlfn.XLOOKUP(C637,customers!$A$1:$A$1001,customers!$C$1:$C$1001,,0))</f>
        <v/>
      </c>
      <c r="H637" s="2">
        <f>_xlfn.XLOOKUP(C637,customers!$A$1:$A$1001,customers!$G$1:$G$1001,,0)</f>
        <v/>
      </c>
      <c r="I637">
        <f>INDEX(products!$A$1:$G$49,MATCH(orders!$D637,products!$A$1:$A$49,0),MATCH(orders!I$1,products!$A$1:$G$1,0))</f>
        <v/>
      </c>
      <c r="J637">
        <f>INDEX(products!$A$1:$G$49,MATCH(orders!$D637,products!$A$1:$A$49,0),MATCH(orders!J$1,products!$A$1:$G$1,0))</f>
        <v/>
      </c>
      <c r="K637" s="4">
        <f>INDEX(products!$A$1:$G$49,MATCH(orders!$D637,products!$A$1:$A$49,0),MATCH(orders!K$1,products!$A$1:$G$1,0))</f>
        <v/>
      </c>
      <c r="L637" s="5">
        <f>INDEX(products!$A$1:$G$49,MATCH(orders!$D637,products!$A$1:$A$49,0),MATCH(orders!L$1,products!$A$1:$G$1,0))</f>
        <v/>
      </c>
      <c r="M637" s="5">
        <f>L637*E637</f>
        <v/>
      </c>
      <c r="N637">
        <f>IF(I637="Rob","Robusta",IF(I637="Exc","Excelsa",IF(I637="Ara","Arabica",IF(I637="Lib","Liberica",""))))</f>
        <v/>
      </c>
      <c r="O637">
        <f>IF(J637="M","Medium",IF(J637="L","Light",IF(J637="D","Dark","")))</f>
        <v/>
      </c>
      <c r="P637">
        <f>_xlfn.XLOOKUP(Orders[[#This Row],[Customer ID]],customers!$A$1:$A$1001,customers!$I$1:$I$1001,,0)</f>
        <v/>
      </c>
    </row>
    <row r="638">
      <c r="A638" s="2" t="inlineStr">
        <is>
          <t>O1022</t>
        </is>
      </c>
      <c r="B638" s="3" t="inlineStr">
        <is>
          <t>2020-03-01</t>
        </is>
      </c>
      <c r="C638" s="2" t="inlineStr">
        <is>
          <t>O8851</t>
        </is>
      </c>
      <c r="D638" t="inlineStr">
        <is>
          <t>O8162</t>
        </is>
      </c>
      <c r="E638" s="2" t="n">
        <v>474</v>
      </c>
      <c r="F638" s="2">
        <f>_xlfn.XLOOKUP(C638,customers!$A$1:$A$1001,customers!$B$1:$B$1001,,0)</f>
        <v/>
      </c>
      <c r="G638" s="2">
        <f>IF(_xlfn.XLOOKUP(C638,customers!$A$1:$A$1001,customers!$C$1:$C$1001,,0)=0,"",_xlfn.XLOOKUP(C638,customers!$A$1:$A$1001,customers!$C$1:$C$1001,,0))</f>
        <v/>
      </c>
      <c r="H638" s="2">
        <f>_xlfn.XLOOKUP(C638,customers!$A$1:$A$1001,customers!$G$1:$G$1001,,0)</f>
        <v/>
      </c>
      <c r="I638">
        <f>INDEX(products!$A$1:$G$49,MATCH(orders!$D638,products!$A$1:$A$49,0),MATCH(orders!I$1,products!$A$1:$G$1,0))</f>
        <v/>
      </c>
      <c r="J638">
        <f>INDEX(products!$A$1:$G$49,MATCH(orders!$D638,products!$A$1:$A$49,0),MATCH(orders!J$1,products!$A$1:$G$1,0))</f>
        <v/>
      </c>
      <c r="K638" s="4">
        <f>INDEX(products!$A$1:$G$49,MATCH(orders!$D638,products!$A$1:$A$49,0),MATCH(orders!K$1,products!$A$1:$G$1,0))</f>
        <v/>
      </c>
      <c r="L638" s="5">
        <f>INDEX(products!$A$1:$G$49,MATCH(orders!$D638,products!$A$1:$A$49,0),MATCH(orders!L$1,products!$A$1:$G$1,0))</f>
        <v/>
      </c>
      <c r="M638" s="5">
        <f>L638*E638</f>
        <v/>
      </c>
      <c r="N638">
        <f>IF(I638="Rob","Robusta",IF(I638="Exc","Excelsa",IF(I638="Ara","Arabica",IF(I638="Lib","Liberica",""))))</f>
        <v/>
      </c>
      <c r="O638">
        <f>IF(J638="M","Medium",IF(J638="L","Light",IF(J638="D","Dark","")))</f>
        <v/>
      </c>
      <c r="P638">
        <f>_xlfn.XLOOKUP(Orders[[#This Row],[Customer ID]],customers!$A$1:$A$1001,customers!$I$1:$I$1001,,0)</f>
        <v/>
      </c>
    </row>
    <row r="639">
      <c r="A639" s="2" t="inlineStr">
        <is>
          <t>O8010</t>
        </is>
      </c>
      <c r="B639" s="3" t="inlineStr">
        <is>
          <t>2025-02-18</t>
        </is>
      </c>
      <c r="C639" s="2" t="inlineStr">
        <is>
          <t>O5152</t>
        </is>
      </c>
      <c r="D639" t="inlineStr">
        <is>
          <t>O1818</t>
        </is>
      </c>
      <c r="E639" s="2" t="n">
        <v>265</v>
      </c>
      <c r="F639" s="2">
        <f>_xlfn.XLOOKUP(C639,customers!$A$1:$A$1001,customers!$B$1:$B$1001,,0)</f>
        <v/>
      </c>
      <c r="G639" s="2">
        <f>IF(_xlfn.XLOOKUP(C639,customers!$A$1:$A$1001,customers!$C$1:$C$1001,,0)=0,"",_xlfn.XLOOKUP(C639,customers!$A$1:$A$1001,customers!$C$1:$C$1001,,0))</f>
        <v/>
      </c>
      <c r="H639" s="2">
        <f>_xlfn.XLOOKUP(C639,customers!$A$1:$A$1001,customers!$G$1:$G$1001,,0)</f>
        <v/>
      </c>
      <c r="I639">
        <f>INDEX(products!$A$1:$G$49,MATCH(orders!$D639,products!$A$1:$A$49,0),MATCH(orders!I$1,products!$A$1:$G$1,0))</f>
        <v/>
      </c>
      <c r="J639">
        <f>INDEX(products!$A$1:$G$49,MATCH(orders!$D639,products!$A$1:$A$49,0),MATCH(orders!J$1,products!$A$1:$G$1,0))</f>
        <v/>
      </c>
      <c r="K639" s="4">
        <f>INDEX(products!$A$1:$G$49,MATCH(orders!$D639,products!$A$1:$A$49,0),MATCH(orders!K$1,products!$A$1:$G$1,0))</f>
        <v/>
      </c>
      <c r="L639" s="5">
        <f>INDEX(products!$A$1:$G$49,MATCH(orders!$D639,products!$A$1:$A$49,0),MATCH(orders!L$1,products!$A$1:$G$1,0))</f>
        <v/>
      </c>
      <c r="M639" s="5">
        <f>L639*E639</f>
        <v/>
      </c>
      <c r="N639">
        <f>IF(I639="Rob","Robusta",IF(I639="Exc","Excelsa",IF(I639="Ara","Arabica",IF(I639="Lib","Liberica",""))))</f>
        <v/>
      </c>
      <c r="O639">
        <f>IF(J639="M","Medium",IF(J639="L","Light",IF(J639="D","Dark","")))</f>
        <v/>
      </c>
      <c r="P639">
        <f>_xlfn.XLOOKUP(Orders[[#This Row],[Customer ID]],customers!$A$1:$A$1001,customers!$I$1:$I$1001,,0)</f>
        <v/>
      </c>
    </row>
    <row r="640">
      <c r="A640" s="2" t="inlineStr">
        <is>
          <t>O3458</t>
        </is>
      </c>
      <c r="B640" s="3" t="inlineStr">
        <is>
          <t>2022-07-01</t>
        </is>
      </c>
      <c r="C640" s="2" t="inlineStr">
        <is>
          <t>O5631</t>
        </is>
      </c>
      <c r="D640" t="inlineStr">
        <is>
          <t>O6810</t>
        </is>
      </c>
      <c r="E640" s="2" t="n">
        <v>230</v>
      </c>
      <c r="F640" s="2">
        <f>_xlfn.XLOOKUP(C640,customers!$A$1:$A$1001,customers!$B$1:$B$1001,,0)</f>
        <v/>
      </c>
      <c r="G640" s="2">
        <f>IF(_xlfn.XLOOKUP(C640,customers!$A$1:$A$1001,customers!$C$1:$C$1001,,0)=0,"",_xlfn.XLOOKUP(C640,customers!$A$1:$A$1001,customers!$C$1:$C$1001,,0))</f>
        <v/>
      </c>
      <c r="H640" s="2">
        <f>_xlfn.XLOOKUP(C640,customers!$A$1:$A$1001,customers!$G$1:$G$1001,,0)</f>
        <v/>
      </c>
      <c r="I640">
        <f>INDEX(products!$A$1:$G$49,MATCH(orders!$D640,products!$A$1:$A$49,0),MATCH(orders!I$1,products!$A$1:$G$1,0))</f>
        <v/>
      </c>
      <c r="J640">
        <f>INDEX(products!$A$1:$G$49,MATCH(orders!$D640,products!$A$1:$A$49,0),MATCH(orders!J$1,products!$A$1:$G$1,0))</f>
        <v/>
      </c>
      <c r="K640" s="4">
        <f>INDEX(products!$A$1:$G$49,MATCH(orders!$D640,products!$A$1:$A$49,0),MATCH(orders!K$1,products!$A$1:$G$1,0))</f>
        <v/>
      </c>
      <c r="L640" s="5">
        <f>INDEX(products!$A$1:$G$49,MATCH(orders!$D640,products!$A$1:$A$49,0),MATCH(orders!L$1,products!$A$1:$G$1,0))</f>
        <v/>
      </c>
      <c r="M640" s="5">
        <f>L640*E640</f>
        <v/>
      </c>
      <c r="N640">
        <f>IF(I640="Rob","Robusta",IF(I640="Exc","Excelsa",IF(I640="Ara","Arabica",IF(I640="Lib","Liberica",""))))</f>
        <v/>
      </c>
      <c r="O640">
        <f>IF(J640="M","Medium",IF(J640="L","Light",IF(J640="D","Dark","")))</f>
        <v/>
      </c>
      <c r="P640">
        <f>_xlfn.XLOOKUP(Orders[[#This Row],[Customer ID]],customers!$A$1:$A$1001,customers!$I$1:$I$1001,,0)</f>
        <v/>
      </c>
    </row>
    <row r="641">
      <c r="A641" s="2" t="inlineStr">
        <is>
          <t>O6140</t>
        </is>
      </c>
      <c r="B641" s="3" t="inlineStr">
        <is>
          <t>2020-05-19</t>
        </is>
      </c>
      <c r="C641" s="2" t="inlineStr">
        <is>
          <t>O7589</t>
        </is>
      </c>
      <c r="D641" t="inlineStr">
        <is>
          <t>O6486</t>
        </is>
      </c>
      <c r="E641" s="2" t="n">
        <v>168</v>
      </c>
      <c r="F641" s="2">
        <f>_xlfn.XLOOKUP(C641,customers!$A$1:$A$1001,customers!$B$1:$B$1001,,0)</f>
        <v/>
      </c>
      <c r="G641" s="2">
        <f>IF(_xlfn.XLOOKUP(C641,customers!$A$1:$A$1001,customers!$C$1:$C$1001,,0)=0,"",_xlfn.XLOOKUP(C641,customers!$A$1:$A$1001,customers!$C$1:$C$1001,,0))</f>
        <v/>
      </c>
      <c r="H641" s="2">
        <f>_xlfn.XLOOKUP(C641,customers!$A$1:$A$1001,customers!$G$1:$G$1001,,0)</f>
        <v/>
      </c>
      <c r="I641">
        <f>INDEX(products!$A$1:$G$49,MATCH(orders!$D641,products!$A$1:$A$49,0),MATCH(orders!I$1,products!$A$1:$G$1,0))</f>
        <v/>
      </c>
      <c r="J641">
        <f>INDEX(products!$A$1:$G$49,MATCH(orders!$D641,products!$A$1:$A$49,0),MATCH(orders!J$1,products!$A$1:$G$1,0))</f>
        <v/>
      </c>
      <c r="K641" s="4">
        <f>INDEX(products!$A$1:$G$49,MATCH(orders!$D641,products!$A$1:$A$49,0),MATCH(orders!K$1,products!$A$1:$G$1,0))</f>
        <v/>
      </c>
      <c r="L641" s="5">
        <f>INDEX(products!$A$1:$G$49,MATCH(orders!$D641,products!$A$1:$A$49,0),MATCH(orders!L$1,products!$A$1:$G$1,0))</f>
        <v/>
      </c>
      <c r="M641" s="5">
        <f>L641*E641</f>
        <v/>
      </c>
      <c r="N641">
        <f>IF(I641="Rob","Robusta",IF(I641="Exc","Excelsa",IF(I641="Ara","Arabica",IF(I641="Lib","Liberica",""))))</f>
        <v/>
      </c>
      <c r="O641">
        <f>IF(J641="M","Medium",IF(J641="L","Light",IF(J641="D","Dark","")))</f>
        <v/>
      </c>
      <c r="P641">
        <f>_xlfn.XLOOKUP(Orders[[#This Row],[Customer ID]],customers!$A$1:$A$1001,customers!$I$1:$I$1001,,0)</f>
        <v/>
      </c>
    </row>
    <row r="642">
      <c r="A642" s="2" t="inlineStr">
        <is>
          <t>O9110</t>
        </is>
      </c>
      <c r="B642" s="3" t="inlineStr">
        <is>
          <t>2022-11-12</t>
        </is>
      </c>
      <c r="C642" s="2" t="inlineStr">
        <is>
          <t>O8775</t>
        </is>
      </c>
      <c r="D642" t="inlineStr">
        <is>
          <t>O4155</t>
        </is>
      </c>
      <c r="E642" s="2" t="n">
        <v>423</v>
      </c>
      <c r="F642" s="2">
        <f>_xlfn.XLOOKUP(C642,customers!$A$1:$A$1001,customers!$B$1:$B$1001,,0)</f>
        <v/>
      </c>
      <c r="G642" s="2">
        <f>IF(_xlfn.XLOOKUP(C642,customers!$A$1:$A$1001,customers!$C$1:$C$1001,,0)=0,"",_xlfn.XLOOKUP(C642,customers!$A$1:$A$1001,customers!$C$1:$C$1001,,0))</f>
        <v/>
      </c>
      <c r="H642" s="2">
        <f>_xlfn.XLOOKUP(C642,customers!$A$1:$A$1001,customers!$G$1:$G$1001,,0)</f>
        <v/>
      </c>
      <c r="I642">
        <f>INDEX(products!$A$1:$G$49,MATCH(orders!$D642,products!$A$1:$A$49,0),MATCH(orders!I$1,products!$A$1:$G$1,0))</f>
        <v/>
      </c>
      <c r="J642">
        <f>INDEX(products!$A$1:$G$49,MATCH(orders!$D642,products!$A$1:$A$49,0),MATCH(orders!J$1,products!$A$1:$G$1,0))</f>
        <v/>
      </c>
      <c r="K642" s="4">
        <f>INDEX(products!$A$1:$G$49,MATCH(orders!$D642,products!$A$1:$A$49,0),MATCH(orders!K$1,products!$A$1:$G$1,0))</f>
        <v/>
      </c>
      <c r="L642" s="5">
        <f>INDEX(products!$A$1:$G$49,MATCH(orders!$D642,products!$A$1:$A$49,0),MATCH(orders!L$1,products!$A$1:$G$1,0))</f>
        <v/>
      </c>
      <c r="M642" s="5">
        <f>L642*E642</f>
        <v/>
      </c>
      <c r="N642">
        <f>IF(I642="Rob","Robusta",IF(I642="Exc","Excelsa",IF(I642="Ara","Arabica",IF(I642="Lib","Liberica",""))))</f>
        <v/>
      </c>
      <c r="O642">
        <f>IF(J642="M","Medium",IF(J642="L","Light",IF(J642="D","Dark","")))</f>
        <v/>
      </c>
      <c r="P642">
        <f>_xlfn.XLOOKUP(Orders[[#This Row],[Customer ID]],customers!$A$1:$A$1001,customers!$I$1:$I$1001,,0)</f>
        <v/>
      </c>
    </row>
    <row r="643">
      <c r="A643" s="2" t="inlineStr">
        <is>
          <t>O4949</t>
        </is>
      </c>
      <c r="B643" s="3" t="inlineStr">
        <is>
          <t>2024-02-16</t>
        </is>
      </c>
      <c r="C643" s="2" t="inlineStr">
        <is>
          <t>O6252</t>
        </is>
      </c>
      <c r="D643" t="inlineStr">
        <is>
          <t>O8064</t>
        </is>
      </c>
      <c r="E643" s="2" t="n">
        <v>198</v>
      </c>
      <c r="F643" s="2">
        <f>_xlfn.XLOOKUP(C643,customers!$A$1:$A$1001,customers!$B$1:$B$1001,,0)</f>
        <v/>
      </c>
      <c r="G643" s="2">
        <f>IF(_xlfn.XLOOKUP(C643,customers!$A$1:$A$1001,customers!$C$1:$C$1001,,0)=0,"",_xlfn.XLOOKUP(C643,customers!$A$1:$A$1001,customers!$C$1:$C$1001,,0))</f>
        <v/>
      </c>
      <c r="H643" s="2">
        <f>_xlfn.XLOOKUP(C643,customers!$A$1:$A$1001,customers!$G$1:$G$1001,,0)</f>
        <v/>
      </c>
      <c r="I643">
        <f>INDEX(products!$A$1:$G$49,MATCH(orders!$D643,products!$A$1:$A$49,0),MATCH(orders!I$1,products!$A$1:$G$1,0))</f>
        <v/>
      </c>
      <c r="J643">
        <f>INDEX(products!$A$1:$G$49,MATCH(orders!$D643,products!$A$1:$A$49,0),MATCH(orders!J$1,products!$A$1:$G$1,0))</f>
        <v/>
      </c>
      <c r="K643" s="4">
        <f>INDEX(products!$A$1:$G$49,MATCH(orders!$D643,products!$A$1:$A$49,0),MATCH(orders!K$1,products!$A$1:$G$1,0))</f>
        <v/>
      </c>
      <c r="L643" s="5">
        <f>INDEX(products!$A$1:$G$49,MATCH(orders!$D643,products!$A$1:$A$49,0),MATCH(orders!L$1,products!$A$1:$G$1,0))</f>
        <v/>
      </c>
      <c r="M643" s="5">
        <f>L643*E643</f>
        <v/>
      </c>
      <c r="N643">
        <f>IF(I643="Rob","Robusta",IF(I643="Exc","Excelsa",IF(I643="Ara","Arabica",IF(I643="Lib","Liberica",""))))</f>
        <v/>
      </c>
      <c r="O643">
        <f>IF(J643="M","Medium",IF(J643="L","Light",IF(J643="D","Dark","")))</f>
        <v/>
      </c>
      <c r="P643">
        <f>_xlfn.XLOOKUP(Orders[[#This Row],[Customer ID]],customers!$A$1:$A$1001,customers!$I$1:$I$1001,,0)</f>
        <v/>
      </c>
    </row>
    <row r="644">
      <c r="A644" s="2" t="inlineStr">
        <is>
          <t>O1560</t>
        </is>
      </c>
      <c r="B644" s="3" t="inlineStr">
        <is>
          <t>2021-03-01</t>
        </is>
      </c>
      <c r="C644" s="2" t="inlineStr">
        <is>
          <t>O6890</t>
        </is>
      </c>
      <c r="D644" t="inlineStr">
        <is>
          <t>O9300</t>
        </is>
      </c>
      <c r="E644" s="2" t="n">
        <v>221</v>
      </c>
      <c r="F644" s="2">
        <f>_xlfn.XLOOKUP(C644,customers!$A$1:$A$1001,customers!$B$1:$B$1001,,0)</f>
        <v/>
      </c>
      <c r="G644" s="2">
        <f>IF(_xlfn.XLOOKUP(C644,customers!$A$1:$A$1001,customers!$C$1:$C$1001,,0)=0,"",_xlfn.XLOOKUP(C644,customers!$A$1:$A$1001,customers!$C$1:$C$1001,,0))</f>
        <v/>
      </c>
      <c r="H644" s="2">
        <f>_xlfn.XLOOKUP(C644,customers!$A$1:$A$1001,customers!$G$1:$G$1001,,0)</f>
        <v/>
      </c>
      <c r="I644">
        <f>INDEX(products!$A$1:$G$49,MATCH(orders!$D644,products!$A$1:$A$49,0),MATCH(orders!I$1,products!$A$1:$G$1,0))</f>
        <v/>
      </c>
      <c r="J644">
        <f>INDEX(products!$A$1:$G$49,MATCH(orders!$D644,products!$A$1:$A$49,0),MATCH(orders!J$1,products!$A$1:$G$1,0))</f>
        <v/>
      </c>
      <c r="K644" s="4">
        <f>INDEX(products!$A$1:$G$49,MATCH(orders!$D644,products!$A$1:$A$49,0),MATCH(orders!K$1,products!$A$1:$G$1,0))</f>
        <v/>
      </c>
      <c r="L644" s="5">
        <f>INDEX(products!$A$1:$G$49,MATCH(orders!$D644,products!$A$1:$A$49,0),MATCH(orders!L$1,products!$A$1:$G$1,0))</f>
        <v/>
      </c>
      <c r="M644" s="5">
        <f>L644*E644</f>
        <v/>
      </c>
      <c r="N644">
        <f>IF(I644="Rob","Robusta",IF(I644="Exc","Excelsa",IF(I644="Ara","Arabica",IF(I644="Lib","Liberica",""))))</f>
        <v/>
      </c>
      <c r="O644">
        <f>IF(J644="M","Medium",IF(J644="L","Light",IF(J644="D","Dark","")))</f>
        <v/>
      </c>
      <c r="P644">
        <f>_xlfn.XLOOKUP(Orders[[#This Row],[Customer ID]],customers!$A$1:$A$1001,customers!$I$1:$I$1001,,0)</f>
        <v/>
      </c>
    </row>
    <row r="645">
      <c r="A645" s="2" t="inlineStr">
        <is>
          <t>O7950</t>
        </is>
      </c>
      <c r="B645" s="3" t="inlineStr">
        <is>
          <t>2025-08-03</t>
        </is>
      </c>
      <c r="C645" s="2" t="inlineStr">
        <is>
          <t>O7341</t>
        </is>
      </c>
      <c r="D645" t="inlineStr">
        <is>
          <t>O9425</t>
        </is>
      </c>
      <c r="E645" s="2" t="n">
        <v>378</v>
      </c>
      <c r="F645" s="2">
        <f>_xlfn.XLOOKUP(C645,customers!$A$1:$A$1001,customers!$B$1:$B$1001,,0)</f>
        <v/>
      </c>
      <c r="G645" s="2">
        <f>IF(_xlfn.XLOOKUP(C645,customers!$A$1:$A$1001,customers!$C$1:$C$1001,,0)=0,"",_xlfn.XLOOKUP(C645,customers!$A$1:$A$1001,customers!$C$1:$C$1001,,0))</f>
        <v/>
      </c>
      <c r="H645" s="2">
        <f>_xlfn.XLOOKUP(C645,customers!$A$1:$A$1001,customers!$G$1:$G$1001,,0)</f>
        <v/>
      </c>
      <c r="I645">
        <f>INDEX(products!$A$1:$G$49,MATCH(orders!$D645,products!$A$1:$A$49,0),MATCH(orders!I$1,products!$A$1:$G$1,0))</f>
        <v/>
      </c>
      <c r="J645">
        <f>INDEX(products!$A$1:$G$49,MATCH(orders!$D645,products!$A$1:$A$49,0),MATCH(orders!J$1,products!$A$1:$G$1,0))</f>
        <v/>
      </c>
      <c r="K645" s="4">
        <f>INDEX(products!$A$1:$G$49,MATCH(orders!$D645,products!$A$1:$A$49,0),MATCH(orders!K$1,products!$A$1:$G$1,0))</f>
        <v/>
      </c>
      <c r="L645" s="5">
        <f>INDEX(products!$A$1:$G$49,MATCH(orders!$D645,products!$A$1:$A$49,0),MATCH(orders!L$1,products!$A$1:$G$1,0))</f>
        <v/>
      </c>
      <c r="M645" s="5">
        <f>L645*E645</f>
        <v/>
      </c>
      <c r="N645">
        <f>IF(I645="Rob","Robusta",IF(I645="Exc","Excelsa",IF(I645="Ara","Arabica",IF(I645="Lib","Liberica",""))))</f>
        <v/>
      </c>
      <c r="O645">
        <f>IF(J645="M","Medium",IF(J645="L","Light",IF(J645="D","Dark","")))</f>
        <v/>
      </c>
      <c r="P645">
        <f>_xlfn.XLOOKUP(Orders[[#This Row],[Customer ID]],customers!$A$1:$A$1001,customers!$I$1:$I$1001,,0)</f>
        <v/>
      </c>
    </row>
    <row r="646">
      <c r="A646" s="2" t="inlineStr">
        <is>
          <t>O7490</t>
        </is>
      </c>
      <c r="B646" s="3" t="inlineStr">
        <is>
          <t>2023-12-26</t>
        </is>
      </c>
      <c r="C646" s="2" t="inlineStr">
        <is>
          <t>O9330</t>
        </is>
      </c>
      <c r="D646" t="inlineStr">
        <is>
          <t>O8046</t>
        </is>
      </c>
      <c r="E646" s="2" t="n">
        <v>445</v>
      </c>
      <c r="F646" s="2">
        <f>_xlfn.XLOOKUP(C646,customers!$A$1:$A$1001,customers!$B$1:$B$1001,,0)</f>
        <v/>
      </c>
      <c r="G646" s="2">
        <f>IF(_xlfn.XLOOKUP(C646,customers!$A$1:$A$1001,customers!$C$1:$C$1001,,0)=0,"",_xlfn.XLOOKUP(C646,customers!$A$1:$A$1001,customers!$C$1:$C$1001,,0))</f>
        <v/>
      </c>
      <c r="H646" s="2">
        <f>_xlfn.XLOOKUP(C646,customers!$A$1:$A$1001,customers!$G$1:$G$1001,,0)</f>
        <v/>
      </c>
      <c r="I646">
        <f>INDEX(products!$A$1:$G$49,MATCH(orders!$D646,products!$A$1:$A$49,0),MATCH(orders!I$1,products!$A$1:$G$1,0))</f>
        <v/>
      </c>
      <c r="J646">
        <f>INDEX(products!$A$1:$G$49,MATCH(orders!$D646,products!$A$1:$A$49,0),MATCH(orders!J$1,products!$A$1:$G$1,0))</f>
        <v/>
      </c>
      <c r="K646" s="4">
        <f>INDEX(products!$A$1:$G$49,MATCH(orders!$D646,products!$A$1:$A$49,0),MATCH(orders!K$1,products!$A$1:$G$1,0))</f>
        <v/>
      </c>
      <c r="L646" s="5">
        <f>INDEX(products!$A$1:$G$49,MATCH(orders!$D646,products!$A$1:$A$49,0),MATCH(orders!L$1,products!$A$1:$G$1,0))</f>
        <v/>
      </c>
      <c r="M646" s="5">
        <f>L646*E646</f>
        <v/>
      </c>
      <c r="N646">
        <f>IF(I646="Rob","Robusta",IF(I646="Exc","Excelsa",IF(I646="Ara","Arabica",IF(I646="Lib","Liberica",""))))</f>
        <v/>
      </c>
      <c r="O646">
        <f>IF(J646="M","Medium",IF(J646="L","Light",IF(J646="D","Dark","")))</f>
        <v/>
      </c>
      <c r="P646">
        <f>_xlfn.XLOOKUP(Orders[[#This Row],[Customer ID]],customers!$A$1:$A$1001,customers!$I$1:$I$1001,,0)</f>
        <v/>
      </c>
    </row>
    <row r="647">
      <c r="A647" s="2" t="inlineStr">
        <is>
          <t>O2062</t>
        </is>
      </c>
      <c r="B647" s="3" t="inlineStr">
        <is>
          <t>2022-06-05</t>
        </is>
      </c>
      <c r="C647" s="2" t="inlineStr">
        <is>
          <t>O4135</t>
        </is>
      </c>
      <c r="D647" t="inlineStr">
        <is>
          <t>O6327</t>
        </is>
      </c>
      <c r="E647" s="2" t="n">
        <v>171</v>
      </c>
      <c r="F647" s="2">
        <f>_xlfn.XLOOKUP(C647,customers!$A$1:$A$1001,customers!$B$1:$B$1001,,0)</f>
        <v/>
      </c>
      <c r="G647" s="2">
        <f>IF(_xlfn.XLOOKUP(C647,customers!$A$1:$A$1001,customers!$C$1:$C$1001,,0)=0,"",_xlfn.XLOOKUP(C647,customers!$A$1:$A$1001,customers!$C$1:$C$1001,,0))</f>
        <v/>
      </c>
      <c r="H647" s="2">
        <f>_xlfn.XLOOKUP(C647,customers!$A$1:$A$1001,customers!$G$1:$G$1001,,0)</f>
        <v/>
      </c>
      <c r="I647">
        <f>INDEX(products!$A$1:$G$49,MATCH(orders!$D647,products!$A$1:$A$49,0),MATCH(orders!I$1,products!$A$1:$G$1,0))</f>
        <v/>
      </c>
      <c r="J647">
        <f>INDEX(products!$A$1:$G$49,MATCH(orders!$D647,products!$A$1:$A$49,0),MATCH(orders!J$1,products!$A$1:$G$1,0))</f>
        <v/>
      </c>
      <c r="K647" s="4">
        <f>INDEX(products!$A$1:$G$49,MATCH(orders!$D647,products!$A$1:$A$49,0),MATCH(orders!K$1,products!$A$1:$G$1,0))</f>
        <v/>
      </c>
      <c r="L647" s="5">
        <f>INDEX(products!$A$1:$G$49,MATCH(orders!$D647,products!$A$1:$A$49,0),MATCH(orders!L$1,products!$A$1:$G$1,0))</f>
        <v/>
      </c>
      <c r="M647" s="5">
        <f>L647*E647</f>
        <v/>
      </c>
      <c r="N647">
        <f>IF(I647="Rob","Robusta",IF(I647="Exc","Excelsa",IF(I647="Ara","Arabica",IF(I647="Lib","Liberica",""))))</f>
        <v/>
      </c>
      <c r="O647">
        <f>IF(J647="M","Medium",IF(J647="L","Light",IF(J647="D","Dark","")))</f>
        <v/>
      </c>
      <c r="P647">
        <f>_xlfn.XLOOKUP(Orders[[#This Row],[Customer ID]],customers!$A$1:$A$1001,customers!$I$1:$I$1001,,0)</f>
        <v/>
      </c>
    </row>
    <row r="648">
      <c r="A648" s="2" t="inlineStr">
        <is>
          <t>O9862</t>
        </is>
      </c>
      <c r="B648" s="3" t="inlineStr">
        <is>
          <t>2022-12-14</t>
        </is>
      </c>
      <c r="C648" s="2" t="inlineStr">
        <is>
          <t>O4070</t>
        </is>
      </c>
      <c r="D648" t="inlineStr">
        <is>
          <t>O9602</t>
        </is>
      </c>
      <c r="E648" s="2" t="n">
        <v>266</v>
      </c>
      <c r="F648" s="2">
        <f>_xlfn.XLOOKUP(C648,customers!$A$1:$A$1001,customers!$B$1:$B$1001,,0)</f>
        <v/>
      </c>
      <c r="G648" s="2">
        <f>IF(_xlfn.XLOOKUP(C648,customers!$A$1:$A$1001,customers!$C$1:$C$1001,,0)=0,"",_xlfn.XLOOKUP(C648,customers!$A$1:$A$1001,customers!$C$1:$C$1001,,0))</f>
        <v/>
      </c>
      <c r="H648" s="2">
        <f>_xlfn.XLOOKUP(C648,customers!$A$1:$A$1001,customers!$G$1:$G$1001,,0)</f>
        <v/>
      </c>
      <c r="I648">
        <f>INDEX(products!$A$1:$G$49,MATCH(orders!$D648,products!$A$1:$A$49,0),MATCH(orders!I$1,products!$A$1:$G$1,0))</f>
        <v/>
      </c>
      <c r="J648">
        <f>INDEX(products!$A$1:$G$49,MATCH(orders!$D648,products!$A$1:$A$49,0),MATCH(orders!J$1,products!$A$1:$G$1,0))</f>
        <v/>
      </c>
      <c r="K648" s="4">
        <f>INDEX(products!$A$1:$G$49,MATCH(orders!$D648,products!$A$1:$A$49,0),MATCH(orders!K$1,products!$A$1:$G$1,0))</f>
        <v/>
      </c>
      <c r="L648" s="5">
        <f>INDEX(products!$A$1:$G$49,MATCH(orders!$D648,products!$A$1:$A$49,0),MATCH(orders!L$1,products!$A$1:$G$1,0))</f>
        <v/>
      </c>
      <c r="M648" s="5">
        <f>L648*E648</f>
        <v/>
      </c>
      <c r="N648">
        <f>IF(I648="Rob","Robusta",IF(I648="Exc","Excelsa",IF(I648="Ara","Arabica",IF(I648="Lib","Liberica",""))))</f>
        <v/>
      </c>
      <c r="O648">
        <f>IF(J648="M","Medium",IF(J648="L","Light",IF(J648="D","Dark","")))</f>
        <v/>
      </c>
      <c r="P648">
        <f>_xlfn.XLOOKUP(Orders[[#This Row],[Customer ID]],customers!$A$1:$A$1001,customers!$I$1:$I$1001,,0)</f>
        <v/>
      </c>
    </row>
    <row r="649">
      <c r="A649" s="2" t="inlineStr">
        <is>
          <t>O5898</t>
        </is>
      </c>
      <c r="B649" s="3" t="inlineStr">
        <is>
          <t>2020-11-22</t>
        </is>
      </c>
      <c r="C649" s="2" t="inlineStr">
        <is>
          <t>O6555</t>
        </is>
      </c>
      <c r="D649" t="inlineStr">
        <is>
          <t>O7727</t>
        </is>
      </c>
      <c r="E649" s="2" t="n">
        <v>457</v>
      </c>
      <c r="F649" s="2">
        <f>_xlfn.XLOOKUP(C649,customers!$A$1:$A$1001,customers!$B$1:$B$1001,,0)</f>
        <v/>
      </c>
      <c r="G649" s="2">
        <f>IF(_xlfn.XLOOKUP(C649,customers!$A$1:$A$1001,customers!$C$1:$C$1001,,0)=0,"",_xlfn.XLOOKUP(C649,customers!$A$1:$A$1001,customers!$C$1:$C$1001,,0))</f>
        <v/>
      </c>
      <c r="H649" s="2">
        <f>_xlfn.XLOOKUP(C649,customers!$A$1:$A$1001,customers!$G$1:$G$1001,,0)</f>
        <v/>
      </c>
      <c r="I649">
        <f>INDEX(products!$A$1:$G$49,MATCH(orders!$D649,products!$A$1:$A$49,0),MATCH(orders!I$1,products!$A$1:$G$1,0))</f>
        <v/>
      </c>
      <c r="J649">
        <f>INDEX(products!$A$1:$G$49,MATCH(orders!$D649,products!$A$1:$A$49,0),MATCH(orders!J$1,products!$A$1:$G$1,0))</f>
        <v/>
      </c>
      <c r="K649" s="4">
        <f>INDEX(products!$A$1:$G$49,MATCH(orders!$D649,products!$A$1:$A$49,0),MATCH(orders!K$1,products!$A$1:$G$1,0))</f>
        <v/>
      </c>
      <c r="L649" s="5">
        <f>INDEX(products!$A$1:$G$49,MATCH(orders!$D649,products!$A$1:$A$49,0),MATCH(orders!L$1,products!$A$1:$G$1,0))</f>
        <v/>
      </c>
      <c r="M649" s="5">
        <f>L649*E649</f>
        <v/>
      </c>
      <c r="N649">
        <f>IF(I649="Rob","Robusta",IF(I649="Exc","Excelsa",IF(I649="Ara","Arabica",IF(I649="Lib","Liberica",""))))</f>
        <v/>
      </c>
      <c r="O649">
        <f>IF(J649="M","Medium",IF(J649="L","Light",IF(J649="D","Dark","")))</f>
        <v/>
      </c>
      <c r="P649">
        <f>_xlfn.XLOOKUP(Orders[[#This Row],[Customer ID]],customers!$A$1:$A$1001,customers!$I$1:$I$1001,,0)</f>
        <v/>
      </c>
    </row>
    <row r="650">
      <c r="A650" s="2" t="inlineStr">
        <is>
          <t>O2281</t>
        </is>
      </c>
      <c r="B650" s="3" t="inlineStr">
        <is>
          <t>2024-01-14</t>
        </is>
      </c>
      <c r="C650" s="2" t="inlineStr">
        <is>
          <t>O7265</t>
        </is>
      </c>
      <c r="D650" t="inlineStr">
        <is>
          <t>O3683</t>
        </is>
      </c>
      <c r="E650" s="2" t="n">
        <v>27</v>
      </c>
      <c r="F650" s="2">
        <f>_xlfn.XLOOKUP(C650,customers!$A$1:$A$1001,customers!$B$1:$B$1001,,0)</f>
        <v/>
      </c>
      <c r="G650" s="2">
        <f>IF(_xlfn.XLOOKUP(C650,customers!$A$1:$A$1001,customers!$C$1:$C$1001,,0)=0,"",_xlfn.XLOOKUP(C650,customers!$A$1:$A$1001,customers!$C$1:$C$1001,,0))</f>
        <v/>
      </c>
      <c r="H650" s="2">
        <f>_xlfn.XLOOKUP(C650,customers!$A$1:$A$1001,customers!$G$1:$G$1001,,0)</f>
        <v/>
      </c>
      <c r="I650">
        <f>INDEX(products!$A$1:$G$49,MATCH(orders!$D650,products!$A$1:$A$49,0),MATCH(orders!I$1,products!$A$1:$G$1,0))</f>
        <v/>
      </c>
      <c r="J650">
        <f>INDEX(products!$A$1:$G$49,MATCH(orders!$D650,products!$A$1:$A$49,0),MATCH(orders!J$1,products!$A$1:$G$1,0))</f>
        <v/>
      </c>
      <c r="K650" s="4">
        <f>INDEX(products!$A$1:$G$49,MATCH(orders!$D650,products!$A$1:$A$49,0),MATCH(orders!K$1,products!$A$1:$G$1,0))</f>
        <v/>
      </c>
      <c r="L650" s="5">
        <f>INDEX(products!$A$1:$G$49,MATCH(orders!$D650,products!$A$1:$A$49,0),MATCH(orders!L$1,products!$A$1:$G$1,0))</f>
        <v/>
      </c>
      <c r="M650" s="5">
        <f>L650*E650</f>
        <v/>
      </c>
      <c r="N650">
        <f>IF(I650="Rob","Robusta",IF(I650="Exc","Excelsa",IF(I650="Ara","Arabica",IF(I650="Lib","Liberica",""))))</f>
        <v/>
      </c>
      <c r="O650">
        <f>IF(J650="M","Medium",IF(J650="L","Light",IF(J650="D","Dark","")))</f>
        <v/>
      </c>
      <c r="P650">
        <f>_xlfn.XLOOKUP(Orders[[#This Row],[Customer ID]],customers!$A$1:$A$1001,customers!$I$1:$I$1001,,0)</f>
        <v/>
      </c>
    </row>
    <row r="651">
      <c r="A651" s="2" t="inlineStr">
        <is>
          <t>O9240</t>
        </is>
      </c>
      <c r="B651" s="3" t="inlineStr">
        <is>
          <t>2025-03-31</t>
        </is>
      </c>
      <c r="C651" s="2" t="inlineStr">
        <is>
          <t>O6114</t>
        </is>
      </c>
      <c r="D651" t="inlineStr">
        <is>
          <t>O5723</t>
        </is>
      </c>
      <c r="E651" s="2" t="n">
        <v>107</v>
      </c>
      <c r="F651" s="2">
        <f>_xlfn.XLOOKUP(C651,customers!$A$1:$A$1001,customers!$B$1:$B$1001,,0)</f>
        <v/>
      </c>
      <c r="G651" s="2">
        <f>IF(_xlfn.XLOOKUP(C651,customers!$A$1:$A$1001,customers!$C$1:$C$1001,,0)=0,"",_xlfn.XLOOKUP(C651,customers!$A$1:$A$1001,customers!$C$1:$C$1001,,0))</f>
        <v/>
      </c>
      <c r="H651" s="2">
        <f>_xlfn.XLOOKUP(C651,customers!$A$1:$A$1001,customers!$G$1:$G$1001,,0)</f>
        <v/>
      </c>
      <c r="I651">
        <f>INDEX(products!$A$1:$G$49,MATCH(orders!$D651,products!$A$1:$A$49,0),MATCH(orders!I$1,products!$A$1:$G$1,0))</f>
        <v/>
      </c>
      <c r="J651">
        <f>INDEX(products!$A$1:$G$49,MATCH(orders!$D651,products!$A$1:$A$49,0),MATCH(orders!J$1,products!$A$1:$G$1,0))</f>
        <v/>
      </c>
      <c r="K651" s="4">
        <f>INDEX(products!$A$1:$G$49,MATCH(orders!$D651,products!$A$1:$A$49,0),MATCH(orders!K$1,products!$A$1:$G$1,0))</f>
        <v/>
      </c>
      <c r="L651" s="5">
        <f>INDEX(products!$A$1:$G$49,MATCH(orders!$D651,products!$A$1:$A$49,0),MATCH(orders!L$1,products!$A$1:$G$1,0))</f>
        <v/>
      </c>
      <c r="M651" s="5">
        <f>L651*E651</f>
        <v/>
      </c>
      <c r="N651">
        <f>IF(I651="Rob","Robusta",IF(I651="Exc","Excelsa",IF(I651="Ara","Arabica",IF(I651="Lib","Liberica",""))))</f>
        <v/>
      </c>
      <c r="O651">
        <f>IF(J651="M","Medium",IF(J651="L","Light",IF(J651="D","Dark","")))</f>
        <v/>
      </c>
      <c r="P651">
        <f>_xlfn.XLOOKUP(Orders[[#This Row],[Customer ID]],customers!$A$1:$A$1001,customers!$I$1:$I$1001,,0)</f>
        <v/>
      </c>
    </row>
    <row r="652">
      <c r="A652" s="2" t="inlineStr">
        <is>
          <t>O7330</t>
        </is>
      </c>
      <c r="B652" s="3" t="inlineStr">
        <is>
          <t>2022-02-26</t>
        </is>
      </c>
      <c r="C652" s="2" t="inlineStr">
        <is>
          <t>O1660</t>
        </is>
      </c>
      <c r="D652" t="inlineStr">
        <is>
          <t>O8493</t>
        </is>
      </c>
      <c r="E652" s="2" t="n">
        <v>210</v>
      </c>
      <c r="F652" s="2">
        <f>_xlfn.XLOOKUP(C652,customers!$A$1:$A$1001,customers!$B$1:$B$1001,,0)</f>
        <v/>
      </c>
      <c r="G652" s="2">
        <f>IF(_xlfn.XLOOKUP(C652,customers!$A$1:$A$1001,customers!$C$1:$C$1001,,0)=0,"",_xlfn.XLOOKUP(C652,customers!$A$1:$A$1001,customers!$C$1:$C$1001,,0))</f>
        <v/>
      </c>
      <c r="H652" s="2">
        <f>_xlfn.XLOOKUP(C652,customers!$A$1:$A$1001,customers!$G$1:$G$1001,,0)</f>
        <v/>
      </c>
      <c r="I652">
        <f>INDEX(products!$A$1:$G$49,MATCH(orders!$D652,products!$A$1:$A$49,0),MATCH(orders!I$1,products!$A$1:$G$1,0))</f>
        <v/>
      </c>
      <c r="J652">
        <f>INDEX(products!$A$1:$G$49,MATCH(orders!$D652,products!$A$1:$A$49,0),MATCH(orders!J$1,products!$A$1:$G$1,0))</f>
        <v/>
      </c>
      <c r="K652" s="4">
        <f>INDEX(products!$A$1:$G$49,MATCH(orders!$D652,products!$A$1:$A$49,0),MATCH(orders!K$1,products!$A$1:$G$1,0))</f>
        <v/>
      </c>
      <c r="L652" s="5">
        <f>INDEX(products!$A$1:$G$49,MATCH(orders!$D652,products!$A$1:$A$49,0),MATCH(orders!L$1,products!$A$1:$G$1,0))</f>
        <v/>
      </c>
      <c r="M652" s="5">
        <f>L652*E652</f>
        <v/>
      </c>
      <c r="N652">
        <f>IF(I652="Rob","Robusta",IF(I652="Exc","Excelsa",IF(I652="Ara","Arabica",IF(I652="Lib","Liberica",""))))</f>
        <v/>
      </c>
      <c r="O652">
        <f>IF(J652="M","Medium",IF(J652="L","Light",IF(J652="D","Dark","")))</f>
        <v/>
      </c>
      <c r="P652">
        <f>_xlfn.XLOOKUP(Orders[[#This Row],[Customer ID]],customers!$A$1:$A$1001,customers!$I$1:$I$1001,,0)</f>
        <v/>
      </c>
    </row>
    <row r="653">
      <c r="A653" s="2" t="inlineStr">
        <is>
          <t>O1682</t>
        </is>
      </c>
      <c r="B653" s="3" t="inlineStr">
        <is>
          <t>2024-04-06</t>
        </is>
      </c>
      <c r="C653" s="2" t="inlineStr">
        <is>
          <t>O5243</t>
        </is>
      </c>
      <c r="D653" t="inlineStr">
        <is>
          <t>O6899</t>
        </is>
      </c>
      <c r="E653" s="2" t="n">
        <v>148</v>
      </c>
      <c r="F653" s="2">
        <f>_xlfn.XLOOKUP(C653,customers!$A$1:$A$1001,customers!$B$1:$B$1001,,0)</f>
        <v/>
      </c>
      <c r="G653" s="2">
        <f>IF(_xlfn.XLOOKUP(C653,customers!$A$1:$A$1001,customers!$C$1:$C$1001,,0)=0,"",_xlfn.XLOOKUP(C653,customers!$A$1:$A$1001,customers!$C$1:$C$1001,,0))</f>
        <v/>
      </c>
      <c r="H653" s="2">
        <f>_xlfn.XLOOKUP(C653,customers!$A$1:$A$1001,customers!$G$1:$G$1001,,0)</f>
        <v/>
      </c>
      <c r="I653">
        <f>INDEX(products!$A$1:$G$49,MATCH(orders!$D653,products!$A$1:$A$49,0),MATCH(orders!I$1,products!$A$1:$G$1,0))</f>
        <v/>
      </c>
      <c r="J653">
        <f>INDEX(products!$A$1:$G$49,MATCH(orders!$D653,products!$A$1:$A$49,0),MATCH(orders!J$1,products!$A$1:$G$1,0))</f>
        <v/>
      </c>
      <c r="K653" s="4">
        <f>INDEX(products!$A$1:$G$49,MATCH(orders!$D653,products!$A$1:$A$49,0),MATCH(orders!K$1,products!$A$1:$G$1,0))</f>
        <v/>
      </c>
      <c r="L653" s="5">
        <f>INDEX(products!$A$1:$G$49,MATCH(orders!$D653,products!$A$1:$A$49,0),MATCH(orders!L$1,products!$A$1:$G$1,0))</f>
        <v/>
      </c>
      <c r="M653" s="5">
        <f>L653*E653</f>
        <v/>
      </c>
      <c r="N653">
        <f>IF(I653="Rob","Robusta",IF(I653="Exc","Excelsa",IF(I653="Ara","Arabica",IF(I653="Lib","Liberica",""))))</f>
        <v/>
      </c>
      <c r="O653">
        <f>IF(J653="M","Medium",IF(J653="L","Light",IF(J653="D","Dark","")))</f>
        <v/>
      </c>
      <c r="P653">
        <f>_xlfn.XLOOKUP(Orders[[#This Row],[Customer ID]],customers!$A$1:$A$1001,customers!$I$1:$I$1001,,0)</f>
        <v/>
      </c>
    </row>
    <row r="654">
      <c r="A654" s="2" t="inlineStr">
        <is>
          <t>O2026</t>
        </is>
      </c>
      <c r="B654" s="3" t="inlineStr">
        <is>
          <t>2022-04-18</t>
        </is>
      </c>
      <c r="C654" s="2" t="inlineStr">
        <is>
          <t>O5633</t>
        </is>
      </c>
      <c r="D654" t="inlineStr">
        <is>
          <t>O5251</t>
        </is>
      </c>
      <c r="E654" s="2" t="n">
        <v>478</v>
      </c>
      <c r="F654" s="2">
        <f>_xlfn.XLOOKUP(C654,customers!$A$1:$A$1001,customers!$B$1:$B$1001,,0)</f>
        <v/>
      </c>
      <c r="G654" s="2">
        <f>IF(_xlfn.XLOOKUP(C654,customers!$A$1:$A$1001,customers!$C$1:$C$1001,,0)=0,"",_xlfn.XLOOKUP(C654,customers!$A$1:$A$1001,customers!$C$1:$C$1001,,0))</f>
        <v/>
      </c>
      <c r="H654" s="2">
        <f>_xlfn.XLOOKUP(C654,customers!$A$1:$A$1001,customers!$G$1:$G$1001,,0)</f>
        <v/>
      </c>
      <c r="I654">
        <f>INDEX(products!$A$1:$G$49,MATCH(orders!$D654,products!$A$1:$A$49,0),MATCH(orders!I$1,products!$A$1:$G$1,0))</f>
        <v/>
      </c>
      <c r="J654">
        <f>INDEX(products!$A$1:$G$49,MATCH(orders!$D654,products!$A$1:$A$49,0),MATCH(orders!J$1,products!$A$1:$G$1,0))</f>
        <v/>
      </c>
      <c r="K654" s="4">
        <f>INDEX(products!$A$1:$G$49,MATCH(orders!$D654,products!$A$1:$A$49,0),MATCH(orders!K$1,products!$A$1:$G$1,0))</f>
        <v/>
      </c>
      <c r="L654" s="5">
        <f>INDEX(products!$A$1:$G$49,MATCH(orders!$D654,products!$A$1:$A$49,0),MATCH(orders!L$1,products!$A$1:$G$1,0))</f>
        <v/>
      </c>
      <c r="M654" s="5">
        <f>L654*E654</f>
        <v/>
      </c>
      <c r="N654">
        <f>IF(I654="Rob","Robusta",IF(I654="Exc","Excelsa",IF(I654="Ara","Arabica",IF(I654="Lib","Liberica",""))))</f>
        <v/>
      </c>
      <c r="O654">
        <f>IF(J654="M","Medium",IF(J654="L","Light",IF(J654="D","Dark","")))</f>
        <v/>
      </c>
      <c r="P654">
        <f>_xlfn.XLOOKUP(Orders[[#This Row],[Customer ID]],customers!$A$1:$A$1001,customers!$I$1:$I$1001,,0)</f>
        <v/>
      </c>
    </row>
    <row r="655">
      <c r="A655" s="2" t="inlineStr">
        <is>
          <t>O4268</t>
        </is>
      </c>
      <c r="B655" s="3" t="inlineStr">
        <is>
          <t>2023-05-15</t>
        </is>
      </c>
      <c r="C655" s="2" t="inlineStr">
        <is>
          <t>O2090</t>
        </is>
      </c>
      <c r="D655" t="inlineStr">
        <is>
          <t>O3003</t>
        </is>
      </c>
      <c r="E655" s="2" t="n">
        <v>145</v>
      </c>
      <c r="F655" s="2">
        <f>_xlfn.XLOOKUP(C655,customers!$A$1:$A$1001,customers!$B$1:$B$1001,,0)</f>
        <v/>
      </c>
      <c r="G655" s="2">
        <f>IF(_xlfn.XLOOKUP(C655,customers!$A$1:$A$1001,customers!$C$1:$C$1001,,0)=0,"",_xlfn.XLOOKUP(C655,customers!$A$1:$A$1001,customers!$C$1:$C$1001,,0))</f>
        <v/>
      </c>
      <c r="H655" s="2">
        <f>_xlfn.XLOOKUP(C655,customers!$A$1:$A$1001,customers!$G$1:$G$1001,,0)</f>
        <v/>
      </c>
      <c r="I655">
        <f>INDEX(products!$A$1:$G$49,MATCH(orders!$D655,products!$A$1:$A$49,0),MATCH(orders!I$1,products!$A$1:$G$1,0))</f>
        <v/>
      </c>
      <c r="J655">
        <f>INDEX(products!$A$1:$G$49,MATCH(orders!$D655,products!$A$1:$A$49,0),MATCH(orders!J$1,products!$A$1:$G$1,0))</f>
        <v/>
      </c>
      <c r="K655" s="4">
        <f>INDEX(products!$A$1:$G$49,MATCH(orders!$D655,products!$A$1:$A$49,0),MATCH(orders!K$1,products!$A$1:$G$1,0))</f>
        <v/>
      </c>
      <c r="L655" s="5">
        <f>INDEX(products!$A$1:$G$49,MATCH(orders!$D655,products!$A$1:$A$49,0),MATCH(orders!L$1,products!$A$1:$G$1,0))</f>
        <v/>
      </c>
      <c r="M655" s="5">
        <f>L655*E655</f>
        <v/>
      </c>
      <c r="N655">
        <f>IF(I655="Rob","Robusta",IF(I655="Exc","Excelsa",IF(I655="Ara","Arabica",IF(I655="Lib","Liberica",""))))</f>
        <v/>
      </c>
      <c r="O655">
        <f>IF(J655="M","Medium",IF(J655="L","Light",IF(J655="D","Dark","")))</f>
        <v/>
      </c>
      <c r="P655">
        <f>_xlfn.XLOOKUP(Orders[[#This Row],[Customer ID]],customers!$A$1:$A$1001,customers!$I$1:$I$1001,,0)</f>
        <v/>
      </c>
    </row>
    <row r="656">
      <c r="A656" s="2" t="inlineStr">
        <is>
          <t>O6105</t>
        </is>
      </c>
      <c r="B656" s="3" t="inlineStr">
        <is>
          <t>2021-08-04</t>
        </is>
      </c>
      <c r="C656" s="2" t="inlineStr">
        <is>
          <t>O3722</t>
        </is>
      </c>
      <c r="D656" t="inlineStr">
        <is>
          <t>O2435</t>
        </is>
      </c>
      <c r="E656" s="2" t="n">
        <v>107</v>
      </c>
      <c r="F656" s="2">
        <f>_xlfn.XLOOKUP(C656,customers!$A$1:$A$1001,customers!$B$1:$B$1001,,0)</f>
        <v/>
      </c>
      <c r="G656" s="2">
        <f>IF(_xlfn.XLOOKUP(C656,customers!$A$1:$A$1001,customers!$C$1:$C$1001,,0)=0,"",_xlfn.XLOOKUP(C656,customers!$A$1:$A$1001,customers!$C$1:$C$1001,,0))</f>
        <v/>
      </c>
      <c r="H656" s="2">
        <f>_xlfn.XLOOKUP(C656,customers!$A$1:$A$1001,customers!$G$1:$G$1001,,0)</f>
        <v/>
      </c>
      <c r="I656">
        <f>INDEX(products!$A$1:$G$49,MATCH(orders!$D656,products!$A$1:$A$49,0),MATCH(orders!I$1,products!$A$1:$G$1,0))</f>
        <v/>
      </c>
      <c r="J656">
        <f>INDEX(products!$A$1:$G$49,MATCH(orders!$D656,products!$A$1:$A$49,0),MATCH(orders!J$1,products!$A$1:$G$1,0))</f>
        <v/>
      </c>
      <c r="K656" s="4">
        <f>INDEX(products!$A$1:$G$49,MATCH(orders!$D656,products!$A$1:$A$49,0),MATCH(orders!K$1,products!$A$1:$G$1,0))</f>
        <v/>
      </c>
      <c r="L656" s="5">
        <f>INDEX(products!$A$1:$G$49,MATCH(orders!$D656,products!$A$1:$A$49,0),MATCH(orders!L$1,products!$A$1:$G$1,0))</f>
        <v/>
      </c>
      <c r="M656" s="5">
        <f>L656*E656</f>
        <v/>
      </c>
      <c r="N656">
        <f>IF(I656="Rob","Robusta",IF(I656="Exc","Excelsa",IF(I656="Ara","Arabica",IF(I656="Lib","Liberica",""))))</f>
        <v/>
      </c>
      <c r="O656">
        <f>IF(J656="M","Medium",IF(J656="L","Light",IF(J656="D","Dark","")))</f>
        <v/>
      </c>
      <c r="P656">
        <f>_xlfn.XLOOKUP(Orders[[#This Row],[Customer ID]],customers!$A$1:$A$1001,customers!$I$1:$I$1001,,0)</f>
        <v/>
      </c>
    </row>
    <row r="657">
      <c r="A657" s="2" t="inlineStr">
        <is>
          <t>O2904</t>
        </is>
      </c>
      <c r="B657" s="3" t="inlineStr">
        <is>
          <t>2021-08-05</t>
        </is>
      </c>
      <c r="C657" s="2" t="inlineStr">
        <is>
          <t>O8723</t>
        </is>
      </c>
      <c r="D657" t="inlineStr">
        <is>
          <t>O6608</t>
        </is>
      </c>
      <c r="E657" s="2" t="n">
        <v>213</v>
      </c>
      <c r="F657" s="2">
        <f>_xlfn.XLOOKUP(C657,customers!$A$1:$A$1001,customers!$B$1:$B$1001,,0)</f>
        <v/>
      </c>
      <c r="G657" s="2">
        <f>IF(_xlfn.XLOOKUP(C657,customers!$A$1:$A$1001,customers!$C$1:$C$1001,,0)=0,"",_xlfn.XLOOKUP(C657,customers!$A$1:$A$1001,customers!$C$1:$C$1001,,0))</f>
        <v/>
      </c>
      <c r="H657" s="2">
        <f>_xlfn.XLOOKUP(C657,customers!$A$1:$A$1001,customers!$G$1:$G$1001,,0)</f>
        <v/>
      </c>
      <c r="I657">
        <f>INDEX(products!$A$1:$G$49,MATCH(orders!$D657,products!$A$1:$A$49,0),MATCH(orders!I$1,products!$A$1:$G$1,0))</f>
        <v/>
      </c>
      <c r="J657">
        <f>INDEX(products!$A$1:$G$49,MATCH(orders!$D657,products!$A$1:$A$49,0),MATCH(orders!J$1,products!$A$1:$G$1,0))</f>
        <v/>
      </c>
      <c r="K657" s="4">
        <f>INDEX(products!$A$1:$G$49,MATCH(orders!$D657,products!$A$1:$A$49,0),MATCH(orders!K$1,products!$A$1:$G$1,0))</f>
        <v/>
      </c>
      <c r="L657" s="5">
        <f>INDEX(products!$A$1:$G$49,MATCH(orders!$D657,products!$A$1:$A$49,0),MATCH(orders!L$1,products!$A$1:$G$1,0))</f>
        <v/>
      </c>
      <c r="M657" s="5">
        <f>L657*E657</f>
        <v/>
      </c>
      <c r="N657">
        <f>IF(I657="Rob","Robusta",IF(I657="Exc","Excelsa",IF(I657="Ara","Arabica",IF(I657="Lib","Liberica",""))))</f>
        <v/>
      </c>
      <c r="O657">
        <f>IF(J657="M","Medium",IF(J657="L","Light",IF(J657="D","Dark","")))</f>
        <v/>
      </c>
      <c r="P657">
        <f>_xlfn.XLOOKUP(Orders[[#This Row],[Customer ID]],customers!$A$1:$A$1001,customers!$I$1:$I$1001,,0)</f>
        <v/>
      </c>
    </row>
    <row r="658">
      <c r="A658" s="2" t="inlineStr">
        <is>
          <t>O4383</t>
        </is>
      </c>
      <c r="B658" s="3" t="inlineStr">
        <is>
          <t>2020-03-16</t>
        </is>
      </c>
      <c r="C658" s="2" t="inlineStr">
        <is>
          <t>O9748</t>
        </is>
      </c>
      <c r="D658" t="inlineStr">
        <is>
          <t>O9205</t>
        </is>
      </c>
      <c r="E658" s="2" t="n">
        <v>394</v>
      </c>
      <c r="F658" s="2">
        <f>_xlfn.XLOOKUP(C658,customers!$A$1:$A$1001,customers!$B$1:$B$1001,,0)</f>
        <v/>
      </c>
      <c r="G658" s="2">
        <f>IF(_xlfn.XLOOKUP(C658,customers!$A$1:$A$1001,customers!$C$1:$C$1001,,0)=0,"",_xlfn.XLOOKUP(C658,customers!$A$1:$A$1001,customers!$C$1:$C$1001,,0))</f>
        <v/>
      </c>
      <c r="H658" s="2">
        <f>_xlfn.XLOOKUP(C658,customers!$A$1:$A$1001,customers!$G$1:$G$1001,,0)</f>
        <v/>
      </c>
      <c r="I658">
        <f>INDEX(products!$A$1:$G$49,MATCH(orders!$D658,products!$A$1:$A$49,0),MATCH(orders!I$1,products!$A$1:$G$1,0))</f>
        <v/>
      </c>
      <c r="J658">
        <f>INDEX(products!$A$1:$G$49,MATCH(orders!$D658,products!$A$1:$A$49,0),MATCH(orders!J$1,products!$A$1:$G$1,0))</f>
        <v/>
      </c>
      <c r="K658" s="4">
        <f>INDEX(products!$A$1:$G$49,MATCH(orders!$D658,products!$A$1:$A$49,0),MATCH(orders!K$1,products!$A$1:$G$1,0))</f>
        <v/>
      </c>
      <c r="L658" s="5">
        <f>INDEX(products!$A$1:$G$49,MATCH(orders!$D658,products!$A$1:$A$49,0),MATCH(orders!L$1,products!$A$1:$G$1,0))</f>
        <v/>
      </c>
      <c r="M658" s="5">
        <f>L658*E658</f>
        <v/>
      </c>
      <c r="N658">
        <f>IF(I658="Rob","Robusta",IF(I658="Exc","Excelsa",IF(I658="Ara","Arabica",IF(I658="Lib","Liberica",""))))</f>
        <v/>
      </c>
      <c r="O658">
        <f>IF(J658="M","Medium",IF(J658="L","Light",IF(J658="D","Dark","")))</f>
        <v/>
      </c>
      <c r="P658">
        <f>_xlfn.XLOOKUP(Orders[[#This Row],[Customer ID]],customers!$A$1:$A$1001,customers!$I$1:$I$1001,,0)</f>
        <v/>
      </c>
    </row>
    <row r="659">
      <c r="A659" s="2" t="inlineStr">
        <is>
          <t>O3089</t>
        </is>
      </c>
      <c r="B659" s="3" t="inlineStr">
        <is>
          <t>2024-12-17</t>
        </is>
      </c>
      <c r="C659" s="2" t="inlineStr">
        <is>
          <t>O1183</t>
        </is>
      </c>
      <c r="D659" t="inlineStr">
        <is>
          <t>O1863</t>
        </is>
      </c>
      <c r="E659" s="2" t="n">
        <v>284</v>
      </c>
      <c r="F659" s="2">
        <f>_xlfn.XLOOKUP(C659,customers!$A$1:$A$1001,customers!$B$1:$B$1001,,0)</f>
        <v/>
      </c>
      <c r="G659" s="2">
        <f>IF(_xlfn.XLOOKUP(C659,customers!$A$1:$A$1001,customers!$C$1:$C$1001,,0)=0,"",_xlfn.XLOOKUP(C659,customers!$A$1:$A$1001,customers!$C$1:$C$1001,,0))</f>
        <v/>
      </c>
      <c r="H659" s="2">
        <f>_xlfn.XLOOKUP(C659,customers!$A$1:$A$1001,customers!$G$1:$G$1001,,0)</f>
        <v/>
      </c>
      <c r="I659">
        <f>INDEX(products!$A$1:$G$49,MATCH(orders!$D659,products!$A$1:$A$49,0),MATCH(orders!I$1,products!$A$1:$G$1,0))</f>
        <v/>
      </c>
      <c r="J659">
        <f>INDEX(products!$A$1:$G$49,MATCH(orders!$D659,products!$A$1:$A$49,0),MATCH(orders!J$1,products!$A$1:$G$1,0))</f>
        <v/>
      </c>
      <c r="K659" s="4">
        <f>INDEX(products!$A$1:$G$49,MATCH(orders!$D659,products!$A$1:$A$49,0),MATCH(orders!K$1,products!$A$1:$G$1,0))</f>
        <v/>
      </c>
      <c r="L659" s="5">
        <f>INDEX(products!$A$1:$G$49,MATCH(orders!$D659,products!$A$1:$A$49,0),MATCH(orders!L$1,products!$A$1:$G$1,0))</f>
        <v/>
      </c>
      <c r="M659" s="5">
        <f>L659*E659</f>
        <v/>
      </c>
      <c r="N659">
        <f>IF(I659="Rob","Robusta",IF(I659="Exc","Excelsa",IF(I659="Ara","Arabica",IF(I659="Lib","Liberica",""))))</f>
        <v/>
      </c>
      <c r="O659">
        <f>IF(J659="M","Medium",IF(J659="L","Light",IF(J659="D","Dark","")))</f>
        <v/>
      </c>
      <c r="P659">
        <f>_xlfn.XLOOKUP(Orders[[#This Row],[Customer ID]],customers!$A$1:$A$1001,customers!$I$1:$I$1001,,0)</f>
        <v/>
      </c>
    </row>
    <row r="660">
      <c r="A660" s="2" t="inlineStr">
        <is>
          <t>O6366</t>
        </is>
      </c>
      <c r="B660" s="3" t="inlineStr">
        <is>
          <t>2024-04-04</t>
        </is>
      </c>
      <c r="C660" s="2" t="inlineStr">
        <is>
          <t>O7641</t>
        </is>
      </c>
      <c r="D660" t="inlineStr">
        <is>
          <t>O1408</t>
        </is>
      </c>
      <c r="E660" s="2" t="n">
        <v>99</v>
      </c>
      <c r="F660" s="2">
        <f>_xlfn.XLOOKUP(C660,customers!$A$1:$A$1001,customers!$B$1:$B$1001,,0)</f>
        <v/>
      </c>
      <c r="G660" s="2">
        <f>IF(_xlfn.XLOOKUP(C660,customers!$A$1:$A$1001,customers!$C$1:$C$1001,,0)=0,"",_xlfn.XLOOKUP(C660,customers!$A$1:$A$1001,customers!$C$1:$C$1001,,0))</f>
        <v/>
      </c>
      <c r="H660" s="2">
        <f>_xlfn.XLOOKUP(C660,customers!$A$1:$A$1001,customers!$G$1:$G$1001,,0)</f>
        <v/>
      </c>
      <c r="I660">
        <f>INDEX(products!$A$1:$G$49,MATCH(orders!$D660,products!$A$1:$A$49,0),MATCH(orders!I$1,products!$A$1:$G$1,0))</f>
        <v/>
      </c>
      <c r="J660">
        <f>INDEX(products!$A$1:$G$49,MATCH(orders!$D660,products!$A$1:$A$49,0),MATCH(orders!J$1,products!$A$1:$G$1,0))</f>
        <v/>
      </c>
      <c r="K660" s="4">
        <f>INDEX(products!$A$1:$G$49,MATCH(orders!$D660,products!$A$1:$A$49,0),MATCH(orders!K$1,products!$A$1:$G$1,0))</f>
        <v/>
      </c>
      <c r="L660" s="5">
        <f>INDEX(products!$A$1:$G$49,MATCH(orders!$D660,products!$A$1:$A$49,0),MATCH(orders!L$1,products!$A$1:$G$1,0))</f>
        <v/>
      </c>
      <c r="M660" s="5">
        <f>L660*E660</f>
        <v/>
      </c>
      <c r="N660">
        <f>IF(I660="Rob","Robusta",IF(I660="Exc","Excelsa",IF(I660="Ara","Arabica",IF(I660="Lib","Liberica",""))))</f>
        <v/>
      </c>
      <c r="O660">
        <f>IF(J660="M","Medium",IF(J660="L","Light",IF(J660="D","Dark","")))</f>
        <v/>
      </c>
      <c r="P660">
        <f>_xlfn.XLOOKUP(Orders[[#This Row],[Customer ID]],customers!$A$1:$A$1001,customers!$I$1:$I$1001,,0)</f>
        <v/>
      </c>
    </row>
    <row r="661">
      <c r="A661" s="2" t="inlineStr">
        <is>
          <t>O4025</t>
        </is>
      </c>
      <c r="B661" s="3" t="inlineStr">
        <is>
          <t>2023-06-23</t>
        </is>
      </c>
      <c r="C661" s="2" t="inlineStr">
        <is>
          <t>O4853</t>
        </is>
      </c>
      <c r="D661" t="inlineStr">
        <is>
          <t>O1009</t>
        </is>
      </c>
      <c r="E661" s="2" t="n">
        <v>461</v>
      </c>
      <c r="F661" s="2">
        <f>_xlfn.XLOOKUP(C661,customers!$A$1:$A$1001,customers!$B$1:$B$1001,,0)</f>
        <v/>
      </c>
      <c r="G661" s="2">
        <f>IF(_xlfn.XLOOKUP(C661,customers!$A$1:$A$1001,customers!$C$1:$C$1001,,0)=0,"",_xlfn.XLOOKUP(C661,customers!$A$1:$A$1001,customers!$C$1:$C$1001,,0))</f>
        <v/>
      </c>
      <c r="H661" s="2">
        <f>_xlfn.XLOOKUP(C661,customers!$A$1:$A$1001,customers!$G$1:$G$1001,,0)</f>
        <v/>
      </c>
      <c r="I661">
        <f>INDEX(products!$A$1:$G$49,MATCH(orders!$D661,products!$A$1:$A$49,0),MATCH(orders!I$1,products!$A$1:$G$1,0))</f>
        <v/>
      </c>
      <c r="J661">
        <f>INDEX(products!$A$1:$G$49,MATCH(orders!$D661,products!$A$1:$A$49,0),MATCH(orders!J$1,products!$A$1:$G$1,0))</f>
        <v/>
      </c>
      <c r="K661" s="4">
        <f>INDEX(products!$A$1:$G$49,MATCH(orders!$D661,products!$A$1:$A$49,0),MATCH(orders!K$1,products!$A$1:$G$1,0))</f>
        <v/>
      </c>
      <c r="L661" s="5">
        <f>INDEX(products!$A$1:$G$49,MATCH(orders!$D661,products!$A$1:$A$49,0),MATCH(orders!L$1,products!$A$1:$G$1,0))</f>
        <v/>
      </c>
      <c r="M661" s="5">
        <f>L661*E661</f>
        <v/>
      </c>
      <c r="N661">
        <f>IF(I661="Rob","Robusta",IF(I661="Exc","Excelsa",IF(I661="Ara","Arabica",IF(I661="Lib","Liberica",""))))</f>
        <v/>
      </c>
      <c r="O661">
        <f>IF(J661="M","Medium",IF(J661="L","Light",IF(J661="D","Dark","")))</f>
        <v/>
      </c>
      <c r="P661">
        <f>_xlfn.XLOOKUP(Orders[[#This Row],[Customer ID]],customers!$A$1:$A$1001,customers!$I$1:$I$1001,,0)</f>
        <v/>
      </c>
    </row>
    <row r="662">
      <c r="A662" s="2" t="inlineStr">
        <is>
          <t>O9616</t>
        </is>
      </c>
      <c r="B662" s="3" t="inlineStr">
        <is>
          <t>2024-10-04</t>
        </is>
      </c>
      <c r="C662" s="2" t="inlineStr">
        <is>
          <t>O1644</t>
        </is>
      </c>
      <c r="D662" t="inlineStr">
        <is>
          <t>O6721</t>
        </is>
      </c>
      <c r="E662" s="2" t="n">
        <v>267</v>
      </c>
      <c r="F662" s="2">
        <f>_xlfn.XLOOKUP(C662,customers!$A$1:$A$1001,customers!$B$1:$B$1001,,0)</f>
        <v/>
      </c>
      <c r="G662" s="2">
        <f>IF(_xlfn.XLOOKUP(C662,customers!$A$1:$A$1001,customers!$C$1:$C$1001,,0)=0,"",_xlfn.XLOOKUP(C662,customers!$A$1:$A$1001,customers!$C$1:$C$1001,,0))</f>
        <v/>
      </c>
      <c r="H662" s="2">
        <f>_xlfn.XLOOKUP(C662,customers!$A$1:$A$1001,customers!$G$1:$G$1001,,0)</f>
        <v/>
      </c>
      <c r="I662">
        <f>INDEX(products!$A$1:$G$49,MATCH(orders!$D662,products!$A$1:$A$49,0),MATCH(orders!I$1,products!$A$1:$G$1,0))</f>
        <v/>
      </c>
      <c r="J662">
        <f>INDEX(products!$A$1:$G$49,MATCH(orders!$D662,products!$A$1:$A$49,0),MATCH(orders!J$1,products!$A$1:$G$1,0))</f>
        <v/>
      </c>
      <c r="K662" s="4">
        <f>INDEX(products!$A$1:$G$49,MATCH(orders!$D662,products!$A$1:$A$49,0),MATCH(orders!K$1,products!$A$1:$G$1,0))</f>
        <v/>
      </c>
      <c r="L662" s="5">
        <f>INDEX(products!$A$1:$G$49,MATCH(orders!$D662,products!$A$1:$A$49,0),MATCH(orders!L$1,products!$A$1:$G$1,0))</f>
        <v/>
      </c>
      <c r="M662" s="5">
        <f>L662*E662</f>
        <v/>
      </c>
      <c r="N662">
        <f>IF(I662="Rob","Robusta",IF(I662="Exc","Excelsa",IF(I662="Ara","Arabica",IF(I662="Lib","Liberica",""))))</f>
        <v/>
      </c>
      <c r="O662">
        <f>IF(J662="M","Medium",IF(J662="L","Light",IF(J662="D","Dark","")))</f>
        <v/>
      </c>
      <c r="P662">
        <f>_xlfn.XLOOKUP(Orders[[#This Row],[Customer ID]],customers!$A$1:$A$1001,customers!$I$1:$I$1001,,0)</f>
        <v/>
      </c>
    </row>
    <row r="663">
      <c r="A663" s="2" t="inlineStr">
        <is>
          <t>O5611</t>
        </is>
      </c>
      <c r="B663" s="3" t="inlineStr">
        <is>
          <t>2023-01-12</t>
        </is>
      </c>
      <c r="C663" s="2" t="inlineStr">
        <is>
          <t>O3099</t>
        </is>
      </c>
      <c r="D663" t="inlineStr">
        <is>
          <t>O9967</t>
        </is>
      </c>
      <c r="E663" s="2" t="n">
        <v>87</v>
      </c>
      <c r="F663" s="2">
        <f>_xlfn.XLOOKUP(C663,customers!$A$1:$A$1001,customers!$B$1:$B$1001,,0)</f>
        <v/>
      </c>
      <c r="G663" s="2">
        <f>IF(_xlfn.XLOOKUP(C663,customers!$A$1:$A$1001,customers!$C$1:$C$1001,,0)=0,"",_xlfn.XLOOKUP(C663,customers!$A$1:$A$1001,customers!$C$1:$C$1001,,0))</f>
        <v/>
      </c>
      <c r="H663" s="2">
        <f>_xlfn.XLOOKUP(C663,customers!$A$1:$A$1001,customers!$G$1:$G$1001,,0)</f>
        <v/>
      </c>
      <c r="I663">
        <f>INDEX(products!$A$1:$G$49,MATCH(orders!$D663,products!$A$1:$A$49,0),MATCH(orders!I$1,products!$A$1:$G$1,0))</f>
        <v/>
      </c>
      <c r="J663">
        <f>INDEX(products!$A$1:$G$49,MATCH(orders!$D663,products!$A$1:$A$49,0),MATCH(orders!J$1,products!$A$1:$G$1,0))</f>
        <v/>
      </c>
      <c r="K663" s="4">
        <f>INDEX(products!$A$1:$G$49,MATCH(orders!$D663,products!$A$1:$A$49,0),MATCH(orders!K$1,products!$A$1:$G$1,0))</f>
        <v/>
      </c>
      <c r="L663" s="5">
        <f>INDEX(products!$A$1:$G$49,MATCH(orders!$D663,products!$A$1:$A$49,0),MATCH(orders!L$1,products!$A$1:$G$1,0))</f>
        <v/>
      </c>
      <c r="M663" s="5">
        <f>L663*E663</f>
        <v/>
      </c>
      <c r="N663">
        <f>IF(I663="Rob","Robusta",IF(I663="Exc","Excelsa",IF(I663="Ara","Arabica",IF(I663="Lib","Liberica",""))))</f>
        <v/>
      </c>
      <c r="O663">
        <f>IF(J663="M","Medium",IF(J663="L","Light",IF(J663="D","Dark","")))</f>
        <v/>
      </c>
      <c r="P663">
        <f>_xlfn.XLOOKUP(Orders[[#This Row],[Customer ID]],customers!$A$1:$A$1001,customers!$I$1:$I$1001,,0)</f>
        <v/>
      </c>
    </row>
    <row r="664">
      <c r="A664" s="2" t="inlineStr">
        <is>
          <t>O6878</t>
        </is>
      </c>
      <c r="B664" s="3" t="inlineStr">
        <is>
          <t>2023-06-11</t>
        </is>
      </c>
      <c r="C664" s="2" t="inlineStr">
        <is>
          <t>O4929</t>
        </is>
      </c>
      <c r="D664" t="inlineStr">
        <is>
          <t>O8246</t>
        </is>
      </c>
      <c r="E664" s="2" t="n">
        <v>239</v>
      </c>
      <c r="F664" s="2">
        <f>_xlfn.XLOOKUP(C664,customers!$A$1:$A$1001,customers!$B$1:$B$1001,,0)</f>
        <v/>
      </c>
      <c r="G664" s="2">
        <f>IF(_xlfn.XLOOKUP(C664,customers!$A$1:$A$1001,customers!$C$1:$C$1001,,0)=0,"",_xlfn.XLOOKUP(C664,customers!$A$1:$A$1001,customers!$C$1:$C$1001,,0))</f>
        <v/>
      </c>
      <c r="H664" s="2">
        <f>_xlfn.XLOOKUP(C664,customers!$A$1:$A$1001,customers!$G$1:$G$1001,,0)</f>
        <v/>
      </c>
      <c r="I664">
        <f>INDEX(products!$A$1:$G$49,MATCH(orders!$D664,products!$A$1:$A$49,0),MATCH(orders!I$1,products!$A$1:$G$1,0))</f>
        <v/>
      </c>
      <c r="J664">
        <f>INDEX(products!$A$1:$G$49,MATCH(orders!$D664,products!$A$1:$A$49,0),MATCH(orders!J$1,products!$A$1:$G$1,0))</f>
        <v/>
      </c>
      <c r="K664" s="4">
        <f>INDEX(products!$A$1:$G$49,MATCH(orders!$D664,products!$A$1:$A$49,0),MATCH(orders!K$1,products!$A$1:$G$1,0))</f>
        <v/>
      </c>
      <c r="L664" s="5">
        <f>INDEX(products!$A$1:$G$49,MATCH(orders!$D664,products!$A$1:$A$49,0),MATCH(orders!L$1,products!$A$1:$G$1,0))</f>
        <v/>
      </c>
      <c r="M664" s="5">
        <f>L664*E664</f>
        <v/>
      </c>
      <c r="N664">
        <f>IF(I664="Rob","Robusta",IF(I664="Exc","Excelsa",IF(I664="Ara","Arabica",IF(I664="Lib","Liberica",""))))</f>
        <v/>
      </c>
      <c r="O664">
        <f>IF(J664="M","Medium",IF(J664="L","Light",IF(J664="D","Dark","")))</f>
        <v/>
      </c>
      <c r="P664">
        <f>_xlfn.XLOOKUP(Orders[[#This Row],[Customer ID]],customers!$A$1:$A$1001,customers!$I$1:$I$1001,,0)</f>
        <v/>
      </c>
    </row>
    <row r="665">
      <c r="A665" s="2" t="inlineStr">
        <is>
          <t>O2183</t>
        </is>
      </c>
      <c r="B665" s="3" t="inlineStr">
        <is>
          <t>2020-08-13</t>
        </is>
      </c>
      <c r="C665" s="2" t="inlineStr">
        <is>
          <t>O4725</t>
        </is>
      </c>
      <c r="D665" t="inlineStr">
        <is>
          <t>O3995</t>
        </is>
      </c>
      <c r="E665" s="2" t="n">
        <v>143</v>
      </c>
      <c r="F665" s="2">
        <f>_xlfn.XLOOKUP(C665,customers!$A$1:$A$1001,customers!$B$1:$B$1001,,0)</f>
        <v/>
      </c>
      <c r="G665" s="2">
        <f>IF(_xlfn.XLOOKUP(C665,customers!$A$1:$A$1001,customers!$C$1:$C$1001,,0)=0,"",_xlfn.XLOOKUP(C665,customers!$A$1:$A$1001,customers!$C$1:$C$1001,,0))</f>
        <v/>
      </c>
      <c r="H665" s="2">
        <f>_xlfn.XLOOKUP(C665,customers!$A$1:$A$1001,customers!$G$1:$G$1001,,0)</f>
        <v/>
      </c>
      <c r="I665">
        <f>INDEX(products!$A$1:$G$49,MATCH(orders!$D665,products!$A$1:$A$49,0),MATCH(orders!I$1,products!$A$1:$G$1,0))</f>
        <v/>
      </c>
      <c r="J665">
        <f>INDEX(products!$A$1:$G$49,MATCH(orders!$D665,products!$A$1:$A$49,0),MATCH(orders!J$1,products!$A$1:$G$1,0))</f>
        <v/>
      </c>
      <c r="K665" s="4">
        <f>INDEX(products!$A$1:$G$49,MATCH(orders!$D665,products!$A$1:$A$49,0),MATCH(orders!K$1,products!$A$1:$G$1,0))</f>
        <v/>
      </c>
      <c r="L665" s="5">
        <f>INDEX(products!$A$1:$G$49,MATCH(orders!$D665,products!$A$1:$A$49,0),MATCH(orders!L$1,products!$A$1:$G$1,0))</f>
        <v/>
      </c>
      <c r="M665" s="5">
        <f>L665*E665</f>
        <v/>
      </c>
      <c r="N665">
        <f>IF(I665="Rob","Robusta",IF(I665="Exc","Excelsa",IF(I665="Ara","Arabica",IF(I665="Lib","Liberica",""))))</f>
        <v/>
      </c>
      <c r="O665">
        <f>IF(J665="M","Medium",IF(J665="L","Light",IF(J665="D","Dark","")))</f>
        <v/>
      </c>
      <c r="P665">
        <f>_xlfn.XLOOKUP(Orders[[#This Row],[Customer ID]],customers!$A$1:$A$1001,customers!$I$1:$I$1001,,0)</f>
        <v/>
      </c>
    </row>
    <row r="666">
      <c r="A666" s="2" t="inlineStr">
        <is>
          <t>O8996</t>
        </is>
      </c>
      <c r="B666" s="3" t="inlineStr">
        <is>
          <t>2020-10-20</t>
        </is>
      </c>
      <c r="C666" s="2" t="inlineStr">
        <is>
          <t>O5034</t>
        </is>
      </c>
      <c r="D666" t="inlineStr">
        <is>
          <t>O8501</t>
        </is>
      </c>
      <c r="E666" s="2" t="n">
        <v>265</v>
      </c>
      <c r="F666" s="2">
        <f>_xlfn.XLOOKUP(C666,customers!$A$1:$A$1001,customers!$B$1:$B$1001,,0)</f>
        <v/>
      </c>
      <c r="G666" s="2">
        <f>IF(_xlfn.XLOOKUP(C666,customers!$A$1:$A$1001,customers!$C$1:$C$1001,,0)=0,"",_xlfn.XLOOKUP(C666,customers!$A$1:$A$1001,customers!$C$1:$C$1001,,0))</f>
        <v/>
      </c>
      <c r="H666" s="2">
        <f>_xlfn.XLOOKUP(C666,customers!$A$1:$A$1001,customers!$G$1:$G$1001,,0)</f>
        <v/>
      </c>
      <c r="I666">
        <f>INDEX(products!$A$1:$G$49,MATCH(orders!$D666,products!$A$1:$A$49,0),MATCH(orders!I$1,products!$A$1:$G$1,0))</f>
        <v/>
      </c>
      <c r="J666">
        <f>INDEX(products!$A$1:$G$49,MATCH(orders!$D666,products!$A$1:$A$49,0),MATCH(orders!J$1,products!$A$1:$G$1,0))</f>
        <v/>
      </c>
      <c r="K666" s="4">
        <f>INDEX(products!$A$1:$G$49,MATCH(orders!$D666,products!$A$1:$A$49,0),MATCH(orders!K$1,products!$A$1:$G$1,0))</f>
        <v/>
      </c>
      <c r="L666" s="5">
        <f>INDEX(products!$A$1:$G$49,MATCH(orders!$D666,products!$A$1:$A$49,0),MATCH(orders!L$1,products!$A$1:$G$1,0))</f>
        <v/>
      </c>
      <c r="M666" s="5">
        <f>L666*E666</f>
        <v/>
      </c>
      <c r="N666">
        <f>IF(I666="Rob","Robusta",IF(I666="Exc","Excelsa",IF(I666="Ara","Arabica",IF(I666="Lib","Liberica",""))))</f>
        <v/>
      </c>
      <c r="O666">
        <f>IF(J666="M","Medium",IF(J666="L","Light",IF(J666="D","Dark","")))</f>
        <v/>
      </c>
      <c r="P666">
        <f>_xlfn.XLOOKUP(Orders[[#This Row],[Customer ID]],customers!$A$1:$A$1001,customers!$I$1:$I$1001,,0)</f>
        <v/>
      </c>
    </row>
    <row r="667">
      <c r="A667" s="2" t="inlineStr">
        <is>
          <t>O5163</t>
        </is>
      </c>
      <c r="B667" s="3" t="inlineStr">
        <is>
          <t>2020-02-22</t>
        </is>
      </c>
      <c r="C667" s="2" t="inlineStr">
        <is>
          <t>O6124</t>
        </is>
      </c>
      <c r="D667" t="inlineStr">
        <is>
          <t>O3535</t>
        </is>
      </c>
      <c r="E667" s="2" t="n">
        <v>230</v>
      </c>
      <c r="F667" s="2">
        <f>_xlfn.XLOOKUP(C667,customers!$A$1:$A$1001,customers!$B$1:$B$1001,,0)</f>
        <v/>
      </c>
      <c r="G667" s="2">
        <f>IF(_xlfn.XLOOKUP(C667,customers!$A$1:$A$1001,customers!$C$1:$C$1001,,0)=0,"",_xlfn.XLOOKUP(C667,customers!$A$1:$A$1001,customers!$C$1:$C$1001,,0))</f>
        <v/>
      </c>
      <c r="H667" s="2">
        <f>_xlfn.XLOOKUP(C667,customers!$A$1:$A$1001,customers!$G$1:$G$1001,,0)</f>
        <v/>
      </c>
      <c r="I667">
        <f>INDEX(products!$A$1:$G$49,MATCH(orders!$D667,products!$A$1:$A$49,0),MATCH(orders!I$1,products!$A$1:$G$1,0))</f>
        <v/>
      </c>
      <c r="J667">
        <f>INDEX(products!$A$1:$G$49,MATCH(orders!$D667,products!$A$1:$A$49,0),MATCH(orders!J$1,products!$A$1:$G$1,0))</f>
        <v/>
      </c>
      <c r="K667" s="4">
        <f>INDEX(products!$A$1:$G$49,MATCH(orders!$D667,products!$A$1:$A$49,0),MATCH(orders!K$1,products!$A$1:$G$1,0))</f>
        <v/>
      </c>
      <c r="L667" s="5">
        <f>INDEX(products!$A$1:$G$49,MATCH(orders!$D667,products!$A$1:$A$49,0),MATCH(orders!L$1,products!$A$1:$G$1,0))</f>
        <v/>
      </c>
      <c r="M667" s="5">
        <f>L667*E667</f>
        <v/>
      </c>
      <c r="N667">
        <f>IF(I667="Rob","Robusta",IF(I667="Exc","Excelsa",IF(I667="Ara","Arabica",IF(I667="Lib","Liberica",""))))</f>
        <v/>
      </c>
      <c r="O667">
        <f>IF(J667="M","Medium",IF(J667="L","Light",IF(J667="D","Dark","")))</f>
        <v/>
      </c>
      <c r="P667">
        <f>_xlfn.XLOOKUP(Orders[[#This Row],[Customer ID]],customers!$A$1:$A$1001,customers!$I$1:$I$1001,,0)</f>
        <v/>
      </c>
    </row>
    <row r="668">
      <c r="A668" s="2" t="inlineStr">
        <is>
          <t>O6940</t>
        </is>
      </c>
      <c r="B668" s="3" t="inlineStr">
        <is>
          <t>2021-03-03</t>
        </is>
      </c>
      <c r="C668" s="2" t="inlineStr">
        <is>
          <t>O9734</t>
        </is>
      </c>
      <c r="D668" t="inlineStr">
        <is>
          <t>O1839</t>
        </is>
      </c>
      <c r="E668" s="2" t="n">
        <v>413</v>
      </c>
      <c r="F668" s="2">
        <f>_xlfn.XLOOKUP(C668,customers!$A$1:$A$1001,customers!$B$1:$B$1001,,0)</f>
        <v/>
      </c>
      <c r="G668" s="2">
        <f>IF(_xlfn.XLOOKUP(C668,customers!$A$1:$A$1001,customers!$C$1:$C$1001,,0)=0,"",_xlfn.XLOOKUP(C668,customers!$A$1:$A$1001,customers!$C$1:$C$1001,,0))</f>
        <v/>
      </c>
      <c r="H668" s="2">
        <f>_xlfn.XLOOKUP(C668,customers!$A$1:$A$1001,customers!$G$1:$G$1001,,0)</f>
        <v/>
      </c>
      <c r="I668">
        <f>INDEX(products!$A$1:$G$49,MATCH(orders!$D668,products!$A$1:$A$49,0),MATCH(orders!I$1,products!$A$1:$G$1,0))</f>
        <v/>
      </c>
      <c r="J668">
        <f>INDEX(products!$A$1:$G$49,MATCH(orders!$D668,products!$A$1:$A$49,0),MATCH(orders!J$1,products!$A$1:$G$1,0))</f>
        <v/>
      </c>
      <c r="K668" s="4">
        <f>INDEX(products!$A$1:$G$49,MATCH(orders!$D668,products!$A$1:$A$49,0),MATCH(orders!K$1,products!$A$1:$G$1,0))</f>
        <v/>
      </c>
      <c r="L668" s="5">
        <f>INDEX(products!$A$1:$G$49,MATCH(orders!$D668,products!$A$1:$A$49,0),MATCH(orders!L$1,products!$A$1:$G$1,0))</f>
        <v/>
      </c>
      <c r="M668" s="5">
        <f>L668*E668</f>
        <v/>
      </c>
      <c r="N668">
        <f>IF(I668="Rob","Robusta",IF(I668="Exc","Excelsa",IF(I668="Ara","Arabica",IF(I668="Lib","Liberica",""))))</f>
        <v/>
      </c>
      <c r="O668">
        <f>IF(J668="M","Medium",IF(J668="L","Light",IF(J668="D","Dark","")))</f>
        <v/>
      </c>
      <c r="P668">
        <f>_xlfn.XLOOKUP(Orders[[#This Row],[Customer ID]],customers!$A$1:$A$1001,customers!$I$1:$I$1001,,0)</f>
        <v/>
      </c>
    </row>
    <row r="669">
      <c r="A669" s="2" t="inlineStr">
        <is>
          <t>O4502</t>
        </is>
      </c>
      <c r="B669" s="3" t="inlineStr">
        <is>
          <t>2022-03-24</t>
        </is>
      </c>
      <c r="C669" s="2" t="inlineStr">
        <is>
          <t>O7432</t>
        </is>
      </c>
      <c r="D669" t="inlineStr">
        <is>
          <t>O4162</t>
        </is>
      </c>
      <c r="E669" s="2" t="n">
        <v>481</v>
      </c>
      <c r="F669" s="2">
        <f>_xlfn.XLOOKUP(C669,customers!$A$1:$A$1001,customers!$B$1:$B$1001,,0)</f>
        <v/>
      </c>
      <c r="G669" s="2">
        <f>IF(_xlfn.XLOOKUP(C669,customers!$A$1:$A$1001,customers!$C$1:$C$1001,,0)=0,"",_xlfn.XLOOKUP(C669,customers!$A$1:$A$1001,customers!$C$1:$C$1001,,0))</f>
        <v/>
      </c>
      <c r="H669" s="2">
        <f>_xlfn.XLOOKUP(C669,customers!$A$1:$A$1001,customers!$G$1:$G$1001,,0)</f>
        <v/>
      </c>
      <c r="I669">
        <f>INDEX(products!$A$1:$G$49,MATCH(orders!$D669,products!$A$1:$A$49,0),MATCH(orders!I$1,products!$A$1:$G$1,0))</f>
        <v/>
      </c>
      <c r="J669">
        <f>INDEX(products!$A$1:$G$49,MATCH(orders!$D669,products!$A$1:$A$49,0),MATCH(orders!J$1,products!$A$1:$G$1,0))</f>
        <v/>
      </c>
      <c r="K669" s="4">
        <f>INDEX(products!$A$1:$G$49,MATCH(orders!$D669,products!$A$1:$A$49,0),MATCH(orders!K$1,products!$A$1:$G$1,0))</f>
        <v/>
      </c>
      <c r="L669" s="5">
        <f>INDEX(products!$A$1:$G$49,MATCH(orders!$D669,products!$A$1:$A$49,0),MATCH(orders!L$1,products!$A$1:$G$1,0))</f>
        <v/>
      </c>
      <c r="M669" s="5">
        <f>L669*E669</f>
        <v/>
      </c>
      <c r="N669">
        <f>IF(I669="Rob","Robusta",IF(I669="Exc","Excelsa",IF(I669="Ara","Arabica",IF(I669="Lib","Liberica",""))))</f>
        <v/>
      </c>
      <c r="O669">
        <f>IF(J669="M","Medium",IF(J669="L","Light",IF(J669="D","Dark","")))</f>
        <v/>
      </c>
      <c r="P669">
        <f>_xlfn.XLOOKUP(Orders[[#This Row],[Customer ID]],customers!$A$1:$A$1001,customers!$I$1:$I$1001,,0)</f>
        <v/>
      </c>
    </row>
    <row r="670">
      <c r="A670" s="2" t="inlineStr">
        <is>
          <t>O5042</t>
        </is>
      </c>
      <c r="B670" s="3" t="inlineStr">
        <is>
          <t>2022-01-04</t>
        </is>
      </c>
      <c r="C670" s="2" t="inlineStr">
        <is>
          <t>O9001</t>
        </is>
      </c>
      <c r="D670" t="inlineStr">
        <is>
          <t>O4644</t>
        </is>
      </c>
      <c r="E670" s="2" t="n">
        <v>93</v>
      </c>
      <c r="F670" s="2">
        <f>_xlfn.XLOOKUP(C670,customers!$A$1:$A$1001,customers!$B$1:$B$1001,,0)</f>
        <v/>
      </c>
      <c r="G670" s="2">
        <f>IF(_xlfn.XLOOKUP(C670,customers!$A$1:$A$1001,customers!$C$1:$C$1001,,0)=0,"",_xlfn.XLOOKUP(C670,customers!$A$1:$A$1001,customers!$C$1:$C$1001,,0))</f>
        <v/>
      </c>
      <c r="H670" s="2">
        <f>_xlfn.XLOOKUP(C670,customers!$A$1:$A$1001,customers!$G$1:$G$1001,,0)</f>
        <v/>
      </c>
      <c r="I670">
        <f>INDEX(products!$A$1:$G$49,MATCH(orders!$D670,products!$A$1:$A$49,0),MATCH(orders!I$1,products!$A$1:$G$1,0))</f>
        <v/>
      </c>
      <c r="J670">
        <f>INDEX(products!$A$1:$G$49,MATCH(orders!$D670,products!$A$1:$A$49,0),MATCH(orders!J$1,products!$A$1:$G$1,0))</f>
        <v/>
      </c>
      <c r="K670" s="4">
        <f>INDEX(products!$A$1:$G$49,MATCH(orders!$D670,products!$A$1:$A$49,0),MATCH(orders!K$1,products!$A$1:$G$1,0))</f>
        <v/>
      </c>
      <c r="L670" s="5">
        <f>INDEX(products!$A$1:$G$49,MATCH(orders!$D670,products!$A$1:$A$49,0),MATCH(orders!L$1,products!$A$1:$G$1,0))</f>
        <v/>
      </c>
      <c r="M670" s="5">
        <f>L670*E670</f>
        <v/>
      </c>
      <c r="N670">
        <f>IF(I670="Rob","Robusta",IF(I670="Exc","Excelsa",IF(I670="Ara","Arabica",IF(I670="Lib","Liberica",""))))</f>
        <v/>
      </c>
      <c r="O670">
        <f>IF(J670="M","Medium",IF(J670="L","Light",IF(J670="D","Dark","")))</f>
        <v/>
      </c>
      <c r="P670">
        <f>_xlfn.XLOOKUP(Orders[[#This Row],[Customer ID]],customers!$A$1:$A$1001,customers!$I$1:$I$1001,,0)</f>
        <v/>
      </c>
    </row>
    <row r="671">
      <c r="A671" s="2" t="inlineStr">
        <is>
          <t>O2835</t>
        </is>
      </c>
      <c r="B671" s="3" t="inlineStr">
        <is>
          <t>2021-03-18</t>
        </is>
      </c>
      <c r="C671" s="2" t="inlineStr">
        <is>
          <t>O9433</t>
        </is>
      </c>
      <c r="D671" t="inlineStr">
        <is>
          <t>O9011</t>
        </is>
      </c>
      <c r="E671" s="2" t="n">
        <v>171</v>
      </c>
      <c r="F671" s="2">
        <f>_xlfn.XLOOKUP(C671,customers!$A$1:$A$1001,customers!$B$1:$B$1001,,0)</f>
        <v/>
      </c>
      <c r="G671" s="2">
        <f>IF(_xlfn.XLOOKUP(C671,customers!$A$1:$A$1001,customers!$C$1:$C$1001,,0)=0,"",_xlfn.XLOOKUP(C671,customers!$A$1:$A$1001,customers!$C$1:$C$1001,,0))</f>
        <v/>
      </c>
      <c r="H671" s="2">
        <f>_xlfn.XLOOKUP(C671,customers!$A$1:$A$1001,customers!$G$1:$G$1001,,0)</f>
        <v/>
      </c>
      <c r="I671">
        <f>INDEX(products!$A$1:$G$49,MATCH(orders!$D671,products!$A$1:$A$49,0),MATCH(orders!I$1,products!$A$1:$G$1,0))</f>
        <v/>
      </c>
      <c r="J671">
        <f>INDEX(products!$A$1:$G$49,MATCH(orders!$D671,products!$A$1:$A$49,0),MATCH(orders!J$1,products!$A$1:$G$1,0))</f>
        <v/>
      </c>
      <c r="K671" s="4">
        <f>INDEX(products!$A$1:$G$49,MATCH(orders!$D671,products!$A$1:$A$49,0),MATCH(orders!K$1,products!$A$1:$G$1,0))</f>
        <v/>
      </c>
      <c r="L671" s="5">
        <f>INDEX(products!$A$1:$G$49,MATCH(orders!$D671,products!$A$1:$A$49,0),MATCH(orders!L$1,products!$A$1:$G$1,0))</f>
        <v/>
      </c>
      <c r="M671" s="5">
        <f>L671*E671</f>
        <v/>
      </c>
      <c r="N671">
        <f>IF(I671="Rob","Robusta",IF(I671="Exc","Excelsa",IF(I671="Ara","Arabica",IF(I671="Lib","Liberica",""))))</f>
        <v/>
      </c>
      <c r="O671">
        <f>IF(J671="M","Medium",IF(J671="L","Light",IF(J671="D","Dark","")))</f>
        <v/>
      </c>
      <c r="P671">
        <f>_xlfn.XLOOKUP(Orders[[#This Row],[Customer ID]],customers!$A$1:$A$1001,customers!$I$1:$I$1001,,0)</f>
        <v/>
      </c>
    </row>
    <row r="672">
      <c r="A672" s="2" t="inlineStr">
        <is>
          <t>O3921</t>
        </is>
      </c>
      <c r="B672" s="3" t="inlineStr">
        <is>
          <t>2021-03-31</t>
        </is>
      </c>
      <c r="C672" s="2" t="inlineStr">
        <is>
          <t>O4009</t>
        </is>
      </c>
      <c r="D672" t="inlineStr">
        <is>
          <t>O7595</t>
        </is>
      </c>
      <c r="E672" s="2" t="n">
        <v>252</v>
      </c>
      <c r="F672" s="2">
        <f>_xlfn.XLOOKUP(C672,customers!$A$1:$A$1001,customers!$B$1:$B$1001,,0)</f>
        <v/>
      </c>
      <c r="G672" s="2">
        <f>IF(_xlfn.XLOOKUP(C672,customers!$A$1:$A$1001,customers!$C$1:$C$1001,,0)=0,"",_xlfn.XLOOKUP(C672,customers!$A$1:$A$1001,customers!$C$1:$C$1001,,0))</f>
        <v/>
      </c>
      <c r="H672" s="2">
        <f>_xlfn.XLOOKUP(C672,customers!$A$1:$A$1001,customers!$G$1:$G$1001,,0)</f>
        <v/>
      </c>
      <c r="I672">
        <f>INDEX(products!$A$1:$G$49,MATCH(orders!$D672,products!$A$1:$A$49,0),MATCH(orders!I$1,products!$A$1:$G$1,0))</f>
        <v/>
      </c>
      <c r="J672">
        <f>INDEX(products!$A$1:$G$49,MATCH(orders!$D672,products!$A$1:$A$49,0),MATCH(orders!J$1,products!$A$1:$G$1,0))</f>
        <v/>
      </c>
      <c r="K672" s="4">
        <f>INDEX(products!$A$1:$G$49,MATCH(orders!$D672,products!$A$1:$A$49,0),MATCH(orders!K$1,products!$A$1:$G$1,0))</f>
        <v/>
      </c>
      <c r="L672" s="5">
        <f>INDEX(products!$A$1:$G$49,MATCH(orders!$D672,products!$A$1:$A$49,0),MATCH(orders!L$1,products!$A$1:$G$1,0))</f>
        <v/>
      </c>
      <c r="M672" s="5">
        <f>L672*E672</f>
        <v/>
      </c>
      <c r="N672">
        <f>IF(I672="Rob","Robusta",IF(I672="Exc","Excelsa",IF(I672="Ara","Arabica",IF(I672="Lib","Liberica",""))))</f>
        <v/>
      </c>
      <c r="O672">
        <f>IF(J672="M","Medium",IF(J672="L","Light",IF(J672="D","Dark","")))</f>
        <v/>
      </c>
      <c r="P672">
        <f>_xlfn.XLOOKUP(Orders[[#This Row],[Customer ID]],customers!$A$1:$A$1001,customers!$I$1:$I$1001,,0)</f>
        <v/>
      </c>
    </row>
    <row r="673">
      <c r="A673" s="2" t="inlineStr">
        <is>
          <t>O1636</t>
        </is>
      </c>
      <c r="B673" s="3" t="inlineStr">
        <is>
          <t>2024-06-19</t>
        </is>
      </c>
      <c r="C673" s="2" t="inlineStr">
        <is>
          <t>O3805</t>
        </is>
      </c>
      <c r="D673" t="inlineStr">
        <is>
          <t>O7511</t>
        </is>
      </c>
      <c r="E673" s="2" t="n">
        <v>112</v>
      </c>
      <c r="F673" s="2">
        <f>_xlfn.XLOOKUP(C673,customers!$A$1:$A$1001,customers!$B$1:$B$1001,,0)</f>
        <v/>
      </c>
      <c r="G673" s="2">
        <f>IF(_xlfn.XLOOKUP(C673,customers!$A$1:$A$1001,customers!$C$1:$C$1001,,0)=0,"",_xlfn.XLOOKUP(C673,customers!$A$1:$A$1001,customers!$C$1:$C$1001,,0))</f>
        <v/>
      </c>
      <c r="H673" s="2">
        <f>_xlfn.XLOOKUP(C673,customers!$A$1:$A$1001,customers!$G$1:$G$1001,,0)</f>
        <v/>
      </c>
      <c r="I673">
        <f>INDEX(products!$A$1:$G$49,MATCH(orders!$D673,products!$A$1:$A$49,0),MATCH(orders!I$1,products!$A$1:$G$1,0))</f>
        <v/>
      </c>
      <c r="J673">
        <f>INDEX(products!$A$1:$G$49,MATCH(orders!$D673,products!$A$1:$A$49,0),MATCH(orders!J$1,products!$A$1:$G$1,0))</f>
        <v/>
      </c>
      <c r="K673" s="4">
        <f>INDEX(products!$A$1:$G$49,MATCH(orders!$D673,products!$A$1:$A$49,0),MATCH(orders!K$1,products!$A$1:$G$1,0))</f>
        <v/>
      </c>
      <c r="L673" s="5">
        <f>INDEX(products!$A$1:$G$49,MATCH(orders!$D673,products!$A$1:$A$49,0),MATCH(orders!L$1,products!$A$1:$G$1,0))</f>
        <v/>
      </c>
      <c r="M673" s="5">
        <f>L673*E673</f>
        <v/>
      </c>
      <c r="N673">
        <f>IF(I673="Rob","Robusta",IF(I673="Exc","Excelsa",IF(I673="Ara","Arabica",IF(I673="Lib","Liberica",""))))</f>
        <v/>
      </c>
      <c r="O673">
        <f>IF(J673="M","Medium",IF(J673="L","Light",IF(J673="D","Dark","")))</f>
        <v/>
      </c>
      <c r="P673">
        <f>_xlfn.XLOOKUP(Orders[[#This Row],[Customer ID]],customers!$A$1:$A$1001,customers!$I$1:$I$1001,,0)</f>
        <v/>
      </c>
    </row>
    <row r="674">
      <c r="A674" s="2" t="inlineStr">
        <is>
          <t>O9154</t>
        </is>
      </c>
      <c r="B674" s="3" t="inlineStr">
        <is>
          <t>2022-12-22</t>
        </is>
      </c>
      <c r="C674" s="2" t="inlineStr">
        <is>
          <t>O7983</t>
        </is>
      </c>
      <c r="D674" t="inlineStr">
        <is>
          <t>O4072</t>
        </is>
      </c>
      <c r="E674" s="2" t="n">
        <v>433</v>
      </c>
      <c r="F674" s="2">
        <f>_xlfn.XLOOKUP(C674,customers!$A$1:$A$1001,customers!$B$1:$B$1001,,0)</f>
        <v/>
      </c>
      <c r="G674" s="2">
        <f>IF(_xlfn.XLOOKUP(C674,customers!$A$1:$A$1001,customers!$C$1:$C$1001,,0)=0,"",_xlfn.XLOOKUP(C674,customers!$A$1:$A$1001,customers!$C$1:$C$1001,,0))</f>
        <v/>
      </c>
      <c r="H674" s="2">
        <f>_xlfn.XLOOKUP(C674,customers!$A$1:$A$1001,customers!$G$1:$G$1001,,0)</f>
        <v/>
      </c>
      <c r="I674">
        <f>INDEX(products!$A$1:$G$49,MATCH(orders!$D674,products!$A$1:$A$49,0),MATCH(orders!I$1,products!$A$1:$G$1,0))</f>
        <v/>
      </c>
      <c r="J674">
        <f>INDEX(products!$A$1:$G$49,MATCH(orders!$D674,products!$A$1:$A$49,0),MATCH(orders!J$1,products!$A$1:$G$1,0))</f>
        <v/>
      </c>
      <c r="K674" s="4">
        <f>INDEX(products!$A$1:$G$49,MATCH(orders!$D674,products!$A$1:$A$49,0),MATCH(orders!K$1,products!$A$1:$G$1,0))</f>
        <v/>
      </c>
      <c r="L674" s="5">
        <f>INDEX(products!$A$1:$G$49,MATCH(orders!$D674,products!$A$1:$A$49,0),MATCH(orders!L$1,products!$A$1:$G$1,0))</f>
        <v/>
      </c>
      <c r="M674" s="5">
        <f>L674*E674</f>
        <v/>
      </c>
      <c r="N674">
        <f>IF(I674="Rob","Robusta",IF(I674="Exc","Excelsa",IF(I674="Ara","Arabica",IF(I674="Lib","Liberica",""))))</f>
        <v/>
      </c>
      <c r="O674">
        <f>IF(J674="M","Medium",IF(J674="L","Light",IF(J674="D","Dark","")))</f>
        <v/>
      </c>
      <c r="P674">
        <f>_xlfn.XLOOKUP(Orders[[#This Row],[Customer ID]],customers!$A$1:$A$1001,customers!$I$1:$I$1001,,0)</f>
        <v/>
      </c>
    </row>
    <row r="675">
      <c r="A675" s="2" t="inlineStr">
        <is>
          <t>O7247</t>
        </is>
      </c>
      <c r="B675" s="3" t="inlineStr">
        <is>
          <t>2021-04-23</t>
        </is>
      </c>
      <c r="C675" s="2" t="inlineStr">
        <is>
          <t>O3454</t>
        </is>
      </c>
      <c r="D675" t="inlineStr">
        <is>
          <t>O4175</t>
        </is>
      </c>
      <c r="E675" s="2" t="n">
        <v>211</v>
      </c>
      <c r="F675" s="2">
        <f>_xlfn.XLOOKUP(C675,customers!$A$1:$A$1001,customers!$B$1:$B$1001,,0)</f>
        <v/>
      </c>
      <c r="G675" s="2">
        <f>IF(_xlfn.XLOOKUP(C675,customers!$A$1:$A$1001,customers!$C$1:$C$1001,,0)=0,"",_xlfn.XLOOKUP(C675,customers!$A$1:$A$1001,customers!$C$1:$C$1001,,0))</f>
        <v/>
      </c>
      <c r="H675" s="2">
        <f>_xlfn.XLOOKUP(C675,customers!$A$1:$A$1001,customers!$G$1:$G$1001,,0)</f>
        <v/>
      </c>
      <c r="I675">
        <f>INDEX(products!$A$1:$G$49,MATCH(orders!$D675,products!$A$1:$A$49,0),MATCH(orders!I$1,products!$A$1:$G$1,0))</f>
        <v/>
      </c>
      <c r="J675">
        <f>INDEX(products!$A$1:$G$49,MATCH(orders!$D675,products!$A$1:$A$49,0),MATCH(orders!J$1,products!$A$1:$G$1,0))</f>
        <v/>
      </c>
      <c r="K675" s="4">
        <f>INDEX(products!$A$1:$G$49,MATCH(orders!$D675,products!$A$1:$A$49,0),MATCH(orders!K$1,products!$A$1:$G$1,0))</f>
        <v/>
      </c>
      <c r="L675" s="5">
        <f>INDEX(products!$A$1:$G$49,MATCH(orders!$D675,products!$A$1:$A$49,0),MATCH(orders!L$1,products!$A$1:$G$1,0))</f>
        <v/>
      </c>
      <c r="M675" s="5">
        <f>L675*E675</f>
        <v/>
      </c>
      <c r="N675">
        <f>IF(I675="Rob","Robusta",IF(I675="Exc","Excelsa",IF(I675="Ara","Arabica",IF(I675="Lib","Liberica",""))))</f>
        <v/>
      </c>
      <c r="O675">
        <f>IF(J675="M","Medium",IF(J675="L","Light",IF(J675="D","Dark","")))</f>
        <v/>
      </c>
      <c r="P675">
        <f>_xlfn.XLOOKUP(Orders[[#This Row],[Customer ID]],customers!$A$1:$A$1001,customers!$I$1:$I$1001,,0)</f>
        <v/>
      </c>
    </row>
    <row r="676">
      <c r="A676" s="2" t="inlineStr">
        <is>
          <t>O9873</t>
        </is>
      </c>
      <c r="B676" s="3" t="inlineStr">
        <is>
          <t>2020-08-28</t>
        </is>
      </c>
      <c r="C676" s="2" t="inlineStr">
        <is>
          <t>O1396</t>
        </is>
      </c>
      <c r="D676" t="inlineStr">
        <is>
          <t>O2305</t>
        </is>
      </c>
      <c r="E676" s="2" t="n">
        <v>182</v>
      </c>
      <c r="F676" s="2">
        <f>_xlfn.XLOOKUP(C676,customers!$A$1:$A$1001,customers!$B$1:$B$1001,,0)</f>
        <v/>
      </c>
      <c r="G676" s="2">
        <f>IF(_xlfn.XLOOKUP(C676,customers!$A$1:$A$1001,customers!$C$1:$C$1001,,0)=0,"",_xlfn.XLOOKUP(C676,customers!$A$1:$A$1001,customers!$C$1:$C$1001,,0))</f>
        <v/>
      </c>
      <c r="H676" s="2">
        <f>_xlfn.XLOOKUP(C676,customers!$A$1:$A$1001,customers!$G$1:$G$1001,,0)</f>
        <v/>
      </c>
      <c r="I676">
        <f>INDEX(products!$A$1:$G$49,MATCH(orders!$D676,products!$A$1:$A$49,0),MATCH(orders!I$1,products!$A$1:$G$1,0))</f>
        <v/>
      </c>
      <c r="J676">
        <f>INDEX(products!$A$1:$G$49,MATCH(orders!$D676,products!$A$1:$A$49,0),MATCH(orders!J$1,products!$A$1:$G$1,0))</f>
        <v/>
      </c>
      <c r="K676" s="4">
        <f>INDEX(products!$A$1:$G$49,MATCH(orders!$D676,products!$A$1:$A$49,0),MATCH(orders!K$1,products!$A$1:$G$1,0))</f>
        <v/>
      </c>
      <c r="L676" s="5">
        <f>INDEX(products!$A$1:$G$49,MATCH(orders!$D676,products!$A$1:$A$49,0),MATCH(orders!L$1,products!$A$1:$G$1,0))</f>
        <v/>
      </c>
      <c r="M676" s="5">
        <f>L676*E676</f>
        <v/>
      </c>
      <c r="N676">
        <f>IF(I676="Rob","Robusta",IF(I676="Exc","Excelsa",IF(I676="Ara","Arabica",IF(I676="Lib","Liberica",""))))</f>
        <v/>
      </c>
      <c r="O676">
        <f>IF(J676="M","Medium",IF(J676="L","Light",IF(J676="D","Dark","")))</f>
        <v/>
      </c>
      <c r="P676">
        <f>_xlfn.XLOOKUP(Orders[[#This Row],[Customer ID]],customers!$A$1:$A$1001,customers!$I$1:$I$1001,,0)</f>
        <v/>
      </c>
    </row>
    <row r="677">
      <c r="A677" s="2" t="inlineStr">
        <is>
          <t>O5910</t>
        </is>
      </c>
      <c r="B677" s="3" t="inlineStr">
        <is>
          <t>2021-09-16</t>
        </is>
      </c>
      <c r="C677" s="2" t="inlineStr">
        <is>
          <t>O3977</t>
        </is>
      </c>
      <c r="D677" t="inlineStr">
        <is>
          <t>O9233</t>
        </is>
      </c>
      <c r="E677" s="2" t="n">
        <v>141</v>
      </c>
      <c r="F677" s="2">
        <f>_xlfn.XLOOKUP(C677,customers!$A$1:$A$1001,customers!$B$1:$B$1001,,0)</f>
        <v/>
      </c>
      <c r="G677" s="2">
        <f>IF(_xlfn.XLOOKUP(C677,customers!$A$1:$A$1001,customers!$C$1:$C$1001,,0)=0,"",_xlfn.XLOOKUP(C677,customers!$A$1:$A$1001,customers!$C$1:$C$1001,,0))</f>
        <v/>
      </c>
      <c r="H677" s="2">
        <f>_xlfn.XLOOKUP(C677,customers!$A$1:$A$1001,customers!$G$1:$G$1001,,0)</f>
        <v/>
      </c>
      <c r="I677">
        <f>INDEX(products!$A$1:$G$49,MATCH(orders!$D677,products!$A$1:$A$49,0),MATCH(orders!I$1,products!$A$1:$G$1,0))</f>
        <v/>
      </c>
      <c r="J677">
        <f>INDEX(products!$A$1:$G$49,MATCH(orders!$D677,products!$A$1:$A$49,0),MATCH(orders!J$1,products!$A$1:$G$1,0))</f>
        <v/>
      </c>
      <c r="K677" s="4">
        <f>INDEX(products!$A$1:$G$49,MATCH(orders!$D677,products!$A$1:$A$49,0),MATCH(orders!K$1,products!$A$1:$G$1,0))</f>
        <v/>
      </c>
      <c r="L677" s="5">
        <f>INDEX(products!$A$1:$G$49,MATCH(orders!$D677,products!$A$1:$A$49,0),MATCH(orders!L$1,products!$A$1:$G$1,0))</f>
        <v/>
      </c>
      <c r="M677" s="5">
        <f>L677*E677</f>
        <v/>
      </c>
      <c r="N677">
        <f>IF(I677="Rob","Robusta",IF(I677="Exc","Excelsa",IF(I677="Ara","Arabica",IF(I677="Lib","Liberica",""))))</f>
        <v/>
      </c>
      <c r="O677">
        <f>IF(J677="M","Medium",IF(J677="L","Light",IF(J677="D","Dark","")))</f>
        <v/>
      </c>
      <c r="P677">
        <f>_xlfn.XLOOKUP(Orders[[#This Row],[Customer ID]],customers!$A$1:$A$1001,customers!$I$1:$I$1001,,0)</f>
        <v/>
      </c>
    </row>
    <row r="678">
      <c r="A678" s="2" t="inlineStr">
        <is>
          <t>O1376</t>
        </is>
      </c>
      <c r="B678" s="3" t="inlineStr">
        <is>
          <t>2022-10-08</t>
        </is>
      </c>
      <c r="C678" s="2" t="inlineStr">
        <is>
          <t>O8632</t>
        </is>
      </c>
      <c r="D678" t="inlineStr">
        <is>
          <t>O1025</t>
        </is>
      </c>
      <c r="E678" s="2" t="n">
        <v>282</v>
      </c>
      <c r="F678" s="2">
        <f>_xlfn.XLOOKUP(C678,customers!$A$1:$A$1001,customers!$B$1:$B$1001,,0)</f>
        <v/>
      </c>
      <c r="G678" s="2">
        <f>IF(_xlfn.XLOOKUP(C678,customers!$A$1:$A$1001,customers!$C$1:$C$1001,,0)=0,"",_xlfn.XLOOKUP(C678,customers!$A$1:$A$1001,customers!$C$1:$C$1001,,0))</f>
        <v/>
      </c>
      <c r="H678" s="2">
        <f>_xlfn.XLOOKUP(C678,customers!$A$1:$A$1001,customers!$G$1:$G$1001,,0)</f>
        <v/>
      </c>
      <c r="I678">
        <f>INDEX(products!$A$1:$G$49,MATCH(orders!$D678,products!$A$1:$A$49,0),MATCH(orders!I$1,products!$A$1:$G$1,0))</f>
        <v/>
      </c>
      <c r="J678">
        <f>INDEX(products!$A$1:$G$49,MATCH(orders!$D678,products!$A$1:$A$49,0),MATCH(orders!J$1,products!$A$1:$G$1,0))</f>
        <v/>
      </c>
      <c r="K678" s="4">
        <f>INDEX(products!$A$1:$G$49,MATCH(orders!$D678,products!$A$1:$A$49,0),MATCH(orders!K$1,products!$A$1:$G$1,0))</f>
        <v/>
      </c>
      <c r="L678" s="5">
        <f>INDEX(products!$A$1:$G$49,MATCH(orders!$D678,products!$A$1:$A$49,0),MATCH(orders!L$1,products!$A$1:$G$1,0))</f>
        <v/>
      </c>
      <c r="M678" s="5">
        <f>L678*E678</f>
        <v/>
      </c>
      <c r="N678">
        <f>IF(I678="Rob","Robusta",IF(I678="Exc","Excelsa",IF(I678="Ara","Arabica",IF(I678="Lib","Liberica",""))))</f>
        <v/>
      </c>
      <c r="O678">
        <f>IF(J678="M","Medium",IF(J678="L","Light",IF(J678="D","Dark","")))</f>
        <v/>
      </c>
      <c r="P678">
        <f>_xlfn.XLOOKUP(Orders[[#This Row],[Customer ID]],customers!$A$1:$A$1001,customers!$I$1:$I$1001,,0)</f>
        <v/>
      </c>
    </row>
    <row r="679">
      <c r="A679" s="2" t="inlineStr">
        <is>
          <t>O4459</t>
        </is>
      </c>
      <c r="B679" s="3" t="inlineStr">
        <is>
          <t>2021-04-02</t>
        </is>
      </c>
      <c r="C679" s="2" t="inlineStr">
        <is>
          <t>O4767</t>
        </is>
      </c>
      <c r="D679" t="inlineStr">
        <is>
          <t>O6386</t>
        </is>
      </c>
      <c r="E679" s="2" t="n">
        <v>217</v>
      </c>
      <c r="F679" s="2">
        <f>_xlfn.XLOOKUP(C679,customers!$A$1:$A$1001,customers!$B$1:$B$1001,,0)</f>
        <v/>
      </c>
      <c r="G679" s="2">
        <f>IF(_xlfn.XLOOKUP(C679,customers!$A$1:$A$1001,customers!$C$1:$C$1001,,0)=0,"",_xlfn.XLOOKUP(C679,customers!$A$1:$A$1001,customers!$C$1:$C$1001,,0))</f>
        <v/>
      </c>
      <c r="H679" s="2">
        <f>_xlfn.XLOOKUP(C679,customers!$A$1:$A$1001,customers!$G$1:$G$1001,,0)</f>
        <v/>
      </c>
      <c r="I679">
        <f>INDEX(products!$A$1:$G$49,MATCH(orders!$D679,products!$A$1:$A$49,0),MATCH(orders!I$1,products!$A$1:$G$1,0))</f>
        <v/>
      </c>
      <c r="J679">
        <f>INDEX(products!$A$1:$G$49,MATCH(orders!$D679,products!$A$1:$A$49,0),MATCH(orders!J$1,products!$A$1:$G$1,0))</f>
        <v/>
      </c>
      <c r="K679" s="4">
        <f>INDEX(products!$A$1:$G$49,MATCH(orders!$D679,products!$A$1:$A$49,0),MATCH(orders!K$1,products!$A$1:$G$1,0))</f>
        <v/>
      </c>
      <c r="L679" s="5">
        <f>INDEX(products!$A$1:$G$49,MATCH(orders!$D679,products!$A$1:$A$49,0),MATCH(orders!L$1,products!$A$1:$G$1,0))</f>
        <v/>
      </c>
      <c r="M679" s="5">
        <f>L679*E679</f>
        <v/>
      </c>
      <c r="N679">
        <f>IF(I679="Rob","Robusta",IF(I679="Exc","Excelsa",IF(I679="Ara","Arabica",IF(I679="Lib","Liberica",""))))</f>
        <v/>
      </c>
      <c r="O679">
        <f>IF(J679="M","Medium",IF(J679="L","Light",IF(J679="D","Dark","")))</f>
        <v/>
      </c>
      <c r="P679">
        <f>_xlfn.XLOOKUP(Orders[[#This Row],[Customer ID]],customers!$A$1:$A$1001,customers!$I$1:$I$1001,,0)</f>
        <v/>
      </c>
    </row>
    <row r="680">
      <c r="A680" s="2" t="inlineStr">
        <is>
          <t>O6807</t>
        </is>
      </c>
      <c r="B680" s="3" t="inlineStr">
        <is>
          <t>2023-05-23</t>
        </is>
      </c>
      <c r="C680" s="2" t="inlineStr">
        <is>
          <t>O5427</t>
        </is>
      </c>
      <c r="D680" t="inlineStr">
        <is>
          <t>O7504</t>
        </is>
      </c>
      <c r="E680" s="2" t="n">
        <v>91</v>
      </c>
      <c r="F680" s="2">
        <f>_xlfn.XLOOKUP(C680,customers!$A$1:$A$1001,customers!$B$1:$B$1001,,0)</f>
        <v/>
      </c>
      <c r="G680" s="2">
        <f>IF(_xlfn.XLOOKUP(C680,customers!$A$1:$A$1001,customers!$C$1:$C$1001,,0)=0,"",_xlfn.XLOOKUP(C680,customers!$A$1:$A$1001,customers!$C$1:$C$1001,,0))</f>
        <v/>
      </c>
      <c r="H680" s="2">
        <f>_xlfn.XLOOKUP(C680,customers!$A$1:$A$1001,customers!$G$1:$G$1001,,0)</f>
        <v/>
      </c>
      <c r="I680">
        <f>INDEX(products!$A$1:$G$49,MATCH(orders!$D680,products!$A$1:$A$49,0),MATCH(orders!I$1,products!$A$1:$G$1,0))</f>
        <v/>
      </c>
      <c r="J680">
        <f>INDEX(products!$A$1:$G$49,MATCH(orders!$D680,products!$A$1:$A$49,0),MATCH(orders!J$1,products!$A$1:$G$1,0))</f>
        <v/>
      </c>
      <c r="K680" s="4">
        <f>INDEX(products!$A$1:$G$49,MATCH(orders!$D680,products!$A$1:$A$49,0),MATCH(orders!K$1,products!$A$1:$G$1,0))</f>
        <v/>
      </c>
      <c r="L680" s="5">
        <f>INDEX(products!$A$1:$G$49,MATCH(orders!$D680,products!$A$1:$A$49,0),MATCH(orders!L$1,products!$A$1:$G$1,0))</f>
        <v/>
      </c>
      <c r="M680" s="5">
        <f>L680*E680</f>
        <v/>
      </c>
      <c r="N680">
        <f>IF(I680="Rob","Robusta",IF(I680="Exc","Excelsa",IF(I680="Ara","Arabica",IF(I680="Lib","Liberica",""))))</f>
        <v/>
      </c>
      <c r="O680">
        <f>IF(J680="M","Medium",IF(J680="L","Light",IF(J680="D","Dark","")))</f>
        <v/>
      </c>
      <c r="P680">
        <f>_xlfn.XLOOKUP(Orders[[#This Row],[Customer ID]],customers!$A$1:$A$1001,customers!$I$1:$I$1001,,0)</f>
        <v/>
      </c>
    </row>
    <row r="681">
      <c r="A681" s="2" t="inlineStr">
        <is>
          <t>O4919</t>
        </is>
      </c>
      <c r="B681" s="3" t="inlineStr">
        <is>
          <t>2023-05-16</t>
        </is>
      </c>
      <c r="C681" s="2" t="inlineStr">
        <is>
          <t>O2236</t>
        </is>
      </c>
      <c r="D681" t="inlineStr">
        <is>
          <t>O7113</t>
        </is>
      </c>
      <c r="E681" s="2" t="n">
        <v>337</v>
      </c>
      <c r="F681" s="2">
        <f>_xlfn.XLOOKUP(C681,customers!$A$1:$A$1001,customers!$B$1:$B$1001,,0)</f>
        <v/>
      </c>
      <c r="G681" s="2">
        <f>IF(_xlfn.XLOOKUP(C681,customers!$A$1:$A$1001,customers!$C$1:$C$1001,,0)=0,"",_xlfn.XLOOKUP(C681,customers!$A$1:$A$1001,customers!$C$1:$C$1001,,0))</f>
        <v/>
      </c>
      <c r="H681" s="2">
        <f>_xlfn.XLOOKUP(C681,customers!$A$1:$A$1001,customers!$G$1:$G$1001,,0)</f>
        <v/>
      </c>
      <c r="I681">
        <f>INDEX(products!$A$1:$G$49,MATCH(orders!$D681,products!$A$1:$A$49,0),MATCH(orders!I$1,products!$A$1:$G$1,0))</f>
        <v/>
      </c>
      <c r="J681">
        <f>INDEX(products!$A$1:$G$49,MATCH(orders!$D681,products!$A$1:$A$49,0),MATCH(orders!J$1,products!$A$1:$G$1,0))</f>
        <v/>
      </c>
      <c r="K681" s="4">
        <f>INDEX(products!$A$1:$G$49,MATCH(orders!$D681,products!$A$1:$A$49,0),MATCH(orders!K$1,products!$A$1:$G$1,0))</f>
        <v/>
      </c>
      <c r="L681" s="5">
        <f>INDEX(products!$A$1:$G$49,MATCH(orders!$D681,products!$A$1:$A$49,0),MATCH(orders!L$1,products!$A$1:$G$1,0))</f>
        <v/>
      </c>
      <c r="M681" s="5">
        <f>L681*E681</f>
        <v/>
      </c>
      <c r="N681">
        <f>IF(I681="Rob","Robusta",IF(I681="Exc","Excelsa",IF(I681="Ara","Arabica",IF(I681="Lib","Liberica",""))))</f>
        <v/>
      </c>
      <c r="O681">
        <f>IF(J681="M","Medium",IF(J681="L","Light",IF(J681="D","Dark","")))</f>
        <v/>
      </c>
      <c r="P681">
        <f>_xlfn.XLOOKUP(Orders[[#This Row],[Customer ID]],customers!$A$1:$A$1001,customers!$I$1:$I$1001,,0)</f>
        <v/>
      </c>
    </row>
    <row r="682">
      <c r="A682" s="2" t="inlineStr">
        <is>
          <t>O1995</t>
        </is>
      </c>
      <c r="B682" s="3" t="inlineStr">
        <is>
          <t>2021-02-05</t>
        </is>
      </c>
      <c r="C682" s="2" t="inlineStr">
        <is>
          <t>O8827</t>
        </is>
      </c>
      <c r="D682" t="inlineStr">
        <is>
          <t>O1776</t>
        </is>
      </c>
      <c r="E682" s="2" t="n">
        <v>270</v>
      </c>
      <c r="F682" s="2">
        <f>_xlfn.XLOOKUP(C682,customers!$A$1:$A$1001,customers!$B$1:$B$1001,,0)</f>
        <v/>
      </c>
      <c r="G682" s="2">
        <f>IF(_xlfn.XLOOKUP(C682,customers!$A$1:$A$1001,customers!$C$1:$C$1001,,0)=0,"",_xlfn.XLOOKUP(C682,customers!$A$1:$A$1001,customers!$C$1:$C$1001,,0))</f>
        <v/>
      </c>
      <c r="H682" s="2">
        <f>_xlfn.XLOOKUP(C682,customers!$A$1:$A$1001,customers!$G$1:$G$1001,,0)</f>
        <v/>
      </c>
      <c r="I682">
        <f>INDEX(products!$A$1:$G$49,MATCH(orders!$D682,products!$A$1:$A$49,0),MATCH(orders!I$1,products!$A$1:$G$1,0))</f>
        <v/>
      </c>
      <c r="J682">
        <f>INDEX(products!$A$1:$G$49,MATCH(orders!$D682,products!$A$1:$A$49,0),MATCH(orders!J$1,products!$A$1:$G$1,0))</f>
        <v/>
      </c>
      <c r="K682" s="4">
        <f>INDEX(products!$A$1:$G$49,MATCH(orders!$D682,products!$A$1:$A$49,0),MATCH(orders!K$1,products!$A$1:$G$1,0))</f>
        <v/>
      </c>
      <c r="L682" s="5">
        <f>INDEX(products!$A$1:$G$49,MATCH(orders!$D682,products!$A$1:$A$49,0),MATCH(orders!L$1,products!$A$1:$G$1,0))</f>
        <v/>
      </c>
      <c r="M682" s="5">
        <f>L682*E682</f>
        <v/>
      </c>
      <c r="N682">
        <f>IF(I682="Rob","Robusta",IF(I682="Exc","Excelsa",IF(I682="Ara","Arabica",IF(I682="Lib","Liberica",""))))</f>
        <v/>
      </c>
      <c r="O682">
        <f>IF(J682="M","Medium",IF(J682="L","Light",IF(J682="D","Dark","")))</f>
        <v/>
      </c>
      <c r="P682">
        <f>_xlfn.XLOOKUP(Orders[[#This Row],[Customer ID]],customers!$A$1:$A$1001,customers!$I$1:$I$1001,,0)</f>
        <v/>
      </c>
    </row>
    <row r="683">
      <c r="A683" s="2" t="inlineStr">
        <is>
          <t>O5356</t>
        </is>
      </c>
      <c r="B683" s="3" t="inlineStr">
        <is>
          <t>2025-04-28</t>
        </is>
      </c>
      <c r="C683" s="2" t="inlineStr">
        <is>
          <t>O3579</t>
        </is>
      </c>
      <c r="D683" t="inlineStr">
        <is>
          <t>O7761</t>
        </is>
      </c>
      <c r="E683" s="2" t="n">
        <v>398</v>
      </c>
      <c r="F683" s="2">
        <f>_xlfn.XLOOKUP(C683,customers!$A$1:$A$1001,customers!$B$1:$B$1001,,0)</f>
        <v/>
      </c>
      <c r="G683" s="2">
        <f>IF(_xlfn.XLOOKUP(C683,customers!$A$1:$A$1001,customers!$C$1:$C$1001,,0)=0,"",_xlfn.XLOOKUP(C683,customers!$A$1:$A$1001,customers!$C$1:$C$1001,,0))</f>
        <v/>
      </c>
      <c r="H683" s="2">
        <f>_xlfn.XLOOKUP(C683,customers!$A$1:$A$1001,customers!$G$1:$G$1001,,0)</f>
        <v/>
      </c>
      <c r="I683">
        <f>INDEX(products!$A$1:$G$49,MATCH(orders!$D683,products!$A$1:$A$49,0),MATCH(orders!I$1,products!$A$1:$G$1,0))</f>
        <v/>
      </c>
      <c r="J683">
        <f>INDEX(products!$A$1:$G$49,MATCH(orders!$D683,products!$A$1:$A$49,0),MATCH(orders!J$1,products!$A$1:$G$1,0))</f>
        <v/>
      </c>
      <c r="K683" s="4">
        <f>INDEX(products!$A$1:$G$49,MATCH(orders!$D683,products!$A$1:$A$49,0),MATCH(orders!K$1,products!$A$1:$G$1,0))</f>
        <v/>
      </c>
      <c r="L683" s="5">
        <f>INDEX(products!$A$1:$G$49,MATCH(orders!$D683,products!$A$1:$A$49,0),MATCH(orders!L$1,products!$A$1:$G$1,0))</f>
        <v/>
      </c>
      <c r="M683" s="5">
        <f>L683*E683</f>
        <v/>
      </c>
      <c r="N683">
        <f>IF(I683="Rob","Robusta",IF(I683="Exc","Excelsa",IF(I683="Ara","Arabica",IF(I683="Lib","Liberica",""))))</f>
        <v/>
      </c>
      <c r="O683">
        <f>IF(J683="M","Medium",IF(J683="L","Light",IF(J683="D","Dark","")))</f>
        <v/>
      </c>
      <c r="P683">
        <f>_xlfn.XLOOKUP(Orders[[#This Row],[Customer ID]],customers!$A$1:$A$1001,customers!$I$1:$I$1001,,0)</f>
        <v/>
      </c>
    </row>
    <row r="684">
      <c r="A684" s="2" t="inlineStr">
        <is>
          <t>O8495</t>
        </is>
      </c>
      <c r="B684" s="3" t="inlineStr">
        <is>
          <t>2022-10-14</t>
        </is>
      </c>
      <c r="C684" s="2" t="inlineStr">
        <is>
          <t>O6917</t>
        </is>
      </c>
      <c r="D684" t="inlineStr">
        <is>
          <t>O7957</t>
        </is>
      </c>
      <c r="E684" s="2" t="n">
        <v>232</v>
      </c>
      <c r="F684" s="2">
        <f>_xlfn.XLOOKUP(C684,customers!$A$1:$A$1001,customers!$B$1:$B$1001,,0)</f>
        <v/>
      </c>
      <c r="G684" s="2">
        <f>IF(_xlfn.XLOOKUP(C684,customers!$A$1:$A$1001,customers!$C$1:$C$1001,,0)=0,"",_xlfn.XLOOKUP(C684,customers!$A$1:$A$1001,customers!$C$1:$C$1001,,0))</f>
        <v/>
      </c>
      <c r="H684" s="2">
        <f>_xlfn.XLOOKUP(C684,customers!$A$1:$A$1001,customers!$G$1:$G$1001,,0)</f>
        <v/>
      </c>
      <c r="I684">
        <f>INDEX(products!$A$1:$G$49,MATCH(orders!$D684,products!$A$1:$A$49,0),MATCH(orders!I$1,products!$A$1:$G$1,0))</f>
        <v/>
      </c>
      <c r="J684">
        <f>INDEX(products!$A$1:$G$49,MATCH(orders!$D684,products!$A$1:$A$49,0),MATCH(orders!J$1,products!$A$1:$G$1,0))</f>
        <v/>
      </c>
      <c r="K684" s="4">
        <f>INDEX(products!$A$1:$G$49,MATCH(orders!$D684,products!$A$1:$A$49,0),MATCH(orders!K$1,products!$A$1:$G$1,0))</f>
        <v/>
      </c>
      <c r="L684" s="5">
        <f>INDEX(products!$A$1:$G$49,MATCH(orders!$D684,products!$A$1:$A$49,0),MATCH(orders!L$1,products!$A$1:$G$1,0))</f>
        <v/>
      </c>
      <c r="M684" s="5">
        <f>L684*E684</f>
        <v/>
      </c>
      <c r="N684">
        <f>IF(I684="Rob","Robusta",IF(I684="Exc","Excelsa",IF(I684="Ara","Arabica",IF(I684="Lib","Liberica",""))))</f>
        <v/>
      </c>
      <c r="O684">
        <f>IF(J684="M","Medium",IF(J684="L","Light",IF(J684="D","Dark","")))</f>
        <v/>
      </c>
      <c r="P684">
        <f>_xlfn.XLOOKUP(Orders[[#This Row],[Customer ID]],customers!$A$1:$A$1001,customers!$I$1:$I$1001,,0)</f>
        <v/>
      </c>
    </row>
    <row r="685">
      <c r="A685" s="2" t="inlineStr">
        <is>
          <t>O3039</t>
        </is>
      </c>
      <c r="B685" s="3" t="inlineStr">
        <is>
          <t>2023-09-06</t>
        </is>
      </c>
      <c r="C685" s="2" t="inlineStr">
        <is>
          <t>O4148</t>
        </is>
      </c>
      <c r="D685" t="inlineStr">
        <is>
          <t>O1438</t>
        </is>
      </c>
      <c r="E685" s="2" t="n">
        <v>463</v>
      </c>
      <c r="F685" s="2">
        <f>_xlfn.XLOOKUP(C685,customers!$A$1:$A$1001,customers!$B$1:$B$1001,,0)</f>
        <v/>
      </c>
      <c r="G685" s="2">
        <f>IF(_xlfn.XLOOKUP(C685,customers!$A$1:$A$1001,customers!$C$1:$C$1001,,0)=0,"",_xlfn.XLOOKUP(C685,customers!$A$1:$A$1001,customers!$C$1:$C$1001,,0))</f>
        <v/>
      </c>
      <c r="H685" s="2">
        <f>_xlfn.XLOOKUP(C685,customers!$A$1:$A$1001,customers!$G$1:$G$1001,,0)</f>
        <v/>
      </c>
      <c r="I685">
        <f>INDEX(products!$A$1:$G$49,MATCH(orders!$D685,products!$A$1:$A$49,0),MATCH(orders!I$1,products!$A$1:$G$1,0))</f>
        <v/>
      </c>
      <c r="J685">
        <f>INDEX(products!$A$1:$G$49,MATCH(orders!$D685,products!$A$1:$A$49,0),MATCH(orders!J$1,products!$A$1:$G$1,0))</f>
        <v/>
      </c>
      <c r="K685" s="4">
        <f>INDEX(products!$A$1:$G$49,MATCH(orders!$D685,products!$A$1:$A$49,0),MATCH(orders!K$1,products!$A$1:$G$1,0))</f>
        <v/>
      </c>
      <c r="L685" s="5">
        <f>INDEX(products!$A$1:$G$49,MATCH(orders!$D685,products!$A$1:$A$49,0),MATCH(orders!L$1,products!$A$1:$G$1,0))</f>
        <v/>
      </c>
      <c r="M685" s="5">
        <f>L685*E685</f>
        <v/>
      </c>
      <c r="N685">
        <f>IF(I685="Rob","Robusta",IF(I685="Exc","Excelsa",IF(I685="Ara","Arabica",IF(I685="Lib","Liberica",""))))</f>
        <v/>
      </c>
      <c r="O685">
        <f>IF(J685="M","Medium",IF(J685="L","Light",IF(J685="D","Dark","")))</f>
        <v/>
      </c>
      <c r="P685">
        <f>_xlfn.XLOOKUP(Orders[[#This Row],[Customer ID]],customers!$A$1:$A$1001,customers!$I$1:$I$1001,,0)</f>
        <v/>
      </c>
    </row>
    <row r="686">
      <c r="A686" s="2" t="inlineStr">
        <is>
          <t>O7761</t>
        </is>
      </c>
      <c r="B686" s="3" t="inlineStr">
        <is>
          <t>2022-03-09</t>
        </is>
      </c>
      <c r="C686" s="2" t="inlineStr">
        <is>
          <t>O7921</t>
        </is>
      </c>
      <c r="D686" t="inlineStr">
        <is>
          <t>O7203</t>
        </is>
      </c>
      <c r="E686" s="2" t="n">
        <v>387</v>
      </c>
      <c r="F686" s="2">
        <f>_xlfn.XLOOKUP(C686,customers!$A$1:$A$1001,customers!$B$1:$B$1001,,0)</f>
        <v/>
      </c>
      <c r="G686" s="2">
        <f>IF(_xlfn.XLOOKUP(C686,customers!$A$1:$A$1001,customers!$C$1:$C$1001,,0)=0,"",_xlfn.XLOOKUP(C686,customers!$A$1:$A$1001,customers!$C$1:$C$1001,,0))</f>
        <v/>
      </c>
      <c r="H686" s="2">
        <f>_xlfn.XLOOKUP(C686,customers!$A$1:$A$1001,customers!$G$1:$G$1001,,0)</f>
        <v/>
      </c>
      <c r="I686">
        <f>INDEX(products!$A$1:$G$49,MATCH(orders!$D686,products!$A$1:$A$49,0),MATCH(orders!I$1,products!$A$1:$G$1,0))</f>
        <v/>
      </c>
      <c r="J686">
        <f>INDEX(products!$A$1:$G$49,MATCH(orders!$D686,products!$A$1:$A$49,0),MATCH(orders!J$1,products!$A$1:$G$1,0))</f>
        <v/>
      </c>
      <c r="K686" s="4">
        <f>INDEX(products!$A$1:$G$49,MATCH(orders!$D686,products!$A$1:$A$49,0),MATCH(orders!K$1,products!$A$1:$G$1,0))</f>
        <v/>
      </c>
      <c r="L686" s="5">
        <f>INDEX(products!$A$1:$G$49,MATCH(orders!$D686,products!$A$1:$A$49,0),MATCH(orders!L$1,products!$A$1:$G$1,0))</f>
        <v/>
      </c>
      <c r="M686" s="5">
        <f>L686*E686</f>
        <v/>
      </c>
      <c r="N686">
        <f>IF(I686="Rob","Robusta",IF(I686="Exc","Excelsa",IF(I686="Ara","Arabica",IF(I686="Lib","Liberica",""))))</f>
        <v/>
      </c>
      <c r="O686">
        <f>IF(J686="M","Medium",IF(J686="L","Light",IF(J686="D","Dark","")))</f>
        <v/>
      </c>
      <c r="P686">
        <f>_xlfn.XLOOKUP(Orders[[#This Row],[Customer ID]],customers!$A$1:$A$1001,customers!$I$1:$I$1001,,0)</f>
        <v/>
      </c>
    </row>
    <row r="687">
      <c r="A687" s="2" t="inlineStr">
        <is>
          <t>O2890</t>
        </is>
      </c>
      <c r="B687" s="3" t="inlineStr">
        <is>
          <t>2023-07-01</t>
        </is>
      </c>
      <c r="C687" s="2" t="inlineStr">
        <is>
          <t>O7576</t>
        </is>
      </c>
      <c r="D687" t="inlineStr">
        <is>
          <t>O9656</t>
        </is>
      </c>
      <c r="E687" s="2" t="n">
        <v>220</v>
      </c>
      <c r="F687" s="2">
        <f>_xlfn.XLOOKUP(C687,customers!$A$1:$A$1001,customers!$B$1:$B$1001,,0)</f>
        <v/>
      </c>
      <c r="G687" s="2">
        <f>IF(_xlfn.XLOOKUP(C687,customers!$A$1:$A$1001,customers!$C$1:$C$1001,,0)=0,"",_xlfn.XLOOKUP(C687,customers!$A$1:$A$1001,customers!$C$1:$C$1001,,0))</f>
        <v/>
      </c>
      <c r="H687" s="2">
        <f>_xlfn.XLOOKUP(C687,customers!$A$1:$A$1001,customers!$G$1:$G$1001,,0)</f>
        <v/>
      </c>
      <c r="I687">
        <f>INDEX(products!$A$1:$G$49,MATCH(orders!$D687,products!$A$1:$A$49,0),MATCH(orders!I$1,products!$A$1:$G$1,0))</f>
        <v/>
      </c>
      <c r="J687">
        <f>INDEX(products!$A$1:$G$49,MATCH(orders!$D687,products!$A$1:$A$49,0),MATCH(orders!J$1,products!$A$1:$G$1,0))</f>
        <v/>
      </c>
      <c r="K687" s="4">
        <f>INDEX(products!$A$1:$G$49,MATCH(orders!$D687,products!$A$1:$A$49,0),MATCH(orders!K$1,products!$A$1:$G$1,0))</f>
        <v/>
      </c>
      <c r="L687" s="5">
        <f>INDEX(products!$A$1:$G$49,MATCH(orders!$D687,products!$A$1:$A$49,0),MATCH(orders!L$1,products!$A$1:$G$1,0))</f>
        <v/>
      </c>
      <c r="M687" s="5">
        <f>L687*E687</f>
        <v/>
      </c>
      <c r="N687">
        <f>IF(I687="Rob","Robusta",IF(I687="Exc","Excelsa",IF(I687="Ara","Arabica",IF(I687="Lib","Liberica",""))))</f>
        <v/>
      </c>
      <c r="O687">
        <f>IF(J687="M","Medium",IF(J687="L","Light",IF(J687="D","Dark","")))</f>
        <v/>
      </c>
      <c r="P687">
        <f>_xlfn.XLOOKUP(Orders[[#This Row],[Customer ID]],customers!$A$1:$A$1001,customers!$I$1:$I$1001,,0)</f>
        <v/>
      </c>
    </row>
    <row r="688">
      <c r="A688" s="2" t="inlineStr">
        <is>
          <t>O6449</t>
        </is>
      </c>
      <c r="B688" s="3" t="inlineStr">
        <is>
          <t>2024-10-31</t>
        </is>
      </c>
      <c r="C688" s="2" t="inlineStr">
        <is>
          <t>O1757</t>
        </is>
      </c>
      <c r="D688" t="inlineStr">
        <is>
          <t>O4166</t>
        </is>
      </c>
      <c r="E688" s="2" t="n">
        <v>70</v>
      </c>
      <c r="F688" s="2">
        <f>_xlfn.XLOOKUP(C688,customers!$A$1:$A$1001,customers!$B$1:$B$1001,,0)</f>
        <v/>
      </c>
      <c r="G688" s="2">
        <f>IF(_xlfn.XLOOKUP(C688,customers!$A$1:$A$1001,customers!$C$1:$C$1001,,0)=0,"",_xlfn.XLOOKUP(C688,customers!$A$1:$A$1001,customers!$C$1:$C$1001,,0))</f>
        <v/>
      </c>
      <c r="H688" s="2">
        <f>_xlfn.XLOOKUP(C688,customers!$A$1:$A$1001,customers!$G$1:$G$1001,,0)</f>
        <v/>
      </c>
      <c r="I688">
        <f>INDEX(products!$A$1:$G$49,MATCH(orders!$D688,products!$A$1:$A$49,0),MATCH(orders!I$1,products!$A$1:$G$1,0))</f>
        <v/>
      </c>
      <c r="J688">
        <f>INDEX(products!$A$1:$G$49,MATCH(orders!$D688,products!$A$1:$A$49,0),MATCH(orders!J$1,products!$A$1:$G$1,0))</f>
        <v/>
      </c>
      <c r="K688" s="4">
        <f>INDEX(products!$A$1:$G$49,MATCH(orders!$D688,products!$A$1:$A$49,0),MATCH(orders!K$1,products!$A$1:$G$1,0))</f>
        <v/>
      </c>
      <c r="L688" s="5">
        <f>INDEX(products!$A$1:$G$49,MATCH(orders!$D688,products!$A$1:$A$49,0),MATCH(orders!L$1,products!$A$1:$G$1,0))</f>
        <v/>
      </c>
      <c r="M688" s="5">
        <f>L688*E688</f>
        <v/>
      </c>
      <c r="N688">
        <f>IF(I688="Rob","Robusta",IF(I688="Exc","Excelsa",IF(I688="Ara","Arabica",IF(I688="Lib","Liberica",""))))</f>
        <v/>
      </c>
      <c r="O688">
        <f>IF(J688="M","Medium",IF(J688="L","Light",IF(J688="D","Dark","")))</f>
        <v/>
      </c>
      <c r="P688">
        <f>_xlfn.XLOOKUP(Orders[[#This Row],[Customer ID]],customers!$A$1:$A$1001,customers!$I$1:$I$1001,,0)</f>
        <v/>
      </c>
    </row>
    <row r="689">
      <c r="A689" s="2" t="inlineStr">
        <is>
          <t>O9279</t>
        </is>
      </c>
      <c r="B689" s="3" t="inlineStr">
        <is>
          <t>2023-09-28</t>
        </is>
      </c>
      <c r="C689" s="2" t="inlineStr">
        <is>
          <t>O7020</t>
        </is>
      </c>
      <c r="D689" t="inlineStr">
        <is>
          <t>O3681</t>
        </is>
      </c>
      <c r="E689" s="2" t="n">
        <v>479</v>
      </c>
      <c r="F689" s="2">
        <f>_xlfn.XLOOKUP(C689,customers!$A$1:$A$1001,customers!$B$1:$B$1001,,0)</f>
        <v/>
      </c>
      <c r="G689" s="2">
        <f>IF(_xlfn.XLOOKUP(C689,customers!$A$1:$A$1001,customers!$C$1:$C$1001,,0)=0,"",_xlfn.XLOOKUP(C689,customers!$A$1:$A$1001,customers!$C$1:$C$1001,,0))</f>
        <v/>
      </c>
      <c r="H689" s="2">
        <f>_xlfn.XLOOKUP(C689,customers!$A$1:$A$1001,customers!$G$1:$G$1001,,0)</f>
        <v/>
      </c>
      <c r="I689">
        <f>INDEX(products!$A$1:$G$49,MATCH(orders!$D689,products!$A$1:$A$49,0),MATCH(orders!I$1,products!$A$1:$G$1,0))</f>
        <v/>
      </c>
      <c r="J689">
        <f>INDEX(products!$A$1:$G$49,MATCH(orders!$D689,products!$A$1:$A$49,0),MATCH(orders!J$1,products!$A$1:$G$1,0))</f>
        <v/>
      </c>
      <c r="K689" s="4">
        <f>INDEX(products!$A$1:$G$49,MATCH(orders!$D689,products!$A$1:$A$49,0),MATCH(orders!K$1,products!$A$1:$G$1,0))</f>
        <v/>
      </c>
      <c r="L689" s="5">
        <f>INDEX(products!$A$1:$G$49,MATCH(orders!$D689,products!$A$1:$A$49,0),MATCH(orders!L$1,products!$A$1:$G$1,0))</f>
        <v/>
      </c>
      <c r="M689" s="5">
        <f>L689*E689</f>
        <v/>
      </c>
      <c r="N689">
        <f>IF(I689="Rob","Robusta",IF(I689="Exc","Excelsa",IF(I689="Ara","Arabica",IF(I689="Lib","Liberica",""))))</f>
        <v/>
      </c>
      <c r="O689">
        <f>IF(J689="M","Medium",IF(J689="L","Light",IF(J689="D","Dark","")))</f>
        <v/>
      </c>
      <c r="P689">
        <f>_xlfn.XLOOKUP(Orders[[#This Row],[Customer ID]],customers!$A$1:$A$1001,customers!$I$1:$I$1001,,0)</f>
        <v/>
      </c>
    </row>
    <row r="690">
      <c r="A690" s="2" t="inlineStr">
        <is>
          <t>O7248</t>
        </is>
      </c>
      <c r="B690" s="3" t="inlineStr">
        <is>
          <t>2020-07-14</t>
        </is>
      </c>
      <c r="C690" s="2" t="inlineStr">
        <is>
          <t>O1043</t>
        </is>
      </c>
      <c r="D690" t="inlineStr">
        <is>
          <t>O3918</t>
        </is>
      </c>
      <c r="E690" s="2" t="n">
        <v>127</v>
      </c>
      <c r="F690" s="2">
        <f>_xlfn.XLOOKUP(C690,customers!$A$1:$A$1001,customers!$B$1:$B$1001,,0)</f>
        <v/>
      </c>
      <c r="G690" s="2">
        <f>IF(_xlfn.XLOOKUP(C690,customers!$A$1:$A$1001,customers!$C$1:$C$1001,,0)=0,"",_xlfn.XLOOKUP(C690,customers!$A$1:$A$1001,customers!$C$1:$C$1001,,0))</f>
        <v/>
      </c>
      <c r="H690" s="2">
        <f>_xlfn.XLOOKUP(C690,customers!$A$1:$A$1001,customers!$G$1:$G$1001,,0)</f>
        <v/>
      </c>
      <c r="I690">
        <f>INDEX(products!$A$1:$G$49,MATCH(orders!$D690,products!$A$1:$A$49,0),MATCH(orders!I$1,products!$A$1:$G$1,0))</f>
        <v/>
      </c>
      <c r="J690">
        <f>INDEX(products!$A$1:$G$49,MATCH(orders!$D690,products!$A$1:$A$49,0),MATCH(orders!J$1,products!$A$1:$G$1,0))</f>
        <v/>
      </c>
      <c r="K690" s="4">
        <f>INDEX(products!$A$1:$G$49,MATCH(orders!$D690,products!$A$1:$A$49,0),MATCH(orders!K$1,products!$A$1:$G$1,0))</f>
        <v/>
      </c>
      <c r="L690" s="5">
        <f>INDEX(products!$A$1:$G$49,MATCH(orders!$D690,products!$A$1:$A$49,0),MATCH(orders!L$1,products!$A$1:$G$1,0))</f>
        <v/>
      </c>
      <c r="M690" s="5">
        <f>L690*E690</f>
        <v/>
      </c>
      <c r="N690">
        <f>IF(I690="Rob","Robusta",IF(I690="Exc","Excelsa",IF(I690="Ara","Arabica",IF(I690="Lib","Liberica",""))))</f>
        <v/>
      </c>
      <c r="O690">
        <f>IF(J690="M","Medium",IF(J690="L","Light",IF(J690="D","Dark","")))</f>
        <v/>
      </c>
      <c r="P690">
        <f>_xlfn.XLOOKUP(Orders[[#This Row],[Customer ID]],customers!$A$1:$A$1001,customers!$I$1:$I$1001,,0)</f>
        <v/>
      </c>
    </row>
    <row r="691">
      <c r="A691" s="2" t="inlineStr">
        <is>
          <t>O3445</t>
        </is>
      </c>
      <c r="B691" s="3" t="inlineStr">
        <is>
          <t>2022-09-18</t>
        </is>
      </c>
      <c r="C691" s="2" t="inlineStr">
        <is>
          <t>O9022</t>
        </is>
      </c>
      <c r="D691" t="inlineStr">
        <is>
          <t>O9559</t>
        </is>
      </c>
      <c r="E691" s="2" t="n">
        <v>27</v>
      </c>
      <c r="F691" s="2">
        <f>_xlfn.XLOOKUP(C691,customers!$A$1:$A$1001,customers!$B$1:$B$1001,,0)</f>
        <v/>
      </c>
      <c r="G691" s="2">
        <f>IF(_xlfn.XLOOKUP(C691,customers!$A$1:$A$1001,customers!$C$1:$C$1001,,0)=0,"",_xlfn.XLOOKUP(C691,customers!$A$1:$A$1001,customers!$C$1:$C$1001,,0))</f>
        <v/>
      </c>
      <c r="H691" s="2">
        <f>_xlfn.XLOOKUP(C691,customers!$A$1:$A$1001,customers!$G$1:$G$1001,,0)</f>
        <v/>
      </c>
      <c r="I691">
        <f>INDEX(products!$A$1:$G$49,MATCH(orders!$D691,products!$A$1:$A$49,0),MATCH(orders!I$1,products!$A$1:$G$1,0))</f>
        <v/>
      </c>
      <c r="J691">
        <f>INDEX(products!$A$1:$G$49,MATCH(orders!$D691,products!$A$1:$A$49,0),MATCH(orders!J$1,products!$A$1:$G$1,0))</f>
        <v/>
      </c>
      <c r="K691" s="4">
        <f>INDEX(products!$A$1:$G$49,MATCH(orders!$D691,products!$A$1:$A$49,0),MATCH(orders!K$1,products!$A$1:$G$1,0))</f>
        <v/>
      </c>
      <c r="L691" s="5">
        <f>INDEX(products!$A$1:$G$49,MATCH(orders!$D691,products!$A$1:$A$49,0),MATCH(orders!L$1,products!$A$1:$G$1,0))</f>
        <v/>
      </c>
      <c r="M691" s="5">
        <f>L691*E691</f>
        <v/>
      </c>
      <c r="N691">
        <f>IF(I691="Rob","Robusta",IF(I691="Exc","Excelsa",IF(I691="Ara","Arabica",IF(I691="Lib","Liberica",""))))</f>
        <v/>
      </c>
      <c r="O691">
        <f>IF(J691="M","Medium",IF(J691="L","Light",IF(J691="D","Dark","")))</f>
        <v/>
      </c>
      <c r="P691">
        <f>_xlfn.XLOOKUP(Orders[[#This Row],[Customer ID]],customers!$A$1:$A$1001,customers!$I$1:$I$1001,,0)</f>
        <v/>
      </c>
    </row>
    <row r="692">
      <c r="A692" s="2" t="inlineStr">
        <is>
          <t>O1235</t>
        </is>
      </c>
      <c r="B692" s="3" t="inlineStr">
        <is>
          <t>2024-08-22</t>
        </is>
      </c>
      <c r="C692" s="2" t="inlineStr">
        <is>
          <t>O2369</t>
        </is>
      </c>
      <c r="D692" t="inlineStr">
        <is>
          <t>O9430</t>
        </is>
      </c>
      <c r="E692" s="2" t="n">
        <v>281</v>
      </c>
      <c r="F692" s="2">
        <f>_xlfn.XLOOKUP(C692,customers!$A$1:$A$1001,customers!$B$1:$B$1001,,0)</f>
        <v/>
      </c>
      <c r="G692" s="2">
        <f>IF(_xlfn.XLOOKUP(C692,customers!$A$1:$A$1001,customers!$C$1:$C$1001,,0)=0,"",_xlfn.XLOOKUP(C692,customers!$A$1:$A$1001,customers!$C$1:$C$1001,,0))</f>
        <v/>
      </c>
      <c r="H692" s="2">
        <f>_xlfn.XLOOKUP(C692,customers!$A$1:$A$1001,customers!$G$1:$G$1001,,0)</f>
        <v/>
      </c>
      <c r="I692">
        <f>INDEX(products!$A$1:$G$49,MATCH(orders!$D692,products!$A$1:$A$49,0),MATCH(orders!I$1,products!$A$1:$G$1,0))</f>
        <v/>
      </c>
      <c r="J692">
        <f>INDEX(products!$A$1:$G$49,MATCH(orders!$D692,products!$A$1:$A$49,0),MATCH(orders!J$1,products!$A$1:$G$1,0))</f>
        <v/>
      </c>
      <c r="K692" s="4">
        <f>INDEX(products!$A$1:$G$49,MATCH(orders!$D692,products!$A$1:$A$49,0),MATCH(orders!K$1,products!$A$1:$G$1,0))</f>
        <v/>
      </c>
      <c r="L692" s="5">
        <f>INDEX(products!$A$1:$G$49,MATCH(orders!$D692,products!$A$1:$A$49,0),MATCH(orders!L$1,products!$A$1:$G$1,0))</f>
        <v/>
      </c>
      <c r="M692" s="5">
        <f>L692*E692</f>
        <v/>
      </c>
      <c r="N692">
        <f>IF(I692="Rob","Robusta",IF(I692="Exc","Excelsa",IF(I692="Ara","Arabica",IF(I692="Lib","Liberica",""))))</f>
        <v/>
      </c>
      <c r="O692">
        <f>IF(J692="M","Medium",IF(J692="L","Light",IF(J692="D","Dark","")))</f>
        <v/>
      </c>
      <c r="P692">
        <f>_xlfn.XLOOKUP(Orders[[#This Row],[Customer ID]],customers!$A$1:$A$1001,customers!$I$1:$I$1001,,0)</f>
        <v/>
      </c>
    </row>
    <row r="693">
      <c r="A693" s="2" t="inlineStr">
        <is>
          <t>O1495</t>
        </is>
      </c>
      <c r="B693" s="3" t="inlineStr">
        <is>
          <t>2020-07-02</t>
        </is>
      </c>
      <c r="C693" s="2" t="inlineStr">
        <is>
          <t>O5525</t>
        </is>
      </c>
      <c r="D693" t="inlineStr">
        <is>
          <t>O5065</t>
        </is>
      </c>
      <c r="E693" s="2" t="n">
        <v>472</v>
      </c>
      <c r="F693" s="2">
        <f>_xlfn.XLOOKUP(C693,customers!$A$1:$A$1001,customers!$B$1:$B$1001,,0)</f>
        <v/>
      </c>
      <c r="G693" s="2">
        <f>IF(_xlfn.XLOOKUP(C693,customers!$A$1:$A$1001,customers!$C$1:$C$1001,,0)=0,"",_xlfn.XLOOKUP(C693,customers!$A$1:$A$1001,customers!$C$1:$C$1001,,0))</f>
        <v/>
      </c>
      <c r="H693" s="2">
        <f>_xlfn.XLOOKUP(C693,customers!$A$1:$A$1001,customers!$G$1:$G$1001,,0)</f>
        <v/>
      </c>
      <c r="I693">
        <f>INDEX(products!$A$1:$G$49,MATCH(orders!$D693,products!$A$1:$A$49,0),MATCH(orders!I$1,products!$A$1:$G$1,0))</f>
        <v/>
      </c>
      <c r="J693">
        <f>INDEX(products!$A$1:$G$49,MATCH(orders!$D693,products!$A$1:$A$49,0),MATCH(orders!J$1,products!$A$1:$G$1,0))</f>
        <v/>
      </c>
      <c r="K693" s="4">
        <f>INDEX(products!$A$1:$G$49,MATCH(orders!$D693,products!$A$1:$A$49,0),MATCH(orders!K$1,products!$A$1:$G$1,0))</f>
        <v/>
      </c>
      <c r="L693" s="5">
        <f>INDEX(products!$A$1:$G$49,MATCH(orders!$D693,products!$A$1:$A$49,0),MATCH(orders!L$1,products!$A$1:$G$1,0))</f>
        <v/>
      </c>
      <c r="M693" s="5">
        <f>L693*E693</f>
        <v/>
      </c>
      <c r="N693">
        <f>IF(I693="Rob","Robusta",IF(I693="Exc","Excelsa",IF(I693="Ara","Arabica",IF(I693="Lib","Liberica",""))))</f>
        <v/>
      </c>
      <c r="O693">
        <f>IF(J693="M","Medium",IF(J693="L","Light",IF(J693="D","Dark","")))</f>
        <v/>
      </c>
      <c r="P693">
        <f>_xlfn.XLOOKUP(Orders[[#This Row],[Customer ID]],customers!$A$1:$A$1001,customers!$I$1:$I$1001,,0)</f>
        <v/>
      </c>
    </row>
    <row r="694">
      <c r="A694" s="2" t="inlineStr">
        <is>
          <t>O3077</t>
        </is>
      </c>
      <c r="B694" s="3" t="inlineStr">
        <is>
          <t>2024-04-21</t>
        </is>
      </c>
      <c r="C694" s="2" t="inlineStr">
        <is>
          <t>O1232</t>
        </is>
      </c>
      <c r="D694" t="inlineStr">
        <is>
          <t>O8623</t>
        </is>
      </c>
      <c r="E694" s="2" t="n">
        <v>36</v>
      </c>
      <c r="F694" s="2">
        <f>_xlfn.XLOOKUP(C694,customers!$A$1:$A$1001,customers!$B$1:$B$1001,,0)</f>
        <v/>
      </c>
      <c r="G694" s="2">
        <f>IF(_xlfn.XLOOKUP(C694,customers!$A$1:$A$1001,customers!$C$1:$C$1001,,0)=0,"",_xlfn.XLOOKUP(C694,customers!$A$1:$A$1001,customers!$C$1:$C$1001,,0))</f>
        <v/>
      </c>
      <c r="H694" s="2">
        <f>_xlfn.XLOOKUP(C694,customers!$A$1:$A$1001,customers!$G$1:$G$1001,,0)</f>
        <v/>
      </c>
      <c r="I694">
        <f>INDEX(products!$A$1:$G$49,MATCH(orders!$D694,products!$A$1:$A$49,0),MATCH(orders!I$1,products!$A$1:$G$1,0))</f>
        <v/>
      </c>
      <c r="J694">
        <f>INDEX(products!$A$1:$G$49,MATCH(orders!$D694,products!$A$1:$A$49,0),MATCH(orders!J$1,products!$A$1:$G$1,0))</f>
        <v/>
      </c>
      <c r="K694" s="4">
        <f>INDEX(products!$A$1:$G$49,MATCH(orders!$D694,products!$A$1:$A$49,0),MATCH(orders!K$1,products!$A$1:$G$1,0))</f>
        <v/>
      </c>
      <c r="L694" s="5">
        <f>INDEX(products!$A$1:$G$49,MATCH(orders!$D694,products!$A$1:$A$49,0),MATCH(orders!L$1,products!$A$1:$G$1,0))</f>
        <v/>
      </c>
      <c r="M694" s="5">
        <f>L694*E694</f>
        <v/>
      </c>
      <c r="N694">
        <f>IF(I694="Rob","Robusta",IF(I694="Exc","Excelsa",IF(I694="Ara","Arabica",IF(I694="Lib","Liberica",""))))</f>
        <v/>
      </c>
      <c r="O694">
        <f>IF(J694="M","Medium",IF(J694="L","Light",IF(J694="D","Dark","")))</f>
        <v/>
      </c>
      <c r="P694">
        <f>_xlfn.XLOOKUP(Orders[[#This Row],[Customer ID]],customers!$A$1:$A$1001,customers!$I$1:$I$1001,,0)</f>
        <v/>
      </c>
    </row>
    <row r="695">
      <c r="A695" s="2" t="inlineStr">
        <is>
          <t>O6248</t>
        </is>
      </c>
      <c r="B695" s="3" t="inlineStr">
        <is>
          <t>2023-04-27</t>
        </is>
      </c>
      <c r="C695" s="2" t="inlineStr">
        <is>
          <t>O9239</t>
        </is>
      </c>
      <c r="D695" t="inlineStr">
        <is>
          <t>O6251</t>
        </is>
      </c>
      <c r="E695" s="2" t="n">
        <v>91</v>
      </c>
      <c r="F695" s="2">
        <f>_xlfn.XLOOKUP(C695,customers!$A$1:$A$1001,customers!$B$1:$B$1001,,0)</f>
        <v/>
      </c>
      <c r="G695" s="2">
        <f>IF(_xlfn.XLOOKUP(C695,customers!$A$1:$A$1001,customers!$C$1:$C$1001,,0)=0,"",_xlfn.XLOOKUP(C695,customers!$A$1:$A$1001,customers!$C$1:$C$1001,,0))</f>
        <v/>
      </c>
      <c r="H695" s="2">
        <f>_xlfn.XLOOKUP(C695,customers!$A$1:$A$1001,customers!$G$1:$G$1001,,0)</f>
        <v/>
      </c>
      <c r="I695">
        <f>INDEX(products!$A$1:$G$49,MATCH(orders!$D695,products!$A$1:$A$49,0),MATCH(orders!I$1,products!$A$1:$G$1,0))</f>
        <v/>
      </c>
      <c r="J695">
        <f>INDEX(products!$A$1:$G$49,MATCH(orders!$D695,products!$A$1:$A$49,0),MATCH(orders!J$1,products!$A$1:$G$1,0))</f>
        <v/>
      </c>
      <c r="K695" s="4">
        <f>INDEX(products!$A$1:$G$49,MATCH(orders!$D695,products!$A$1:$A$49,0),MATCH(orders!K$1,products!$A$1:$G$1,0))</f>
        <v/>
      </c>
      <c r="L695" s="5">
        <f>INDEX(products!$A$1:$G$49,MATCH(orders!$D695,products!$A$1:$A$49,0),MATCH(orders!L$1,products!$A$1:$G$1,0))</f>
        <v/>
      </c>
      <c r="M695" s="5">
        <f>L695*E695</f>
        <v/>
      </c>
      <c r="N695">
        <f>IF(I695="Rob","Robusta",IF(I695="Exc","Excelsa",IF(I695="Ara","Arabica",IF(I695="Lib","Liberica",""))))</f>
        <v/>
      </c>
      <c r="O695">
        <f>IF(J695="M","Medium",IF(J695="L","Light",IF(J695="D","Dark","")))</f>
        <v/>
      </c>
      <c r="P695">
        <f>_xlfn.XLOOKUP(Orders[[#This Row],[Customer ID]],customers!$A$1:$A$1001,customers!$I$1:$I$1001,,0)</f>
        <v/>
      </c>
    </row>
    <row r="696">
      <c r="A696" s="2" t="inlineStr">
        <is>
          <t>O7544</t>
        </is>
      </c>
      <c r="B696" s="3" t="inlineStr">
        <is>
          <t>2024-11-06</t>
        </is>
      </c>
      <c r="C696" s="2" t="inlineStr">
        <is>
          <t>O9390</t>
        </is>
      </c>
      <c r="D696" t="inlineStr">
        <is>
          <t>O8323</t>
        </is>
      </c>
      <c r="E696" s="2" t="n">
        <v>135</v>
      </c>
      <c r="F696" s="2">
        <f>_xlfn.XLOOKUP(C696,customers!$A$1:$A$1001,customers!$B$1:$B$1001,,0)</f>
        <v/>
      </c>
      <c r="G696" s="2">
        <f>IF(_xlfn.XLOOKUP(C696,customers!$A$1:$A$1001,customers!$C$1:$C$1001,,0)=0,"",_xlfn.XLOOKUP(C696,customers!$A$1:$A$1001,customers!$C$1:$C$1001,,0))</f>
        <v/>
      </c>
      <c r="H696" s="2">
        <f>_xlfn.XLOOKUP(C696,customers!$A$1:$A$1001,customers!$G$1:$G$1001,,0)</f>
        <v/>
      </c>
      <c r="I696">
        <f>INDEX(products!$A$1:$G$49,MATCH(orders!$D696,products!$A$1:$A$49,0),MATCH(orders!I$1,products!$A$1:$G$1,0))</f>
        <v/>
      </c>
      <c r="J696">
        <f>INDEX(products!$A$1:$G$49,MATCH(orders!$D696,products!$A$1:$A$49,0),MATCH(orders!J$1,products!$A$1:$G$1,0))</f>
        <v/>
      </c>
      <c r="K696" s="4">
        <f>INDEX(products!$A$1:$G$49,MATCH(orders!$D696,products!$A$1:$A$49,0),MATCH(orders!K$1,products!$A$1:$G$1,0))</f>
        <v/>
      </c>
      <c r="L696" s="5">
        <f>INDEX(products!$A$1:$G$49,MATCH(orders!$D696,products!$A$1:$A$49,0),MATCH(orders!L$1,products!$A$1:$G$1,0))</f>
        <v/>
      </c>
      <c r="M696" s="5">
        <f>L696*E696</f>
        <v/>
      </c>
      <c r="N696">
        <f>IF(I696="Rob","Robusta",IF(I696="Exc","Excelsa",IF(I696="Ara","Arabica",IF(I696="Lib","Liberica",""))))</f>
        <v/>
      </c>
      <c r="O696">
        <f>IF(J696="M","Medium",IF(J696="L","Light",IF(J696="D","Dark","")))</f>
        <v/>
      </c>
      <c r="P696">
        <f>_xlfn.XLOOKUP(Orders[[#This Row],[Customer ID]],customers!$A$1:$A$1001,customers!$I$1:$I$1001,,0)</f>
        <v/>
      </c>
    </row>
    <row r="697">
      <c r="A697" s="2" t="inlineStr">
        <is>
          <t>O2930</t>
        </is>
      </c>
      <c r="B697" s="3" t="inlineStr">
        <is>
          <t>2021-01-15</t>
        </is>
      </c>
      <c r="C697" s="2" t="inlineStr">
        <is>
          <t>O1552</t>
        </is>
      </c>
      <c r="D697" t="inlineStr">
        <is>
          <t>O3664</t>
        </is>
      </c>
      <c r="E697" s="2" t="n">
        <v>215</v>
      </c>
      <c r="F697" s="2">
        <f>_xlfn.XLOOKUP(C697,customers!$A$1:$A$1001,customers!$B$1:$B$1001,,0)</f>
        <v/>
      </c>
      <c r="G697" s="2">
        <f>IF(_xlfn.XLOOKUP(C697,customers!$A$1:$A$1001,customers!$C$1:$C$1001,,0)=0,"",_xlfn.XLOOKUP(C697,customers!$A$1:$A$1001,customers!$C$1:$C$1001,,0))</f>
        <v/>
      </c>
      <c r="H697" s="2">
        <f>_xlfn.XLOOKUP(C697,customers!$A$1:$A$1001,customers!$G$1:$G$1001,,0)</f>
        <v/>
      </c>
      <c r="I697">
        <f>INDEX(products!$A$1:$G$49,MATCH(orders!$D697,products!$A$1:$A$49,0),MATCH(orders!I$1,products!$A$1:$G$1,0))</f>
        <v/>
      </c>
      <c r="J697">
        <f>INDEX(products!$A$1:$G$49,MATCH(orders!$D697,products!$A$1:$A$49,0),MATCH(orders!J$1,products!$A$1:$G$1,0))</f>
        <v/>
      </c>
      <c r="K697" s="4">
        <f>INDEX(products!$A$1:$G$49,MATCH(orders!$D697,products!$A$1:$A$49,0),MATCH(orders!K$1,products!$A$1:$G$1,0))</f>
        <v/>
      </c>
      <c r="L697" s="5">
        <f>INDEX(products!$A$1:$G$49,MATCH(orders!$D697,products!$A$1:$A$49,0),MATCH(orders!L$1,products!$A$1:$G$1,0))</f>
        <v/>
      </c>
      <c r="M697" s="5">
        <f>L697*E697</f>
        <v/>
      </c>
      <c r="N697">
        <f>IF(I697="Rob","Robusta",IF(I697="Exc","Excelsa",IF(I697="Ara","Arabica",IF(I697="Lib","Liberica",""))))</f>
        <v/>
      </c>
      <c r="O697">
        <f>IF(J697="M","Medium",IF(J697="L","Light",IF(J697="D","Dark","")))</f>
        <v/>
      </c>
      <c r="P697">
        <f>_xlfn.XLOOKUP(Orders[[#This Row],[Customer ID]],customers!$A$1:$A$1001,customers!$I$1:$I$1001,,0)</f>
        <v/>
      </c>
    </row>
    <row r="698">
      <c r="A698" s="2" t="inlineStr">
        <is>
          <t>O1456</t>
        </is>
      </c>
      <c r="B698" s="3" t="inlineStr">
        <is>
          <t>2023-11-30</t>
        </is>
      </c>
      <c r="C698" s="2" t="inlineStr">
        <is>
          <t>O3838</t>
        </is>
      </c>
      <c r="D698" t="inlineStr">
        <is>
          <t>O8286</t>
        </is>
      </c>
      <c r="E698" s="2" t="n">
        <v>53</v>
      </c>
      <c r="F698" s="2">
        <f>_xlfn.XLOOKUP(C698,customers!$A$1:$A$1001,customers!$B$1:$B$1001,,0)</f>
        <v/>
      </c>
      <c r="G698" s="2">
        <f>IF(_xlfn.XLOOKUP(C698,customers!$A$1:$A$1001,customers!$C$1:$C$1001,,0)=0,"",_xlfn.XLOOKUP(C698,customers!$A$1:$A$1001,customers!$C$1:$C$1001,,0))</f>
        <v/>
      </c>
      <c r="H698" s="2">
        <f>_xlfn.XLOOKUP(C698,customers!$A$1:$A$1001,customers!$G$1:$G$1001,,0)</f>
        <v/>
      </c>
      <c r="I698">
        <f>INDEX(products!$A$1:$G$49,MATCH(orders!$D698,products!$A$1:$A$49,0),MATCH(orders!I$1,products!$A$1:$G$1,0))</f>
        <v/>
      </c>
      <c r="J698">
        <f>INDEX(products!$A$1:$G$49,MATCH(orders!$D698,products!$A$1:$A$49,0),MATCH(orders!J$1,products!$A$1:$G$1,0))</f>
        <v/>
      </c>
      <c r="K698" s="4">
        <f>INDEX(products!$A$1:$G$49,MATCH(orders!$D698,products!$A$1:$A$49,0),MATCH(orders!K$1,products!$A$1:$G$1,0))</f>
        <v/>
      </c>
      <c r="L698" s="5">
        <f>INDEX(products!$A$1:$G$49,MATCH(orders!$D698,products!$A$1:$A$49,0),MATCH(orders!L$1,products!$A$1:$G$1,0))</f>
        <v/>
      </c>
      <c r="M698" s="5">
        <f>L698*E698</f>
        <v/>
      </c>
      <c r="N698">
        <f>IF(I698="Rob","Robusta",IF(I698="Exc","Excelsa",IF(I698="Ara","Arabica",IF(I698="Lib","Liberica",""))))</f>
        <v/>
      </c>
      <c r="O698">
        <f>IF(J698="M","Medium",IF(J698="L","Light",IF(J698="D","Dark","")))</f>
        <v/>
      </c>
      <c r="P698">
        <f>_xlfn.XLOOKUP(Orders[[#This Row],[Customer ID]],customers!$A$1:$A$1001,customers!$I$1:$I$1001,,0)</f>
        <v/>
      </c>
    </row>
    <row r="699">
      <c r="A699" s="2" t="inlineStr">
        <is>
          <t>O7176</t>
        </is>
      </c>
      <c r="B699" s="3" t="inlineStr">
        <is>
          <t>2022-07-03</t>
        </is>
      </c>
      <c r="C699" s="2" t="inlineStr">
        <is>
          <t>O6173</t>
        </is>
      </c>
      <c r="D699" t="inlineStr">
        <is>
          <t>O8547</t>
        </is>
      </c>
      <c r="E699" s="2" t="n">
        <v>94</v>
      </c>
      <c r="F699" s="2">
        <f>_xlfn.XLOOKUP(C699,customers!$A$1:$A$1001,customers!$B$1:$B$1001,,0)</f>
        <v/>
      </c>
      <c r="G699" s="2">
        <f>IF(_xlfn.XLOOKUP(C699,customers!$A$1:$A$1001,customers!$C$1:$C$1001,,0)=0,"",_xlfn.XLOOKUP(C699,customers!$A$1:$A$1001,customers!$C$1:$C$1001,,0))</f>
        <v/>
      </c>
      <c r="H699" s="2">
        <f>_xlfn.XLOOKUP(C699,customers!$A$1:$A$1001,customers!$G$1:$G$1001,,0)</f>
        <v/>
      </c>
      <c r="I699">
        <f>INDEX(products!$A$1:$G$49,MATCH(orders!$D699,products!$A$1:$A$49,0),MATCH(orders!I$1,products!$A$1:$G$1,0))</f>
        <v/>
      </c>
      <c r="J699">
        <f>INDEX(products!$A$1:$G$49,MATCH(orders!$D699,products!$A$1:$A$49,0),MATCH(orders!J$1,products!$A$1:$G$1,0))</f>
        <v/>
      </c>
      <c r="K699" s="4">
        <f>INDEX(products!$A$1:$G$49,MATCH(orders!$D699,products!$A$1:$A$49,0),MATCH(orders!K$1,products!$A$1:$G$1,0))</f>
        <v/>
      </c>
      <c r="L699" s="5">
        <f>INDEX(products!$A$1:$G$49,MATCH(orders!$D699,products!$A$1:$A$49,0),MATCH(orders!L$1,products!$A$1:$G$1,0))</f>
        <v/>
      </c>
      <c r="M699" s="5">
        <f>L699*E699</f>
        <v/>
      </c>
      <c r="N699">
        <f>IF(I699="Rob","Robusta",IF(I699="Exc","Excelsa",IF(I699="Ara","Arabica",IF(I699="Lib","Liberica",""))))</f>
        <v/>
      </c>
      <c r="O699">
        <f>IF(J699="M","Medium",IF(J699="L","Light",IF(J699="D","Dark","")))</f>
        <v/>
      </c>
      <c r="P699">
        <f>_xlfn.XLOOKUP(Orders[[#This Row],[Customer ID]],customers!$A$1:$A$1001,customers!$I$1:$I$1001,,0)</f>
        <v/>
      </c>
    </row>
    <row r="700">
      <c r="A700" s="2" t="inlineStr">
        <is>
          <t>O3194</t>
        </is>
      </c>
      <c r="B700" s="3" t="inlineStr">
        <is>
          <t>2023-05-28</t>
        </is>
      </c>
      <c r="C700" s="2" t="inlineStr">
        <is>
          <t>O1489</t>
        </is>
      </c>
      <c r="D700" t="inlineStr">
        <is>
          <t>O9639</t>
        </is>
      </c>
      <c r="E700" s="2" t="n">
        <v>69</v>
      </c>
      <c r="F700" s="2">
        <f>_xlfn.XLOOKUP(C700,customers!$A$1:$A$1001,customers!$B$1:$B$1001,,0)</f>
        <v/>
      </c>
      <c r="G700" s="2">
        <f>IF(_xlfn.XLOOKUP(C700,customers!$A$1:$A$1001,customers!$C$1:$C$1001,,0)=0,"",_xlfn.XLOOKUP(C700,customers!$A$1:$A$1001,customers!$C$1:$C$1001,,0))</f>
        <v/>
      </c>
      <c r="H700" s="2">
        <f>_xlfn.XLOOKUP(C700,customers!$A$1:$A$1001,customers!$G$1:$G$1001,,0)</f>
        <v/>
      </c>
      <c r="I700">
        <f>INDEX(products!$A$1:$G$49,MATCH(orders!$D700,products!$A$1:$A$49,0),MATCH(orders!I$1,products!$A$1:$G$1,0))</f>
        <v/>
      </c>
      <c r="J700">
        <f>INDEX(products!$A$1:$G$49,MATCH(orders!$D700,products!$A$1:$A$49,0),MATCH(orders!J$1,products!$A$1:$G$1,0))</f>
        <v/>
      </c>
      <c r="K700" s="4">
        <f>INDEX(products!$A$1:$G$49,MATCH(orders!$D700,products!$A$1:$A$49,0),MATCH(orders!K$1,products!$A$1:$G$1,0))</f>
        <v/>
      </c>
      <c r="L700" s="5">
        <f>INDEX(products!$A$1:$G$49,MATCH(orders!$D700,products!$A$1:$A$49,0),MATCH(orders!L$1,products!$A$1:$G$1,0))</f>
        <v/>
      </c>
      <c r="M700" s="5">
        <f>L700*E700</f>
        <v/>
      </c>
      <c r="N700">
        <f>IF(I700="Rob","Robusta",IF(I700="Exc","Excelsa",IF(I700="Ara","Arabica",IF(I700="Lib","Liberica",""))))</f>
        <v/>
      </c>
      <c r="O700">
        <f>IF(J700="M","Medium",IF(J700="L","Light",IF(J700="D","Dark","")))</f>
        <v/>
      </c>
      <c r="P700">
        <f>_xlfn.XLOOKUP(Orders[[#This Row],[Customer ID]],customers!$A$1:$A$1001,customers!$I$1:$I$1001,,0)</f>
        <v/>
      </c>
    </row>
    <row r="701">
      <c r="A701" s="2" t="inlineStr">
        <is>
          <t>O3891</t>
        </is>
      </c>
      <c r="B701" s="3" t="inlineStr">
        <is>
          <t>2022-09-04</t>
        </is>
      </c>
      <c r="C701" s="2" t="inlineStr">
        <is>
          <t>O8377</t>
        </is>
      </c>
      <c r="D701" t="inlineStr">
        <is>
          <t>O9485</t>
        </is>
      </c>
      <c r="E701" s="2" t="n">
        <v>252</v>
      </c>
      <c r="F701" s="2">
        <f>_xlfn.XLOOKUP(C701,customers!$A$1:$A$1001,customers!$B$1:$B$1001,,0)</f>
        <v/>
      </c>
      <c r="G701" s="2">
        <f>IF(_xlfn.XLOOKUP(C701,customers!$A$1:$A$1001,customers!$C$1:$C$1001,,0)=0,"",_xlfn.XLOOKUP(C701,customers!$A$1:$A$1001,customers!$C$1:$C$1001,,0))</f>
        <v/>
      </c>
      <c r="H701" s="2">
        <f>_xlfn.XLOOKUP(C701,customers!$A$1:$A$1001,customers!$G$1:$G$1001,,0)</f>
        <v/>
      </c>
      <c r="I701">
        <f>INDEX(products!$A$1:$G$49,MATCH(orders!$D701,products!$A$1:$A$49,0),MATCH(orders!I$1,products!$A$1:$G$1,0))</f>
        <v/>
      </c>
      <c r="J701">
        <f>INDEX(products!$A$1:$G$49,MATCH(orders!$D701,products!$A$1:$A$49,0),MATCH(orders!J$1,products!$A$1:$G$1,0))</f>
        <v/>
      </c>
      <c r="K701" s="4">
        <f>INDEX(products!$A$1:$G$49,MATCH(orders!$D701,products!$A$1:$A$49,0),MATCH(orders!K$1,products!$A$1:$G$1,0))</f>
        <v/>
      </c>
      <c r="L701" s="5">
        <f>INDEX(products!$A$1:$G$49,MATCH(orders!$D701,products!$A$1:$A$49,0),MATCH(orders!L$1,products!$A$1:$G$1,0))</f>
        <v/>
      </c>
      <c r="M701" s="5">
        <f>L701*E701</f>
        <v/>
      </c>
      <c r="N701">
        <f>IF(I701="Rob","Robusta",IF(I701="Exc","Excelsa",IF(I701="Ara","Arabica",IF(I701="Lib","Liberica",""))))</f>
        <v/>
      </c>
      <c r="O701">
        <f>IF(J701="M","Medium",IF(J701="L","Light",IF(J701="D","Dark","")))</f>
        <v/>
      </c>
      <c r="P701">
        <f>_xlfn.XLOOKUP(Orders[[#This Row],[Customer ID]],customers!$A$1:$A$1001,customers!$I$1:$I$1001,,0)</f>
        <v/>
      </c>
    </row>
    <row r="702">
      <c r="A702" s="2" t="inlineStr">
        <is>
          <t>O3756</t>
        </is>
      </c>
      <c r="B702" s="3" t="inlineStr">
        <is>
          <t>2020-12-20</t>
        </is>
      </c>
      <c r="C702" s="2" t="inlineStr">
        <is>
          <t>O5638</t>
        </is>
      </c>
      <c r="D702" t="inlineStr">
        <is>
          <t>O9338</t>
        </is>
      </c>
      <c r="E702" s="2" t="n">
        <v>391</v>
      </c>
      <c r="F702" s="2">
        <f>_xlfn.XLOOKUP(C702,customers!$A$1:$A$1001,customers!$B$1:$B$1001,,0)</f>
        <v/>
      </c>
      <c r="G702" s="2">
        <f>IF(_xlfn.XLOOKUP(C702,customers!$A$1:$A$1001,customers!$C$1:$C$1001,,0)=0,"",_xlfn.XLOOKUP(C702,customers!$A$1:$A$1001,customers!$C$1:$C$1001,,0))</f>
        <v/>
      </c>
      <c r="H702" s="2">
        <f>_xlfn.XLOOKUP(C702,customers!$A$1:$A$1001,customers!$G$1:$G$1001,,0)</f>
        <v/>
      </c>
      <c r="I702">
        <f>INDEX(products!$A$1:$G$49,MATCH(orders!$D702,products!$A$1:$A$49,0),MATCH(orders!I$1,products!$A$1:$G$1,0))</f>
        <v/>
      </c>
      <c r="J702">
        <f>INDEX(products!$A$1:$G$49,MATCH(orders!$D702,products!$A$1:$A$49,0),MATCH(orders!J$1,products!$A$1:$G$1,0))</f>
        <v/>
      </c>
      <c r="K702" s="4">
        <f>INDEX(products!$A$1:$G$49,MATCH(orders!$D702,products!$A$1:$A$49,0),MATCH(orders!K$1,products!$A$1:$G$1,0))</f>
        <v/>
      </c>
      <c r="L702" s="5">
        <f>INDEX(products!$A$1:$G$49,MATCH(orders!$D702,products!$A$1:$A$49,0),MATCH(orders!L$1,products!$A$1:$G$1,0))</f>
        <v/>
      </c>
      <c r="M702" s="5">
        <f>L702*E702</f>
        <v/>
      </c>
      <c r="N702">
        <f>IF(I702="Rob","Robusta",IF(I702="Exc","Excelsa",IF(I702="Ara","Arabica",IF(I702="Lib","Liberica",""))))</f>
        <v/>
      </c>
      <c r="O702">
        <f>IF(J702="M","Medium",IF(J702="L","Light",IF(J702="D","Dark","")))</f>
        <v/>
      </c>
      <c r="P702">
        <f>_xlfn.XLOOKUP(Orders[[#This Row],[Customer ID]],customers!$A$1:$A$1001,customers!$I$1:$I$1001,,0)</f>
        <v/>
      </c>
    </row>
    <row r="703">
      <c r="A703" s="2" t="inlineStr">
        <is>
          <t>O2512</t>
        </is>
      </c>
      <c r="B703" s="3" t="inlineStr">
        <is>
          <t>2020-11-06</t>
        </is>
      </c>
      <c r="C703" s="2" t="inlineStr">
        <is>
          <t>O9087</t>
        </is>
      </c>
      <c r="D703" t="inlineStr">
        <is>
          <t>O1558</t>
        </is>
      </c>
      <c r="E703" s="2" t="n">
        <v>414</v>
      </c>
      <c r="F703" s="2">
        <f>_xlfn.XLOOKUP(C703,customers!$A$1:$A$1001,customers!$B$1:$B$1001,,0)</f>
        <v/>
      </c>
      <c r="G703" s="2">
        <f>IF(_xlfn.XLOOKUP(C703,customers!$A$1:$A$1001,customers!$C$1:$C$1001,,0)=0,"",_xlfn.XLOOKUP(C703,customers!$A$1:$A$1001,customers!$C$1:$C$1001,,0))</f>
        <v/>
      </c>
      <c r="H703" s="2">
        <f>_xlfn.XLOOKUP(C703,customers!$A$1:$A$1001,customers!$G$1:$G$1001,,0)</f>
        <v/>
      </c>
      <c r="I703">
        <f>INDEX(products!$A$1:$G$49,MATCH(orders!$D703,products!$A$1:$A$49,0),MATCH(orders!I$1,products!$A$1:$G$1,0))</f>
        <v/>
      </c>
      <c r="J703">
        <f>INDEX(products!$A$1:$G$49,MATCH(orders!$D703,products!$A$1:$A$49,0),MATCH(orders!J$1,products!$A$1:$G$1,0))</f>
        <v/>
      </c>
      <c r="K703" s="4">
        <f>INDEX(products!$A$1:$G$49,MATCH(orders!$D703,products!$A$1:$A$49,0),MATCH(orders!K$1,products!$A$1:$G$1,0))</f>
        <v/>
      </c>
      <c r="L703" s="5">
        <f>INDEX(products!$A$1:$G$49,MATCH(orders!$D703,products!$A$1:$A$49,0),MATCH(orders!L$1,products!$A$1:$G$1,0))</f>
        <v/>
      </c>
      <c r="M703" s="5">
        <f>L703*E703</f>
        <v/>
      </c>
      <c r="N703">
        <f>IF(I703="Rob","Robusta",IF(I703="Exc","Excelsa",IF(I703="Ara","Arabica",IF(I703="Lib","Liberica",""))))</f>
        <v/>
      </c>
      <c r="O703">
        <f>IF(J703="M","Medium",IF(J703="L","Light",IF(J703="D","Dark","")))</f>
        <v/>
      </c>
      <c r="P703">
        <f>_xlfn.XLOOKUP(Orders[[#This Row],[Customer ID]],customers!$A$1:$A$1001,customers!$I$1:$I$1001,,0)</f>
        <v/>
      </c>
    </row>
    <row r="704">
      <c r="A704" s="2" t="inlineStr">
        <is>
          <t>O2722</t>
        </is>
      </c>
      <c r="B704" s="3" t="inlineStr">
        <is>
          <t>2022-10-19</t>
        </is>
      </c>
      <c r="C704" s="2" t="inlineStr">
        <is>
          <t>O8616</t>
        </is>
      </c>
      <c r="D704" t="inlineStr">
        <is>
          <t>O1783</t>
        </is>
      </c>
      <c r="E704" s="2" t="n">
        <v>309</v>
      </c>
      <c r="F704" s="2">
        <f>_xlfn.XLOOKUP(C704,customers!$A$1:$A$1001,customers!$B$1:$B$1001,,0)</f>
        <v/>
      </c>
      <c r="G704" s="2">
        <f>IF(_xlfn.XLOOKUP(C704,customers!$A$1:$A$1001,customers!$C$1:$C$1001,,0)=0,"",_xlfn.XLOOKUP(C704,customers!$A$1:$A$1001,customers!$C$1:$C$1001,,0))</f>
        <v/>
      </c>
      <c r="H704" s="2">
        <f>_xlfn.XLOOKUP(C704,customers!$A$1:$A$1001,customers!$G$1:$G$1001,,0)</f>
        <v/>
      </c>
      <c r="I704">
        <f>INDEX(products!$A$1:$G$49,MATCH(orders!$D704,products!$A$1:$A$49,0),MATCH(orders!I$1,products!$A$1:$G$1,0))</f>
        <v/>
      </c>
      <c r="J704">
        <f>INDEX(products!$A$1:$G$49,MATCH(orders!$D704,products!$A$1:$A$49,0),MATCH(orders!J$1,products!$A$1:$G$1,0))</f>
        <v/>
      </c>
      <c r="K704" s="4">
        <f>INDEX(products!$A$1:$G$49,MATCH(orders!$D704,products!$A$1:$A$49,0),MATCH(orders!K$1,products!$A$1:$G$1,0))</f>
        <v/>
      </c>
      <c r="L704" s="5">
        <f>INDEX(products!$A$1:$G$49,MATCH(orders!$D704,products!$A$1:$A$49,0),MATCH(orders!L$1,products!$A$1:$G$1,0))</f>
        <v/>
      </c>
      <c r="M704" s="5">
        <f>L704*E704</f>
        <v/>
      </c>
      <c r="N704">
        <f>IF(I704="Rob","Robusta",IF(I704="Exc","Excelsa",IF(I704="Ara","Arabica",IF(I704="Lib","Liberica",""))))</f>
        <v/>
      </c>
      <c r="O704">
        <f>IF(J704="M","Medium",IF(J704="L","Light",IF(J704="D","Dark","")))</f>
        <v/>
      </c>
      <c r="P704">
        <f>_xlfn.XLOOKUP(Orders[[#This Row],[Customer ID]],customers!$A$1:$A$1001,customers!$I$1:$I$1001,,0)</f>
        <v/>
      </c>
    </row>
    <row r="705">
      <c r="A705" s="2" t="inlineStr">
        <is>
          <t>O7834</t>
        </is>
      </c>
      <c r="B705" s="3" t="inlineStr">
        <is>
          <t>2025-08-25</t>
        </is>
      </c>
      <c r="C705" s="2" t="inlineStr">
        <is>
          <t>O6785</t>
        </is>
      </c>
      <c r="D705" t="inlineStr">
        <is>
          <t>O8811</t>
        </is>
      </c>
      <c r="E705" s="2" t="n">
        <v>207</v>
      </c>
      <c r="F705" s="2">
        <f>_xlfn.XLOOKUP(C705,customers!$A$1:$A$1001,customers!$B$1:$B$1001,,0)</f>
        <v/>
      </c>
      <c r="G705" s="2">
        <f>IF(_xlfn.XLOOKUP(C705,customers!$A$1:$A$1001,customers!$C$1:$C$1001,,0)=0,"",_xlfn.XLOOKUP(C705,customers!$A$1:$A$1001,customers!$C$1:$C$1001,,0))</f>
        <v/>
      </c>
      <c r="H705" s="2">
        <f>_xlfn.XLOOKUP(C705,customers!$A$1:$A$1001,customers!$G$1:$G$1001,,0)</f>
        <v/>
      </c>
      <c r="I705">
        <f>INDEX(products!$A$1:$G$49,MATCH(orders!$D705,products!$A$1:$A$49,0),MATCH(orders!I$1,products!$A$1:$G$1,0))</f>
        <v/>
      </c>
      <c r="J705">
        <f>INDEX(products!$A$1:$G$49,MATCH(orders!$D705,products!$A$1:$A$49,0),MATCH(orders!J$1,products!$A$1:$G$1,0))</f>
        <v/>
      </c>
      <c r="K705" s="4">
        <f>INDEX(products!$A$1:$G$49,MATCH(orders!$D705,products!$A$1:$A$49,0),MATCH(orders!K$1,products!$A$1:$G$1,0))</f>
        <v/>
      </c>
      <c r="L705" s="5">
        <f>INDEX(products!$A$1:$G$49,MATCH(orders!$D705,products!$A$1:$A$49,0),MATCH(orders!L$1,products!$A$1:$G$1,0))</f>
        <v/>
      </c>
      <c r="M705" s="5">
        <f>L705*E705</f>
        <v/>
      </c>
      <c r="N705">
        <f>IF(I705="Rob","Robusta",IF(I705="Exc","Excelsa",IF(I705="Ara","Arabica",IF(I705="Lib","Liberica",""))))</f>
        <v/>
      </c>
      <c r="O705">
        <f>IF(J705="M","Medium",IF(J705="L","Light",IF(J705="D","Dark","")))</f>
        <v/>
      </c>
      <c r="P705">
        <f>_xlfn.XLOOKUP(Orders[[#This Row],[Customer ID]],customers!$A$1:$A$1001,customers!$I$1:$I$1001,,0)</f>
        <v/>
      </c>
    </row>
    <row r="706">
      <c r="A706" s="2" t="inlineStr">
        <is>
          <t>O4785</t>
        </is>
      </c>
      <c r="B706" s="3" t="inlineStr">
        <is>
          <t>2023-03-16</t>
        </is>
      </c>
      <c r="C706" s="2" t="inlineStr">
        <is>
          <t>O4734</t>
        </is>
      </c>
      <c r="D706" t="inlineStr">
        <is>
          <t>O1530</t>
        </is>
      </c>
      <c r="E706" s="2" t="n">
        <v>486</v>
      </c>
      <c r="F706" s="2">
        <f>_xlfn.XLOOKUP(C706,customers!$A$1:$A$1001,customers!$B$1:$B$1001,,0)</f>
        <v/>
      </c>
      <c r="G706" s="2">
        <f>IF(_xlfn.XLOOKUP(C706,customers!$A$1:$A$1001,customers!$C$1:$C$1001,,0)=0,"",_xlfn.XLOOKUP(C706,customers!$A$1:$A$1001,customers!$C$1:$C$1001,,0))</f>
        <v/>
      </c>
      <c r="H706" s="2">
        <f>_xlfn.XLOOKUP(C706,customers!$A$1:$A$1001,customers!$G$1:$G$1001,,0)</f>
        <v/>
      </c>
      <c r="I706">
        <f>INDEX(products!$A$1:$G$49,MATCH(orders!$D706,products!$A$1:$A$49,0),MATCH(orders!I$1,products!$A$1:$G$1,0))</f>
        <v/>
      </c>
      <c r="J706">
        <f>INDEX(products!$A$1:$G$49,MATCH(orders!$D706,products!$A$1:$A$49,0),MATCH(orders!J$1,products!$A$1:$G$1,0))</f>
        <v/>
      </c>
      <c r="K706" s="4">
        <f>INDEX(products!$A$1:$G$49,MATCH(orders!$D706,products!$A$1:$A$49,0),MATCH(orders!K$1,products!$A$1:$G$1,0))</f>
        <v/>
      </c>
      <c r="L706" s="5">
        <f>INDEX(products!$A$1:$G$49,MATCH(orders!$D706,products!$A$1:$A$49,0),MATCH(orders!L$1,products!$A$1:$G$1,0))</f>
        <v/>
      </c>
      <c r="M706" s="5">
        <f>L706*E706</f>
        <v/>
      </c>
      <c r="N706">
        <f>IF(I706="Rob","Robusta",IF(I706="Exc","Excelsa",IF(I706="Ara","Arabica",IF(I706="Lib","Liberica",""))))</f>
        <v/>
      </c>
      <c r="O706">
        <f>IF(J706="M","Medium",IF(J706="L","Light",IF(J706="D","Dark","")))</f>
        <v/>
      </c>
      <c r="P706">
        <f>_xlfn.XLOOKUP(Orders[[#This Row],[Customer ID]],customers!$A$1:$A$1001,customers!$I$1:$I$1001,,0)</f>
        <v/>
      </c>
    </row>
    <row r="707">
      <c r="A707" s="2" t="inlineStr">
        <is>
          <t>O9524</t>
        </is>
      </c>
      <c r="B707" s="3" t="inlineStr">
        <is>
          <t>2024-12-10</t>
        </is>
      </c>
      <c r="C707" s="2" t="inlineStr">
        <is>
          <t>O5782</t>
        </is>
      </c>
      <c r="D707" t="inlineStr">
        <is>
          <t>O9661</t>
        </is>
      </c>
      <c r="E707" s="2" t="n">
        <v>172</v>
      </c>
      <c r="F707" s="2">
        <f>_xlfn.XLOOKUP(C707,customers!$A$1:$A$1001,customers!$B$1:$B$1001,,0)</f>
        <v/>
      </c>
      <c r="G707" s="2">
        <f>IF(_xlfn.XLOOKUP(C707,customers!$A$1:$A$1001,customers!$C$1:$C$1001,,0)=0,"",_xlfn.XLOOKUP(C707,customers!$A$1:$A$1001,customers!$C$1:$C$1001,,0))</f>
        <v/>
      </c>
      <c r="H707" s="2">
        <f>_xlfn.XLOOKUP(C707,customers!$A$1:$A$1001,customers!$G$1:$G$1001,,0)</f>
        <v/>
      </c>
      <c r="I707">
        <f>INDEX(products!$A$1:$G$49,MATCH(orders!$D707,products!$A$1:$A$49,0),MATCH(orders!I$1,products!$A$1:$G$1,0))</f>
        <v/>
      </c>
      <c r="J707">
        <f>INDEX(products!$A$1:$G$49,MATCH(orders!$D707,products!$A$1:$A$49,0),MATCH(orders!J$1,products!$A$1:$G$1,0))</f>
        <v/>
      </c>
      <c r="K707" s="4">
        <f>INDEX(products!$A$1:$G$49,MATCH(orders!$D707,products!$A$1:$A$49,0),MATCH(orders!K$1,products!$A$1:$G$1,0))</f>
        <v/>
      </c>
      <c r="L707" s="5">
        <f>INDEX(products!$A$1:$G$49,MATCH(orders!$D707,products!$A$1:$A$49,0),MATCH(orders!L$1,products!$A$1:$G$1,0))</f>
        <v/>
      </c>
      <c r="M707" s="5">
        <f>L707*E707</f>
        <v/>
      </c>
      <c r="N707">
        <f>IF(I707="Rob","Robusta",IF(I707="Exc","Excelsa",IF(I707="Ara","Arabica",IF(I707="Lib","Liberica",""))))</f>
        <v/>
      </c>
      <c r="O707">
        <f>IF(J707="M","Medium",IF(J707="L","Light",IF(J707="D","Dark","")))</f>
        <v/>
      </c>
      <c r="P707">
        <f>_xlfn.XLOOKUP(Orders[[#This Row],[Customer ID]],customers!$A$1:$A$1001,customers!$I$1:$I$1001,,0)</f>
        <v/>
      </c>
    </row>
    <row r="708">
      <c r="A708" s="2" t="inlineStr">
        <is>
          <t>O6946</t>
        </is>
      </c>
      <c r="B708" s="3" t="inlineStr">
        <is>
          <t>2022-09-26</t>
        </is>
      </c>
      <c r="C708" s="2" t="inlineStr">
        <is>
          <t>O9797</t>
        </is>
      </c>
      <c r="D708" t="inlineStr">
        <is>
          <t>O4453</t>
        </is>
      </c>
      <c r="E708" s="2" t="n">
        <v>92</v>
      </c>
      <c r="F708" s="2">
        <f>_xlfn.XLOOKUP(C708,customers!$A$1:$A$1001,customers!$B$1:$B$1001,,0)</f>
        <v/>
      </c>
      <c r="G708" s="2">
        <f>IF(_xlfn.XLOOKUP(C708,customers!$A$1:$A$1001,customers!$C$1:$C$1001,,0)=0,"",_xlfn.XLOOKUP(C708,customers!$A$1:$A$1001,customers!$C$1:$C$1001,,0))</f>
        <v/>
      </c>
      <c r="H708" s="2">
        <f>_xlfn.XLOOKUP(C708,customers!$A$1:$A$1001,customers!$G$1:$G$1001,,0)</f>
        <v/>
      </c>
      <c r="I708">
        <f>INDEX(products!$A$1:$G$49,MATCH(orders!$D708,products!$A$1:$A$49,0),MATCH(orders!I$1,products!$A$1:$G$1,0))</f>
        <v/>
      </c>
      <c r="J708">
        <f>INDEX(products!$A$1:$G$49,MATCH(orders!$D708,products!$A$1:$A$49,0),MATCH(orders!J$1,products!$A$1:$G$1,0))</f>
        <v/>
      </c>
      <c r="K708" s="4">
        <f>INDEX(products!$A$1:$G$49,MATCH(orders!$D708,products!$A$1:$A$49,0),MATCH(orders!K$1,products!$A$1:$G$1,0))</f>
        <v/>
      </c>
      <c r="L708" s="5">
        <f>INDEX(products!$A$1:$G$49,MATCH(orders!$D708,products!$A$1:$A$49,0),MATCH(orders!L$1,products!$A$1:$G$1,0))</f>
        <v/>
      </c>
      <c r="M708" s="5">
        <f>L708*E708</f>
        <v/>
      </c>
      <c r="N708">
        <f>IF(I708="Rob","Robusta",IF(I708="Exc","Excelsa",IF(I708="Ara","Arabica",IF(I708="Lib","Liberica",""))))</f>
        <v/>
      </c>
      <c r="O708">
        <f>IF(J708="M","Medium",IF(J708="L","Light",IF(J708="D","Dark","")))</f>
        <v/>
      </c>
      <c r="P708">
        <f>_xlfn.XLOOKUP(Orders[[#This Row],[Customer ID]],customers!$A$1:$A$1001,customers!$I$1:$I$1001,,0)</f>
        <v/>
      </c>
    </row>
    <row r="709">
      <c r="A709" s="2" t="inlineStr">
        <is>
          <t>O4597</t>
        </is>
      </c>
      <c r="B709" s="3" t="inlineStr">
        <is>
          <t>2024-09-10</t>
        </is>
      </c>
      <c r="C709" s="2" t="inlineStr">
        <is>
          <t>O3644</t>
        </is>
      </c>
      <c r="D709" t="inlineStr">
        <is>
          <t>O8701</t>
        </is>
      </c>
      <c r="E709" s="2" t="n">
        <v>381</v>
      </c>
      <c r="F709" s="2">
        <f>_xlfn.XLOOKUP(C709,customers!$A$1:$A$1001,customers!$B$1:$B$1001,,0)</f>
        <v/>
      </c>
      <c r="G709" s="2">
        <f>IF(_xlfn.XLOOKUP(C709,customers!$A$1:$A$1001,customers!$C$1:$C$1001,,0)=0,"",_xlfn.XLOOKUP(C709,customers!$A$1:$A$1001,customers!$C$1:$C$1001,,0))</f>
        <v/>
      </c>
      <c r="H709" s="2">
        <f>_xlfn.XLOOKUP(C709,customers!$A$1:$A$1001,customers!$G$1:$G$1001,,0)</f>
        <v/>
      </c>
      <c r="I709">
        <f>INDEX(products!$A$1:$G$49,MATCH(orders!$D709,products!$A$1:$A$49,0),MATCH(orders!I$1,products!$A$1:$G$1,0))</f>
        <v/>
      </c>
      <c r="J709">
        <f>INDEX(products!$A$1:$G$49,MATCH(orders!$D709,products!$A$1:$A$49,0),MATCH(orders!J$1,products!$A$1:$G$1,0))</f>
        <v/>
      </c>
      <c r="K709" s="4">
        <f>INDEX(products!$A$1:$G$49,MATCH(orders!$D709,products!$A$1:$A$49,0),MATCH(orders!K$1,products!$A$1:$G$1,0))</f>
        <v/>
      </c>
      <c r="L709" s="5">
        <f>INDEX(products!$A$1:$G$49,MATCH(orders!$D709,products!$A$1:$A$49,0),MATCH(orders!L$1,products!$A$1:$G$1,0))</f>
        <v/>
      </c>
      <c r="M709" s="5">
        <f>L709*E709</f>
        <v/>
      </c>
      <c r="N709">
        <f>IF(I709="Rob","Robusta",IF(I709="Exc","Excelsa",IF(I709="Ara","Arabica",IF(I709="Lib","Liberica",""))))</f>
        <v/>
      </c>
      <c r="O709">
        <f>IF(J709="M","Medium",IF(J709="L","Light",IF(J709="D","Dark","")))</f>
        <v/>
      </c>
      <c r="P709">
        <f>_xlfn.XLOOKUP(Orders[[#This Row],[Customer ID]],customers!$A$1:$A$1001,customers!$I$1:$I$1001,,0)</f>
        <v/>
      </c>
    </row>
    <row r="710">
      <c r="A710" s="2" t="inlineStr">
        <is>
          <t>O9716</t>
        </is>
      </c>
      <c r="B710" s="3" t="inlineStr">
        <is>
          <t>2022-05-23</t>
        </is>
      </c>
      <c r="C710" s="2" t="inlineStr">
        <is>
          <t>O5448</t>
        </is>
      </c>
      <c r="D710" t="inlineStr">
        <is>
          <t>O4864</t>
        </is>
      </c>
      <c r="E710" s="2" t="n">
        <v>307</v>
      </c>
      <c r="F710" s="2">
        <f>_xlfn.XLOOKUP(C710,customers!$A$1:$A$1001,customers!$B$1:$B$1001,,0)</f>
        <v/>
      </c>
      <c r="G710" s="2">
        <f>IF(_xlfn.XLOOKUP(C710,customers!$A$1:$A$1001,customers!$C$1:$C$1001,,0)=0,"",_xlfn.XLOOKUP(C710,customers!$A$1:$A$1001,customers!$C$1:$C$1001,,0))</f>
        <v/>
      </c>
      <c r="H710" s="2">
        <f>_xlfn.XLOOKUP(C710,customers!$A$1:$A$1001,customers!$G$1:$G$1001,,0)</f>
        <v/>
      </c>
      <c r="I710">
        <f>INDEX(products!$A$1:$G$49,MATCH(orders!$D710,products!$A$1:$A$49,0),MATCH(orders!I$1,products!$A$1:$G$1,0))</f>
        <v/>
      </c>
      <c r="J710">
        <f>INDEX(products!$A$1:$G$49,MATCH(orders!$D710,products!$A$1:$A$49,0),MATCH(orders!J$1,products!$A$1:$G$1,0))</f>
        <v/>
      </c>
      <c r="K710" s="4">
        <f>INDEX(products!$A$1:$G$49,MATCH(orders!$D710,products!$A$1:$A$49,0),MATCH(orders!K$1,products!$A$1:$G$1,0))</f>
        <v/>
      </c>
      <c r="L710" s="5">
        <f>INDEX(products!$A$1:$G$49,MATCH(orders!$D710,products!$A$1:$A$49,0),MATCH(orders!L$1,products!$A$1:$G$1,0))</f>
        <v/>
      </c>
      <c r="M710" s="5">
        <f>L710*E710</f>
        <v/>
      </c>
      <c r="N710">
        <f>IF(I710="Rob","Robusta",IF(I710="Exc","Excelsa",IF(I710="Ara","Arabica",IF(I710="Lib","Liberica",""))))</f>
        <v/>
      </c>
      <c r="O710">
        <f>IF(J710="M","Medium",IF(J710="L","Light",IF(J710="D","Dark","")))</f>
        <v/>
      </c>
      <c r="P710">
        <f>_xlfn.XLOOKUP(Orders[[#This Row],[Customer ID]],customers!$A$1:$A$1001,customers!$I$1:$I$1001,,0)</f>
        <v/>
      </c>
    </row>
    <row r="711">
      <c r="A711" s="2" t="inlineStr">
        <is>
          <t>O1382</t>
        </is>
      </c>
      <c r="B711" s="3" t="inlineStr">
        <is>
          <t>2023-07-29</t>
        </is>
      </c>
      <c r="C711" s="2" t="inlineStr">
        <is>
          <t>O2399</t>
        </is>
      </c>
      <c r="D711" t="inlineStr">
        <is>
          <t>O3439</t>
        </is>
      </c>
      <c r="E711" s="2" t="n">
        <v>284</v>
      </c>
      <c r="F711" s="2">
        <f>_xlfn.XLOOKUP(C711,customers!$A$1:$A$1001,customers!$B$1:$B$1001,,0)</f>
        <v/>
      </c>
      <c r="G711" s="2">
        <f>IF(_xlfn.XLOOKUP(C711,customers!$A$1:$A$1001,customers!$C$1:$C$1001,,0)=0,"",_xlfn.XLOOKUP(C711,customers!$A$1:$A$1001,customers!$C$1:$C$1001,,0))</f>
        <v/>
      </c>
      <c r="H711" s="2">
        <f>_xlfn.XLOOKUP(C711,customers!$A$1:$A$1001,customers!$G$1:$G$1001,,0)</f>
        <v/>
      </c>
      <c r="I711">
        <f>INDEX(products!$A$1:$G$49,MATCH(orders!$D711,products!$A$1:$A$49,0),MATCH(orders!I$1,products!$A$1:$G$1,0))</f>
        <v/>
      </c>
      <c r="J711">
        <f>INDEX(products!$A$1:$G$49,MATCH(orders!$D711,products!$A$1:$A$49,0),MATCH(orders!J$1,products!$A$1:$G$1,0))</f>
        <v/>
      </c>
      <c r="K711" s="4">
        <f>INDEX(products!$A$1:$G$49,MATCH(orders!$D711,products!$A$1:$A$49,0),MATCH(orders!K$1,products!$A$1:$G$1,0))</f>
        <v/>
      </c>
      <c r="L711" s="5">
        <f>INDEX(products!$A$1:$G$49,MATCH(orders!$D711,products!$A$1:$A$49,0),MATCH(orders!L$1,products!$A$1:$G$1,0))</f>
        <v/>
      </c>
      <c r="M711" s="5">
        <f>L711*E711</f>
        <v/>
      </c>
      <c r="N711">
        <f>IF(I711="Rob","Robusta",IF(I711="Exc","Excelsa",IF(I711="Ara","Arabica",IF(I711="Lib","Liberica",""))))</f>
        <v/>
      </c>
      <c r="O711">
        <f>IF(J711="M","Medium",IF(J711="L","Light",IF(J711="D","Dark","")))</f>
        <v/>
      </c>
      <c r="P711">
        <f>_xlfn.XLOOKUP(Orders[[#This Row],[Customer ID]],customers!$A$1:$A$1001,customers!$I$1:$I$1001,,0)</f>
        <v/>
      </c>
    </row>
    <row r="712">
      <c r="A712" s="2" t="inlineStr">
        <is>
          <t>O1596</t>
        </is>
      </c>
      <c r="B712" s="3" t="inlineStr">
        <is>
          <t>2022-06-18</t>
        </is>
      </c>
      <c r="C712" s="2" t="inlineStr">
        <is>
          <t>O8627</t>
        </is>
      </c>
      <c r="D712" t="inlineStr">
        <is>
          <t>O1181</t>
        </is>
      </c>
      <c r="E712" s="2" t="n">
        <v>468</v>
      </c>
      <c r="F712" s="2">
        <f>_xlfn.XLOOKUP(C712,customers!$A$1:$A$1001,customers!$B$1:$B$1001,,0)</f>
        <v/>
      </c>
      <c r="G712" s="2">
        <f>IF(_xlfn.XLOOKUP(C712,customers!$A$1:$A$1001,customers!$C$1:$C$1001,,0)=0,"",_xlfn.XLOOKUP(C712,customers!$A$1:$A$1001,customers!$C$1:$C$1001,,0))</f>
        <v/>
      </c>
      <c r="H712" s="2">
        <f>_xlfn.XLOOKUP(C712,customers!$A$1:$A$1001,customers!$G$1:$G$1001,,0)</f>
        <v/>
      </c>
      <c r="I712">
        <f>INDEX(products!$A$1:$G$49,MATCH(orders!$D712,products!$A$1:$A$49,0),MATCH(orders!I$1,products!$A$1:$G$1,0))</f>
        <v/>
      </c>
      <c r="J712">
        <f>INDEX(products!$A$1:$G$49,MATCH(orders!$D712,products!$A$1:$A$49,0),MATCH(orders!J$1,products!$A$1:$G$1,0))</f>
        <v/>
      </c>
      <c r="K712" s="4">
        <f>INDEX(products!$A$1:$G$49,MATCH(orders!$D712,products!$A$1:$A$49,0),MATCH(orders!K$1,products!$A$1:$G$1,0))</f>
        <v/>
      </c>
      <c r="L712" s="5">
        <f>INDEX(products!$A$1:$G$49,MATCH(orders!$D712,products!$A$1:$A$49,0),MATCH(orders!L$1,products!$A$1:$G$1,0))</f>
        <v/>
      </c>
      <c r="M712" s="5">
        <f>L712*E712</f>
        <v/>
      </c>
      <c r="N712">
        <f>IF(I712="Rob","Robusta",IF(I712="Exc","Excelsa",IF(I712="Ara","Arabica",IF(I712="Lib","Liberica",""))))</f>
        <v/>
      </c>
      <c r="O712">
        <f>IF(J712="M","Medium",IF(J712="L","Light",IF(J712="D","Dark","")))</f>
        <v/>
      </c>
      <c r="P712">
        <f>_xlfn.XLOOKUP(Orders[[#This Row],[Customer ID]],customers!$A$1:$A$1001,customers!$I$1:$I$1001,,0)</f>
        <v/>
      </c>
    </row>
    <row r="713">
      <c r="A713" s="2" t="inlineStr">
        <is>
          <t>O9446</t>
        </is>
      </c>
      <c r="B713" s="3" t="inlineStr">
        <is>
          <t>2022-08-05</t>
        </is>
      </c>
      <c r="C713" s="2" t="inlineStr">
        <is>
          <t>O5934</t>
        </is>
      </c>
      <c r="D713" t="inlineStr">
        <is>
          <t>O2162</t>
        </is>
      </c>
      <c r="E713" s="2" t="n">
        <v>107</v>
      </c>
      <c r="F713" s="2">
        <f>_xlfn.XLOOKUP(C713,customers!$A$1:$A$1001,customers!$B$1:$B$1001,,0)</f>
        <v/>
      </c>
      <c r="G713" s="2">
        <f>IF(_xlfn.XLOOKUP(C713,customers!$A$1:$A$1001,customers!$C$1:$C$1001,,0)=0,"",_xlfn.XLOOKUP(C713,customers!$A$1:$A$1001,customers!$C$1:$C$1001,,0))</f>
        <v/>
      </c>
      <c r="H713" s="2">
        <f>_xlfn.XLOOKUP(C713,customers!$A$1:$A$1001,customers!$G$1:$G$1001,,0)</f>
        <v/>
      </c>
      <c r="I713">
        <f>INDEX(products!$A$1:$G$49,MATCH(orders!$D713,products!$A$1:$A$49,0),MATCH(orders!I$1,products!$A$1:$G$1,0))</f>
        <v/>
      </c>
      <c r="J713">
        <f>INDEX(products!$A$1:$G$49,MATCH(orders!$D713,products!$A$1:$A$49,0),MATCH(orders!J$1,products!$A$1:$G$1,0))</f>
        <v/>
      </c>
      <c r="K713" s="4">
        <f>INDEX(products!$A$1:$G$49,MATCH(orders!$D713,products!$A$1:$A$49,0),MATCH(orders!K$1,products!$A$1:$G$1,0))</f>
        <v/>
      </c>
      <c r="L713" s="5">
        <f>INDEX(products!$A$1:$G$49,MATCH(orders!$D713,products!$A$1:$A$49,0),MATCH(orders!L$1,products!$A$1:$G$1,0))</f>
        <v/>
      </c>
      <c r="M713" s="5">
        <f>L713*E713</f>
        <v/>
      </c>
      <c r="N713">
        <f>IF(I713="Rob","Robusta",IF(I713="Exc","Excelsa",IF(I713="Ara","Arabica",IF(I713="Lib","Liberica",""))))</f>
        <v/>
      </c>
      <c r="O713">
        <f>IF(J713="M","Medium",IF(J713="L","Light",IF(J713="D","Dark","")))</f>
        <v/>
      </c>
      <c r="P713">
        <f>_xlfn.XLOOKUP(Orders[[#This Row],[Customer ID]],customers!$A$1:$A$1001,customers!$I$1:$I$1001,,0)</f>
        <v/>
      </c>
    </row>
    <row r="714">
      <c r="A714" s="2" t="inlineStr">
        <is>
          <t>O9297</t>
        </is>
      </c>
      <c r="B714" s="3" t="inlineStr">
        <is>
          <t>2025-01-20</t>
        </is>
      </c>
      <c r="C714" s="2" t="inlineStr">
        <is>
          <t>O9484</t>
        </is>
      </c>
      <c r="D714" t="inlineStr">
        <is>
          <t>O4501</t>
        </is>
      </c>
      <c r="E714" s="2" t="n">
        <v>288</v>
      </c>
      <c r="F714" s="2">
        <f>_xlfn.XLOOKUP(C714,customers!$A$1:$A$1001,customers!$B$1:$B$1001,,0)</f>
        <v/>
      </c>
      <c r="G714" s="2">
        <f>IF(_xlfn.XLOOKUP(C714,customers!$A$1:$A$1001,customers!$C$1:$C$1001,,0)=0,"",_xlfn.XLOOKUP(C714,customers!$A$1:$A$1001,customers!$C$1:$C$1001,,0))</f>
        <v/>
      </c>
      <c r="H714" s="2">
        <f>_xlfn.XLOOKUP(C714,customers!$A$1:$A$1001,customers!$G$1:$G$1001,,0)</f>
        <v/>
      </c>
      <c r="I714">
        <f>INDEX(products!$A$1:$G$49,MATCH(orders!$D714,products!$A$1:$A$49,0),MATCH(orders!I$1,products!$A$1:$G$1,0))</f>
        <v/>
      </c>
      <c r="J714">
        <f>INDEX(products!$A$1:$G$49,MATCH(orders!$D714,products!$A$1:$A$49,0),MATCH(orders!J$1,products!$A$1:$G$1,0))</f>
        <v/>
      </c>
      <c r="K714" s="4">
        <f>INDEX(products!$A$1:$G$49,MATCH(orders!$D714,products!$A$1:$A$49,0),MATCH(orders!K$1,products!$A$1:$G$1,0))</f>
        <v/>
      </c>
      <c r="L714" s="5">
        <f>INDEX(products!$A$1:$G$49,MATCH(orders!$D714,products!$A$1:$A$49,0),MATCH(orders!L$1,products!$A$1:$G$1,0))</f>
        <v/>
      </c>
      <c r="M714" s="5">
        <f>L714*E714</f>
        <v/>
      </c>
      <c r="N714">
        <f>IF(I714="Rob","Robusta",IF(I714="Exc","Excelsa",IF(I714="Ara","Arabica",IF(I714="Lib","Liberica",""))))</f>
        <v/>
      </c>
      <c r="O714">
        <f>IF(J714="M","Medium",IF(J714="L","Light",IF(J714="D","Dark","")))</f>
        <v/>
      </c>
      <c r="P714">
        <f>_xlfn.XLOOKUP(Orders[[#This Row],[Customer ID]],customers!$A$1:$A$1001,customers!$I$1:$I$1001,,0)</f>
        <v/>
      </c>
    </row>
    <row r="715">
      <c r="A715" s="2" t="inlineStr">
        <is>
          <t>O1165</t>
        </is>
      </c>
      <c r="B715" s="3" t="inlineStr">
        <is>
          <t>2025-02-19</t>
        </is>
      </c>
      <c r="C715" s="2" t="inlineStr">
        <is>
          <t>O8862</t>
        </is>
      </c>
      <c r="D715" t="inlineStr">
        <is>
          <t>O5270</t>
        </is>
      </c>
      <c r="E715" s="2" t="n">
        <v>183</v>
      </c>
      <c r="F715" s="2">
        <f>_xlfn.XLOOKUP(C715,customers!$A$1:$A$1001,customers!$B$1:$B$1001,,0)</f>
        <v/>
      </c>
      <c r="G715" s="2">
        <f>IF(_xlfn.XLOOKUP(C715,customers!$A$1:$A$1001,customers!$C$1:$C$1001,,0)=0,"",_xlfn.XLOOKUP(C715,customers!$A$1:$A$1001,customers!$C$1:$C$1001,,0))</f>
        <v/>
      </c>
      <c r="H715" s="2">
        <f>_xlfn.XLOOKUP(C715,customers!$A$1:$A$1001,customers!$G$1:$G$1001,,0)</f>
        <v/>
      </c>
      <c r="I715">
        <f>INDEX(products!$A$1:$G$49,MATCH(orders!$D715,products!$A$1:$A$49,0),MATCH(orders!I$1,products!$A$1:$G$1,0))</f>
        <v/>
      </c>
      <c r="J715">
        <f>INDEX(products!$A$1:$G$49,MATCH(orders!$D715,products!$A$1:$A$49,0),MATCH(orders!J$1,products!$A$1:$G$1,0))</f>
        <v/>
      </c>
      <c r="K715" s="4">
        <f>INDEX(products!$A$1:$G$49,MATCH(orders!$D715,products!$A$1:$A$49,0),MATCH(orders!K$1,products!$A$1:$G$1,0))</f>
        <v/>
      </c>
      <c r="L715" s="5">
        <f>INDEX(products!$A$1:$G$49,MATCH(orders!$D715,products!$A$1:$A$49,0),MATCH(orders!L$1,products!$A$1:$G$1,0))</f>
        <v/>
      </c>
      <c r="M715" s="5">
        <f>L715*E715</f>
        <v/>
      </c>
      <c r="N715">
        <f>IF(I715="Rob","Robusta",IF(I715="Exc","Excelsa",IF(I715="Ara","Arabica",IF(I715="Lib","Liberica",""))))</f>
        <v/>
      </c>
      <c r="O715">
        <f>IF(J715="M","Medium",IF(J715="L","Light",IF(J715="D","Dark","")))</f>
        <v/>
      </c>
      <c r="P715">
        <f>_xlfn.XLOOKUP(Orders[[#This Row],[Customer ID]],customers!$A$1:$A$1001,customers!$I$1:$I$1001,,0)</f>
        <v/>
      </c>
    </row>
    <row r="716">
      <c r="A716" s="2" t="inlineStr">
        <is>
          <t>O8628</t>
        </is>
      </c>
      <c r="B716" s="3" t="inlineStr">
        <is>
          <t>2025-08-16</t>
        </is>
      </c>
      <c r="C716" s="2" t="inlineStr">
        <is>
          <t>O2769</t>
        </is>
      </c>
      <c r="D716" t="inlineStr">
        <is>
          <t>O3440</t>
        </is>
      </c>
      <c r="E716" s="2" t="n">
        <v>440</v>
      </c>
      <c r="F716" s="2">
        <f>_xlfn.XLOOKUP(C716,customers!$A$1:$A$1001,customers!$B$1:$B$1001,,0)</f>
        <v/>
      </c>
      <c r="G716" s="2">
        <f>IF(_xlfn.XLOOKUP(C716,customers!$A$1:$A$1001,customers!$C$1:$C$1001,,0)=0,"",_xlfn.XLOOKUP(C716,customers!$A$1:$A$1001,customers!$C$1:$C$1001,,0))</f>
        <v/>
      </c>
      <c r="H716" s="2">
        <f>_xlfn.XLOOKUP(C716,customers!$A$1:$A$1001,customers!$G$1:$G$1001,,0)</f>
        <v/>
      </c>
      <c r="I716">
        <f>INDEX(products!$A$1:$G$49,MATCH(orders!$D716,products!$A$1:$A$49,0),MATCH(orders!I$1,products!$A$1:$G$1,0))</f>
        <v/>
      </c>
      <c r="J716">
        <f>INDEX(products!$A$1:$G$49,MATCH(orders!$D716,products!$A$1:$A$49,0),MATCH(orders!J$1,products!$A$1:$G$1,0))</f>
        <v/>
      </c>
      <c r="K716" s="4">
        <f>INDEX(products!$A$1:$G$49,MATCH(orders!$D716,products!$A$1:$A$49,0),MATCH(orders!K$1,products!$A$1:$G$1,0))</f>
        <v/>
      </c>
      <c r="L716" s="5">
        <f>INDEX(products!$A$1:$G$49,MATCH(orders!$D716,products!$A$1:$A$49,0),MATCH(orders!L$1,products!$A$1:$G$1,0))</f>
        <v/>
      </c>
      <c r="M716" s="5">
        <f>L716*E716</f>
        <v/>
      </c>
      <c r="N716">
        <f>IF(I716="Rob","Robusta",IF(I716="Exc","Excelsa",IF(I716="Ara","Arabica",IF(I716="Lib","Liberica",""))))</f>
        <v/>
      </c>
      <c r="O716">
        <f>IF(J716="M","Medium",IF(J716="L","Light",IF(J716="D","Dark","")))</f>
        <v/>
      </c>
      <c r="P716">
        <f>_xlfn.XLOOKUP(Orders[[#This Row],[Customer ID]],customers!$A$1:$A$1001,customers!$I$1:$I$1001,,0)</f>
        <v/>
      </c>
    </row>
    <row r="717">
      <c r="A717" s="2" t="inlineStr">
        <is>
          <t>O1676</t>
        </is>
      </c>
      <c r="B717" s="3" t="inlineStr">
        <is>
          <t>2023-05-26</t>
        </is>
      </c>
      <c r="C717" s="2" t="inlineStr">
        <is>
          <t>O1558</t>
        </is>
      </c>
      <c r="D717" t="inlineStr">
        <is>
          <t>O2149</t>
        </is>
      </c>
      <c r="E717" s="2" t="n">
        <v>499</v>
      </c>
      <c r="F717" s="2">
        <f>_xlfn.XLOOKUP(C717,customers!$A$1:$A$1001,customers!$B$1:$B$1001,,0)</f>
        <v/>
      </c>
      <c r="G717" s="2">
        <f>IF(_xlfn.XLOOKUP(C717,customers!$A$1:$A$1001,customers!$C$1:$C$1001,,0)=0,"",_xlfn.XLOOKUP(C717,customers!$A$1:$A$1001,customers!$C$1:$C$1001,,0))</f>
        <v/>
      </c>
      <c r="H717" s="2">
        <f>_xlfn.XLOOKUP(C717,customers!$A$1:$A$1001,customers!$G$1:$G$1001,,0)</f>
        <v/>
      </c>
      <c r="I717">
        <f>INDEX(products!$A$1:$G$49,MATCH(orders!$D717,products!$A$1:$A$49,0),MATCH(orders!I$1,products!$A$1:$G$1,0))</f>
        <v/>
      </c>
      <c r="J717">
        <f>INDEX(products!$A$1:$G$49,MATCH(orders!$D717,products!$A$1:$A$49,0),MATCH(orders!J$1,products!$A$1:$G$1,0))</f>
        <v/>
      </c>
      <c r="K717" s="4">
        <f>INDEX(products!$A$1:$G$49,MATCH(orders!$D717,products!$A$1:$A$49,0),MATCH(orders!K$1,products!$A$1:$G$1,0))</f>
        <v/>
      </c>
      <c r="L717" s="5">
        <f>INDEX(products!$A$1:$G$49,MATCH(orders!$D717,products!$A$1:$A$49,0),MATCH(orders!L$1,products!$A$1:$G$1,0))</f>
        <v/>
      </c>
      <c r="M717" s="5">
        <f>L717*E717</f>
        <v/>
      </c>
      <c r="N717">
        <f>IF(I717="Rob","Robusta",IF(I717="Exc","Excelsa",IF(I717="Ara","Arabica",IF(I717="Lib","Liberica",""))))</f>
        <v/>
      </c>
      <c r="O717">
        <f>IF(J717="M","Medium",IF(J717="L","Light",IF(J717="D","Dark","")))</f>
        <v/>
      </c>
      <c r="P717">
        <f>_xlfn.XLOOKUP(Orders[[#This Row],[Customer ID]],customers!$A$1:$A$1001,customers!$I$1:$I$1001,,0)</f>
        <v/>
      </c>
    </row>
    <row r="718">
      <c r="A718" s="2" t="inlineStr">
        <is>
          <t>O3372</t>
        </is>
      </c>
      <c r="B718" s="3" t="inlineStr">
        <is>
          <t>2024-11-09</t>
        </is>
      </c>
      <c r="C718" s="2" t="inlineStr">
        <is>
          <t>O7962</t>
        </is>
      </c>
      <c r="D718" t="inlineStr">
        <is>
          <t>O7787</t>
        </is>
      </c>
      <c r="E718" s="2" t="n">
        <v>276</v>
      </c>
      <c r="F718" s="2">
        <f>_xlfn.XLOOKUP(C718,customers!$A$1:$A$1001,customers!$B$1:$B$1001,,0)</f>
        <v/>
      </c>
      <c r="G718" s="2">
        <f>IF(_xlfn.XLOOKUP(C718,customers!$A$1:$A$1001,customers!$C$1:$C$1001,,0)=0,"",_xlfn.XLOOKUP(C718,customers!$A$1:$A$1001,customers!$C$1:$C$1001,,0))</f>
        <v/>
      </c>
      <c r="H718" s="2">
        <f>_xlfn.XLOOKUP(C718,customers!$A$1:$A$1001,customers!$G$1:$G$1001,,0)</f>
        <v/>
      </c>
      <c r="I718">
        <f>INDEX(products!$A$1:$G$49,MATCH(orders!$D718,products!$A$1:$A$49,0),MATCH(orders!I$1,products!$A$1:$G$1,0))</f>
        <v/>
      </c>
      <c r="J718">
        <f>INDEX(products!$A$1:$G$49,MATCH(orders!$D718,products!$A$1:$A$49,0),MATCH(orders!J$1,products!$A$1:$G$1,0))</f>
        <v/>
      </c>
      <c r="K718" s="4">
        <f>INDEX(products!$A$1:$G$49,MATCH(orders!$D718,products!$A$1:$A$49,0),MATCH(orders!K$1,products!$A$1:$G$1,0))</f>
        <v/>
      </c>
      <c r="L718" s="5">
        <f>INDEX(products!$A$1:$G$49,MATCH(orders!$D718,products!$A$1:$A$49,0),MATCH(orders!L$1,products!$A$1:$G$1,0))</f>
        <v/>
      </c>
      <c r="M718" s="5">
        <f>L718*E718</f>
        <v/>
      </c>
      <c r="N718">
        <f>IF(I718="Rob","Robusta",IF(I718="Exc","Excelsa",IF(I718="Ara","Arabica",IF(I718="Lib","Liberica",""))))</f>
        <v/>
      </c>
      <c r="O718">
        <f>IF(J718="M","Medium",IF(J718="L","Light",IF(J718="D","Dark","")))</f>
        <v/>
      </c>
      <c r="P718">
        <f>_xlfn.XLOOKUP(Orders[[#This Row],[Customer ID]],customers!$A$1:$A$1001,customers!$I$1:$I$1001,,0)</f>
        <v/>
      </c>
    </row>
    <row r="719">
      <c r="A719" s="2" t="inlineStr">
        <is>
          <t>O1641</t>
        </is>
      </c>
      <c r="B719" s="3" t="inlineStr">
        <is>
          <t>2024-09-20</t>
        </is>
      </c>
      <c r="C719" s="2" t="inlineStr">
        <is>
          <t>O3974</t>
        </is>
      </c>
      <c r="D719" t="inlineStr">
        <is>
          <t>O2858</t>
        </is>
      </c>
      <c r="E719" s="2" t="n">
        <v>494</v>
      </c>
      <c r="F719" s="2">
        <f>_xlfn.XLOOKUP(C719,customers!$A$1:$A$1001,customers!$B$1:$B$1001,,0)</f>
        <v/>
      </c>
      <c r="G719" s="2">
        <f>IF(_xlfn.XLOOKUP(C719,customers!$A$1:$A$1001,customers!$C$1:$C$1001,,0)=0,"",_xlfn.XLOOKUP(C719,customers!$A$1:$A$1001,customers!$C$1:$C$1001,,0))</f>
        <v/>
      </c>
      <c r="H719" s="2">
        <f>_xlfn.XLOOKUP(C719,customers!$A$1:$A$1001,customers!$G$1:$G$1001,,0)</f>
        <v/>
      </c>
      <c r="I719">
        <f>INDEX(products!$A$1:$G$49,MATCH(orders!$D719,products!$A$1:$A$49,0),MATCH(orders!I$1,products!$A$1:$G$1,0))</f>
        <v/>
      </c>
      <c r="J719">
        <f>INDEX(products!$A$1:$G$49,MATCH(orders!$D719,products!$A$1:$A$49,0),MATCH(orders!J$1,products!$A$1:$G$1,0))</f>
        <v/>
      </c>
      <c r="K719" s="4">
        <f>INDEX(products!$A$1:$G$49,MATCH(orders!$D719,products!$A$1:$A$49,0),MATCH(orders!K$1,products!$A$1:$G$1,0))</f>
        <v/>
      </c>
      <c r="L719" s="5">
        <f>INDEX(products!$A$1:$G$49,MATCH(orders!$D719,products!$A$1:$A$49,0),MATCH(orders!L$1,products!$A$1:$G$1,0))</f>
        <v/>
      </c>
      <c r="M719" s="5">
        <f>L719*E719</f>
        <v/>
      </c>
      <c r="N719">
        <f>IF(I719="Rob","Robusta",IF(I719="Exc","Excelsa",IF(I719="Ara","Arabica",IF(I719="Lib","Liberica",""))))</f>
        <v/>
      </c>
      <c r="O719">
        <f>IF(J719="M","Medium",IF(J719="L","Light",IF(J719="D","Dark","")))</f>
        <v/>
      </c>
      <c r="P719">
        <f>_xlfn.XLOOKUP(Orders[[#This Row],[Customer ID]],customers!$A$1:$A$1001,customers!$I$1:$I$1001,,0)</f>
        <v/>
      </c>
    </row>
    <row r="720">
      <c r="A720" s="2" t="inlineStr">
        <is>
          <t>O4569</t>
        </is>
      </c>
      <c r="B720" s="3" t="inlineStr">
        <is>
          <t>2022-06-11</t>
        </is>
      </c>
      <c r="C720" s="2" t="inlineStr">
        <is>
          <t>O8765</t>
        </is>
      </c>
      <c r="D720" t="inlineStr">
        <is>
          <t>O7841</t>
        </is>
      </c>
      <c r="E720" s="2" t="n">
        <v>337</v>
      </c>
      <c r="F720" s="2">
        <f>_xlfn.XLOOKUP(C720,customers!$A$1:$A$1001,customers!$B$1:$B$1001,,0)</f>
        <v/>
      </c>
      <c r="G720" s="2">
        <f>IF(_xlfn.XLOOKUP(C720,customers!$A$1:$A$1001,customers!$C$1:$C$1001,,0)=0,"",_xlfn.XLOOKUP(C720,customers!$A$1:$A$1001,customers!$C$1:$C$1001,,0))</f>
        <v/>
      </c>
      <c r="H720" s="2">
        <f>_xlfn.XLOOKUP(C720,customers!$A$1:$A$1001,customers!$G$1:$G$1001,,0)</f>
        <v/>
      </c>
      <c r="I720">
        <f>INDEX(products!$A$1:$G$49,MATCH(orders!$D720,products!$A$1:$A$49,0),MATCH(orders!I$1,products!$A$1:$G$1,0))</f>
        <v/>
      </c>
      <c r="J720">
        <f>INDEX(products!$A$1:$G$49,MATCH(orders!$D720,products!$A$1:$A$49,0),MATCH(orders!J$1,products!$A$1:$G$1,0))</f>
        <v/>
      </c>
      <c r="K720" s="4">
        <f>INDEX(products!$A$1:$G$49,MATCH(orders!$D720,products!$A$1:$A$49,0),MATCH(orders!K$1,products!$A$1:$G$1,0))</f>
        <v/>
      </c>
      <c r="L720" s="5">
        <f>INDEX(products!$A$1:$G$49,MATCH(orders!$D720,products!$A$1:$A$49,0),MATCH(orders!L$1,products!$A$1:$G$1,0))</f>
        <v/>
      </c>
      <c r="M720" s="5">
        <f>L720*E720</f>
        <v/>
      </c>
      <c r="N720">
        <f>IF(I720="Rob","Robusta",IF(I720="Exc","Excelsa",IF(I720="Ara","Arabica",IF(I720="Lib","Liberica",""))))</f>
        <v/>
      </c>
      <c r="O720">
        <f>IF(J720="M","Medium",IF(J720="L","Light",IF(J720="D","Dark","")))</f>
        <v/>
      </c>
      <c r="P720">
        <f>_xlfn.XLOOKUP(Orders[[#This Row],[Customer ID]],customers!$A$1:$A$1001,customers!$I$1:$I$1001,,0)</f>
        <v/>
      </c>
    </row>
    <row r="721">
      <c r="A721" s="2" t="inlineStr">
        <is>
          <t>O5933</t>
        </is>
      </c>
      <c r="B721" s="3" t="inlineStr">
        <is>
          <t>2021-12-31</t>
        </is>
      </c>
      <c r="C721" s="2" t="inlineStr">
        <is>
          <t>O6739</t>
        </is>
      </c>
      <c r="D721" t="inlineStr">
        <is>
          <t>O3110</t>
        </is>
      </c>
      <c r="E721" s="2" t="n">
        <v>157</v>
      </c>
      <c r="F721" s="2">
        <f>_xlfn.XLOOKUP(C721,customers!$A$1:$A$1001,customers!$B$1:$B$1001,,0)</f>
        <v/>
      </c>
      <c r="G721" s="2">
        <f>IF(_xlfn.XLOOKUP(C721,customers!$A$1:$A$1001,customers!$C$1:$C$1001,,0)=0,"",_xlfn.XLOOKUP(C721,customers!$A$1:$A$1001,customers!$C$1:$C$1001,,0))</f>
        <v/>
      </c>
      <c r="H721" s="2">
        <f>_xlfn.XLOOKUP(C721,customers!$A$1:$A$1001,customers!$G$1:$G$1001,,0)</f>
        <v/>
      </c>
      <c r="I721">
        <f>INDEX(products!$A$1:$G$49,MATCH(orders!$D721,products!$A$1:$A$49,0),MATCH(orders!I$1,products!$A$1:$G$1,0))</f>
        <v/>
      </c>
      <c r="J721">
        <f>INDEX(products!$A$1:$G$49,MATCH(orders!$D721,products!$A$1:$A$49,0),MATCH(orders!J$1,products!$A$1:$G$1,0))</f>
        <v/>
      </c>
      <c r="K721" s="4">
        <f>INDEX(products!$A$1:$G$49,MATCH(orders!$D721,products!$A$1:$A$49,0),MATCH(orders!K$1,products!$A$1:$G$1,0))</f>
        <v/>
      </c>
      <c r="L721" s="5">
        <f>INDEX(products!$A$1:$G$49,MATCH(orders!$D721,products!$A$1:$A$49,0),MATCH(orders!L$1,products!$A$1:$G$1,0))</f>
        <v/>
      </c>
      <c r="M721" s="5">
        <f>L721*E721</f>
        <v/>
      </c>
      <c r="N721">
        <f>IF(I721="Rob","Robusta",IF(I721="Exc","Excelsa",IF(I721="Ara","Arabica",IF(I721="Lib","Liberica",""))))</f>
        <v/>
      </c>
      <c r="O721">
        <f>IF(J721="M","Medium",IF(J721="L","Light",IF(J721="D","Dark","")))</f>
        <v/>
      </c>
      <c r="P721">
        <f>_xlfn.XLOOKUP(Orders[[#This Row],[Customer ID]],customers!$A$1:$A$1001,customers!$I$1:$I$1001,,0)</f>
        <v/>
      </c>
    </row>
    <row r="722">
      <c r="A722" s="2" t="inlineStr">
        <is>
          <t>O7467</t>
        </is>
      </c>
      <c r="B722" s="3" t="inlineStr">
        <is>
          <t>2024-02-26</t>
        </is>
      </c>
      <c r="C722" s="2" t="inlineStr">
        <is>
          <t>O9954</t>
        </is>
      </c>
      <c r="D722" t="inlineStr">
        <is>
          <t>O5717</t>
        </is>
      </c>
      <c r="E722" s="2" t="n">
        <v>313</v>
      </c>
      <c r="F722" s="2">
        <f>_xlfn.XLOOKUP(C722,customers!$A$1:$A$1001,customers!$B$1:$B$1001,,0)</f>
        <v/>
      </c>
      <c r="G722" s="2">
        <f>IF(_xlfn.XLOOKUP(C722,customers!$A$1:$A$1001,customers!$C$1:$C$1001,,0)=0,"",_xlfn.XLOOKUP(C722,customers!$A$1:$A$1001,customers!$C$1:$C$1001,,0))</f>
        <v/>
      </c>
      <c r="H722" s="2">
        <f>_xlfn.XLOOKUP(C722,customers!$A$1:$A$1001,customers!$G$1:$G$1001,,0)</f>
        <v/>
      </c>
      <c r="I722">
        <f>INDEX(products!$A$1:$G$49,MATCH(orders!$D722,products!$A$1:$A$49,0),MATCH(orders!I$1,products!$A$1:$G$1,0))</f>
        <v/>
      </c>
      <c r="J722">
        <f>INDEX(products!$A$1:$G$49,MATCH(orders!$D722,products!$A$1:$A$49,0),MATCH(orders!J$1,products!$A$1:$G$1,0))</f>
        <v/>
      </c>
      <c r="K722" s="4">
        <f>INDEX(products!$A$1:$G$49,MATCH(orders!$D722,products!$A$1:$A$49,0),MATCH(orders!K$1,products!$A$1:$G$1,0))</f>
        <v/>
      </c>
      <c r="L722" s="5">
        <f>INDEX(products!$A$1:$G$49,MATCH(orders!$D722,products!$A$1:$A$49,0),MATCH(orders!L$1,products!$A$1:$G$1,0))</f>
        <v/>
      </c>
      <c r="M722" s="5">
        <f>L722*E722</f>
        <v/>
      </c>
      <c r="N722">
        <f>IF(I722="Rob","Robusta",IF(I722="Exc","Excelsa",IF(I722="Ara","Arabica",IF(I722="Lib","Liberica",""))))</f>
        <v/>
      </c>
      <c r="O722">
        <f>IF(J722="M","Medium",IF(J722="L","Light",IF(J722="D","Dark","")))</f>
        <v/>
      </c>
      <c r="P722">
        <f>_xlfn.XLOOKUP(Orders[[#This Row],[Customer ID]],customers!$A$1:$A$1001,customers!$I$1:$I$1001,,0)</f>
        <v/>
      </c>
    </row>
    <row r="723">
      <c r="A723" s="2" t="inlineStr">
        <is>
          <t>O3475</t>
        </is>
      </c>
      <c r="B723" s="3" t="inlineStr">
        <is>
          <t>2022-04-16</t>
        </is>
      </c>
      <c r="C723" s="2" t="inlineStr">
        <is>
          <t>O8151</t>
        </is>
      </c>
      <c r="D723" t="inlineStr">
        <is>
          <t>O2616</t>
        </is>
      </c>
      <c r="E723" s="2" t="n">
        <v>276</v>
      </c>
      <c r="F723" s="2">
        <f>_xlfn.XLOOKUP(C723,customers!$A$1:$A$1001,customers!$B$1:$B$1001,,0)</f>
        <v/>
      </c>
      <c r="G723" s="2">
        <f>IF(_xlfn.XLOOKUP(C723,customers!$A$1:$A$1001,customers!$C$1:$C$1001,,0)=0,"",_xlfn.XLOOKUP(C723,customers!$A$1:$A$1001,customers!$C$1:$C$1001,,0))</f>
        <v/>
      </c>
      <c r="H723" s="2">
        <f>_xlfn.XLOOKUP(C723,customers!$A$1:$A$1001,customers!$G$1:$G$1001,,0)</f>
        <v/>
      </c>
      <c r="I723">
        <f>INDEX(products!$A$1:$G$49,MATCH(orders!$D723,products!$A$1:$A$49,0),MATCH(orders!I$1,products!$A$1:$G$1,0))</f>
        <v/>
      </c>
      <c r="J723">
        <f>INDEX(products!$A$1:$G$49,MATCH(orders!$D723,products!$A$1:$A$49,0),MATCH(orders!J$1,products!$A$1:$G$1,0))</f>
        <v/>
      </c>
      <c r="K723" s="4">
        <f>INDEX(products!$A$1:$G$49,MATCH(orders!$D723,products!$A$1:$A$49,0),MATCH(orders!K$1,products!$A$1:$G$1,0))</f>
        <v/>
      </c>
      <c r="L723" s="5">
        <f>INDEX(products!$A$1:$G$49,MATCH(orders!$D723,products!$A$1:$A$49,0),MATCH(orders!L$1,products!$A$1:$G$1,0))</f>
        <v/>
      </c>
      <c r="M723" s="5">
        <f>L723*E723</f>
        <v/>
      </c>
      <c r="N723">
        <f>IF(I723="Rob","Robusta",IF(I723="Exc","Excelsa",IF(I723="Ara","Arabica",IF(I723="Lib","Liberica",""))))</f>
        <v/>
      </c>
      <c r="O723">
        <f>IF(J723="M","Medium",IF(J723="L","Light",IF(J723="D","Dark","")))</f>
        <v/>
      </c>
      <c r="P723">
        <f>_xlfn.XLOOKUP(Orders[[#This Row],[Customer ID]],customers!$A$1:$A$1001,customers!$I$1:$I$1001,,0)</f>
        <v/>
      </c>
    </row>
    <row r="724">
      <c r="A724" s="2" t="inlineStr">
        <is>
          <t>O6385</t>
        </is>
      </c>
      <c r="B724" s="3" t="inlineStr">
        <is>
          <t>2021-09-24</t>
        </is>
      </c>
      <c r="C724" s="2" t="inlineStr">
        <is>
          <t>O1567</t>
        </is>
      </c>
      <c r="D724" t="inlineStr">
        <is>
          <t>O5402</t>
        </is>
      </c>
      <c r="E724" s="2" t="n">
        <v>210</v>
      </c>
      <c r="F724" s="2">
        <f>_xlfn.XLOOKUP(C724,customers!$A$1:$A$1001,customers!$B$1:$B$1001,,0)</f>
        <v/>
      </c>
      <c r="G724" s="2">
        <f>IF(_xlfn.XLOOKUP(C724,customers!$A$1:$A$1001,customers!$C$1:$C$1001,,0)=0,"",_xlfn.XLOOKUP(C724,customers!$A$1:$A$1001,customers!$C$1:$C$1001,,0))</f>
        <v/>
      </c>
      <c r="H724" s="2">
        <f>_xlfn.XLOOKUP(C724,customers!$A$1:$A$1001,customers!$G$1:$G$1001,,0)</f>
        <v/>
      </c>
      <c r="I724">
        <f>INDEX(products!$A$1:$G$49,MATCH(orders!$D724,products!$A$1:$A$49,0),MATCH(orders!I$1,products!$A$1:$G$1,0))</f>
        <v/>
      </c>
      <c r="J724">
        <f>INDEX(products!$A$1:$G$49,MATCH(orders!$D724,products!$A$1:$A$49,0),MATCH(orders!J$1,products!$A$1:$G$1,0))</f>
        <v/>
      </c>
      <c r="K724" s="4">
        <f>INDEX(products!$A$1:$G$49,MATCH(orders!$D724,products!$A$1:$A$49,0),MATCH(orders!K$1,products!$A$1:$G$1,0))</f>
        <v/>
      </c>
      <c r="L724" s="5">
        <f>INDEX(products!$A$1:$G$49,MATCH(orders!$D724,products!$A$1:$A$49,0),MATCH(orders!L$1,products!$A$1:$G$1,0))</f>
        <v/>
      </c>
      <c r="M724" s="5">
        <f>L724*E724</f>
        <v/>
      </c>
      <c r="N724">
        <f>IF(I724="Rob","Robusta",IF(I724="Exc","Excelsa",IF(I724="Ara","Arabica",IF(I724="Lib","Liberica",""))))</f>
        <v/>
      </c>
      <c r="O724">
        <f>IF(J724="M","Medium",IF(J724="L","Light",IF(J724="D","Dark","")))</f>
        <v/>
      </c>
      <c r="P724">
        <f>_xlfn.XLOOKUP(Orders[[#This Row],[Customer ID]],customers!$A$1:$A$1001,customers!$I$1:$I$1001,,0)</f>
        <v/>
      </c>
    </row>
    <row r="725">
      <c r="A725" s="2" t="inlineStr">
        <is>
          <t>O4128</t>
        </is>
      </c>
      <c r="B725" s="3" t="inlineStr">
        <is>
          <t>2022-11-14</t>
        </is>
      </c>
      <c r="C725" s="2" t="inlineStr">
        <is>
          <t>O4143</t>
        </is>
      </c>
      <c r="D725" t="inlineStr">
        <is>
          <t>O5567</t>
        </is>
      </c>
      <c r="E725" s="2" t="n">
        <v>29</v>
      </c>
      <c r="F725" s="2">
        <f>_xlfn.XLOOKUP(C725,customers!$A$1:$A$1001,customers!$B$1:$B$1001,,0)</f>
        <v/>
      </c>
      <c r="G725" s="2">
        <f>IF(_xlfn.XLOOKUP(C725,customers!$A$1:$A$1001,customers!$C$1:$C$1001,,0)=0,"",_xlfn.XLOOKUP(C725,customers!$A$1:$A$1001,customers!$C$1:$C$1001,,0))</f>
        <v/>
      </c>
      <c r="H725" s="2">
        <f>_xlfn.XLOOKUP(C725,customers!$A$1:$A$1001,customers!$G$1:$G$1001,,0)</f>
        <v/>
      </c>
      <c r="I725">
        <f>INDEX(products!$A$1:$G$49,MATCH(orders!$D725,products!$A$1:$A$49,0),MATCH(orders!I$1,products!$A$1:$G$1,0))</f>
        <v/>
      </c>
      <c r="J725">
        <f>INDEX(products!$A$1:$G$49,MATCH(orders!$D725,products!$A$1:$A$49,0),MATCH(orders!J$1,products!$A$1:$G$1,0))</f>
        <v/>
      </c>
      <c r="K725" s="4">
        <f>INDEX(products!$A$1:$G$49,MATCH(orders!$D725,products!$A$1:$A$49,0),MATCH(orders!K$1,products!$A$1:$G$1,0))</f>
        <v/>
      </c>
      <c r="L725" s="5">
        <f>INDEX(products!$A$1:$G$49,MATCH(orders!$D725,products!$A$1:$A$49,0),MATCH(orders!L$1,products!$A$1:$G$1,0))</f>
        <v/>
      </c>
      <c r="M725" s="5">
        <f>L725*E725</f>
        <v/>
      </c>
      <c r="N725">
        <f>IF(I725="Rob","Robusta",IF(I725="Exc","Excelsa",IF(I725="Ara","Arabica",IF(I725="Lib","Liberica",""))))</f>
        <v/>
      </c>
      <c r="O725">
        <f>IF(J725="M","Medium",IF(J725="L","Light",IF(J725="D","Dark","")))</f>
        <v/>
      </c>
      <c r="P725">
        <f>_xlfn.XLOOKUP(Orders[[#This Row],[Customer ID]],customers!$A$1:$A$1001,customers!$I$1:$I$1001,,0)</f>
        <v/>
      </c>
    </row>
    <row r="726">
      <c r="A726" s="2" t="inlineStr">
        <is>
          <t>O9047</t>
        </is>
      </c>
      <c r="B726" s="3" t="inlineStr">
        <is>
          <t>2024-09-16</t>
        </is>
      </c>
      <c r="C726" s="2" t="inlineStr">
        <is>
          <t>O6214</t>
        </is>
      </c>
      <c r="D726" t="inlineStr">
        <is>
          <t>O4626</t>
        </is>
      </c>
      <c r="E726" s="2" t="n">
        <v>44</v>
      </c>
      <c r="F726" s="2">
        <f>_xlfn.XLOOKUP(C726,customers!$A$1:$A$1001,customers!$B$1:$B$1001,,0)</f>
        <v/>
      </c>
      <c r="G726" s="2">
        <f>IF(_xlfn.XLOOKUP(C726,customers!$A$1:$A$1001,customers!$C$1:$C$1001,,0)=0,"",_xlfn.XLOOKUP(C726,customers!$A$1:$A$1001,customers!$C$1:$C$1001,,0))</f>
        <v/>
      </c>
      <c r="H726" s="2">
        <f>_xlfn.XLOOKUP(C726,customers!$A$1:$A$1001,customers!$G$1:$G$1001,,0)</f>
        <v/>
      </c>
      <c r="I726">
        <f>INDEX(products!$A$1:$G$49,MATCH(orders!$D726,products!$A$1:$A$49,0),MATCH(orders!I$1,products!$A$1:$G$1,0))</f>
        <v/>
      </c>
      <c r="J726">
        <f>INDEX(products!$A$1:$G$49,MATCH(orders!$D726,products!$A$1:$A$49,0),MATCH(orders!J$1,products!$A$1:$G$1,0))</f>
        <v/>
      </c>
      <c r="K726" s="4">
        <f>INDEX(products!$A$1:$G$49,MATCH(orders!$D726,products!$A$1:$A$49,0),MATCH(orders!K$1,products!$A$1:$G$1,0))</f>
        <v/>
      </c>
      <c r="L726" s="5">
        <f>INDEX(products!$A$1:$G$49,MATCH(orders!$D726,products!$A$1:$A$49,0),MATCH(orders!L$1,products!$A$1:$G$1,0))</f>
        <v/>
      </c>
      <c r="M726" s="5">
        <f>L726*E726</f>
        <v/>
      </c>
      <c r="N726">
        <f>IF(I726="Rob","Robusta",IF(I726="Exc","Excelsa",IF(I726="Ara","Arabica",IF(I726="Lib","Liberica",""))))</f>
        <v/>
      </c>
      <c r="O726">
        <f>IF(J726="M","Medium",IF(J726="L","Light",IF(J726="D","Dark","")))</f>
        <v/>
      </c>
      <c r="P726">
        <f>_xlfn.XLOOKUP(Orders[[#This Row],[Customer ID]],customers!$A$1:$A$1001,customers!$I$1:$I$1001,,0)</f>
        <v/>
      </c>
    </row>
    <row r="727">
      <c r="A727" s="2" t="inlineStr">
        <is>
          <t>O8269</t>
        </is>
      </c>
      <c r="B727" s="3" t="inlineStr">
        <is>
          <t>2025-08-22</t>
        </is>
      </c>
      <c r="C727" s="2" t="inlineStr">
        <is>
          <t>O4133</t>
        </is>
      </c>
      <c r="D727" t="inlineStr">
        <is>
          <t>O8666</t>
        </is>
      </c>
      <c r="E727" s="2" t="n">
        <v>452</v>
      </c>
      <c r="F727" s="2">
        <f>_xlfn.XLOOKUP(C727,customers!$A$1:$A$1001,customers!$B$1:$B$1001,,0)</f>
        <v/>
      </c>
      <c r="G727" s="2">
        <f>IF(_xlfn.XLOOKUP(C727,customers!$A$1:$A$1001,customers!$C$1:$C$1001,,0)=0,"",_xlfn.XLOOKUP(C727,customers!$A$1:$A$1001,customers!$C$1:$C$1001,,0))</f>
        <v/>
      </c>
      <c r="H727" s="2">
        <f>_xlfn.XLOOKUP(C727,customers!$A$1:$A$1001,customers!$G$1:$G$1001,,0)</f>
        <v/>
      </c>
      <c r="I727">
        <f>INDEX(products!$A$1:$G$49,MATCH(orders!$D727,products!$A$1:$A$49,0),MATCH(orders!I$1,products!$A$1:$G$1,0))</f>
        <v/>
      </c>
      <c r="J727">
        <f>INDEX(products!$A$1:$G$49,MATCH(orders!$D727,products!$A$1:$A$49,0),MATCH(orders!J$1,products!$A$1:$G$1,0))</f>
        <v/>
      </c>
      <c r="K727" s="4">
        <f>INDEX(products!$A$1:$G$49,MATCH(orders!$D727,products!$A$1:$A$49,0),MATCH(orders!K$1,products!$A$1:$G$1,0))</f>
        <v/>
      </c>
      <c r="L727" s="5">
        <f>INDEX(products!$A$1:$G$49,MATCH(orders!$D727,products!$A$1:$A$49,0),MATCH(orders!L$1,products!$A$1:$G$1,0))</f>
        <v/>
      </c>
      <c r="M727" s="5">
        <f>L727*E727</f>
        <v/>
      </c>
      <c r="N727">
        <f>IF(I727="Rob","Robusta",IF(I727="Exc","Excelsa",IF(I727="Ara","Arabica",IF(I727="Lib","Liberica",""))))</f>
        <v/>
      </c>
      <c r="O727">
        <f>IF(J727="M","Medium",IF(J727="L","Light",IF(J727="D","Dark","")))</f>
        <v/>
      </c>
      <c r="P727">
        <f>_xlfn.XLOOKUP(Orders[[#This Row],[Customer ID]],customers!$A$1:$A$1001,customers!$I$1:$I$1001,,0)</f>
        <v/>
      </c>
    </row>
    <row r="728">
      <c r="A728" s="2" t="inlineStr">
        <is>
          <t>O1762</t>
        </is>
      </c>
      <c r="B728" s="3" t="inlineStr">
        <is>
          <t>2025-03-23</t>
        </is>
      </c>
      <c r="C728" s="2" t="inlineStr">
        <is>
          <t>O6330</t>
        </is>
      </c>
      <c r="D728" t="inlineStr">
        <is>
          <t>O6341</t>
        </is>
      </c>
      <c r="E728" s="2" t="n">
        <v>451</v>
      </c>
      <c r="F728" s="2">
        <f>_xlfn.XLOOKUP(C728,customers!$A$1:$A$1001,customers!$B$1:$B$1001,,0)</f>
        <v/>
      </c>
      <c r="G728" s="2">
        <f>IF(_xlfn.XLOOKUP(C728,customers!$A$1:$A$1001,customers!$C$1:$C$1001,,0)=0,"",_xlfn.XLOOKUP(C728,customers!$A$1:$A$1001,customers!$C$1:$C$1001,,0))</f>
        <v/>
      </c>
      <c r="H728" s="2">
        <f>_xlfn.XLOOKUP(C728,customers!$A$1:$A$1001,customers!$G$1:$G$1001,,0)</f>
        <v/>
      </c>
      <c r="I728">
        <f>INDEX(products!$A$1:$G$49,MATCH(orders!$D728,products!$A$1:$A$49,0),MATCH(orders!I$1,products!$A$1:$G$1,0))</f>
        <v/>
      </c>
      <c r="J728">
        <f>INDEX(products!$A$1:$G$49,MATCH(orders!$D728,products!$A$1:$A$49,0),MATCH(orders!J$1,products!$A$1:$G$1,0))</f>
        <v/>
      </c>
      <c r="K728" s="4">
        <f>INDEX(products!$A$1:$G$49,MATCH(orders!$D728,products!$A$1:$A$49,0),MATCH(orders!K$1,products!$A$1:$G$1,0))</f>
        <v/>
      </c>
      <c r="L728" s="5">
        <f>INDEX(products!$A$1:$G$49,MATCH(orders!$D728,products!$A$1:$A$49,0),MATCH(orders!L$1,products!$A$1:$G$1,0))</f>
        <v/>
      </c>
      <c r="M728" s="5">
        <f>L728*E728</f>
        <v/>
      </c>
      <c r="N728">
        <f>IF(I728="Rob","Robusta",IF(I728="Exc","Excelsa",IF(I728="Ara","Arabica",IF(I728="Lib","Liberica",""))))</f>
        <v/>
      </c>
      <c r="O728">
        <f>IF(J728="M","Medium",IF(J728="L","Light",IF(J728="D","Dark","")))</f>
        <v/>
      </c>
      <c r="P728">
        <f>_xlfn.XLOOKUP(Orders[[#This Row],[Customer ID]],customers!$A$1:$A$1001,customers!$I$1:$I$1001,,0)</f>
        <v/>
      </c>
    </row>
    <row r="729">
      <c r="A729" s="2" t="inlineStr">
        <is>
          <t>O7438</t>
        </is>
      </c>
      <c r="B729" s="3" t="inlineStr">
        <is>
          <t>2024-05-29</t>
        </is>
      </c>
      <c r="C729" s="2" t="inlineStr">
        <is>
          <t>O3922</t>
        </is>
      </c>
      <c r="D729" t="inlineStr">
        <is>
          <t>O9220</t>
        </is>
      </c>
      <c r="E729" s="2" t="n">
        <v>417</v>
      </c>
      <c r="F729" s="2">
        <f>_xlfn.XLOOKUP(C729,customers!$A$1:$A$1001,customers!$B$1:$B$1001,,0)</f>
        <v/>
      </c>
      <c r="G729" s="2">
        <f>IF(_xlfn.XLOOKUP(C729,customers!$A$1:$A$1001,customers!$C$1:$C$1001,,0)=0,"",_xlfn.XLOOKUP(C729,customers!$A$1:$A$1001,customers!$C$1:$C$1001,,0))</f>
        <v/>
      </c>
      <c r="H729" s="2">
        <f>_xlfn.XLOOKUP(C729,customers!$A$1:$A$1001,customers!$G$1:$G$1001,,0)</f>
        <v/>
      </c>
      <c r="I729">
        <f>INDEX(products!$A$1:$G$49,MATCH(orders!$D729,products!$A$1:$A$49,0),MATCH(orders!I$1,products!$A$1:$G$1,0))</f>
        <v/>
      </c>
      <c r="J729">
        <f>INDEX(products!$A$1:$G$49,MATCH(orders!$D729,products!$A$1:$A$49,0),MATCH(orders!J$1,products!$A$1:$G$1,0))</f>
        <v/>
      </c>
      <c r="K729" s="4">
        <f>INDEX(products!$A$1:$G$49,MATCH(orders!$D729,products!$A$1:$A$49,0),MATCH(orders!K$1,products!$A$1:$G$1,0))</f>
        <v/>
      </c>
      <c r="L729" s="5">
        <f>INDEX(products!$A$1:$G$49,MATCH(orders!$D729,products!$A$1:$A$49,0),MATCH(orders!L$1,products!$A$1:$G$1,0))</f>
        <v/>
      </c>
      <c r="M729" s="5">
        <f>L729*E729</f>
        <v/>
      </c>
      <c r="N729">
        <f>IF(I729="Rob","Robusta",IF(I729="Exc","Excelsa",IF(I729="Ara","Arabica",IF(I729="Lib","Liberica",""))))</f>
        <v/>
      </c>
      <c r="O729">
        <f>IF(J729="M","Medium",IF(J729="L","Light",IF(J729="D","Dark","")))</f>
        <v/>
      </c>
      <c r="P729">
        <f>_xlfn.XLOOKUP(Orders[[#This Row],[Customer ID]],customers!$A$1:$A$1001,customers!$I$1:$I$1001,,0)</f>
        <v/>
      </c>
    </row>
    <row r="730">
      <c r="A730" s="2" t="inlineStr">
        <is>
          <t>O2104</t>
        </is>
      </c>
      <c r="B730" s="3" t="inlineStr">
        <is>
          <t>2023-05-28</t>
        </is>
      </c>
      <c r="C730" s="2" t="inlineStr">
        <is>
          <t>O3118</t>
        </is>
      </c>
      <c r="D730" t="inlineStr">
        <is>
          <t>O2639</t>
        </is>
      </c>
      <c r="E730" s="2" t="n">
        <v>329</v>
      </c>
      <c r="F730" s="2">
        <f>_xlfn.XLOOKUP(C730,customers!$A$1:$A$1001,customers!$B$1:$B$1001,,0)</f>
        <v/>
      </c>
      <c r="G730" s="2">
        <f>IF(_xlfn.XLOOKUP(C730,customers!$A$1:$A$1001,customers!$C$1:$C$1001,,0)=0,"",_xlfn.XLOOKUP(C730,customers!$A$1:$A$1001,customers!$C$1:$C$1001,,0))</f>
        <v/>
      </c>
      <c r="H730" s="2">
        <f>_xlfn.XLOOKUP(C730,customers!$A$1:$A$1001,customers!$G$1:$G$1001,,0)</f>
        <v/>
      </c>
      <c r="I730">
        <f>INDEX(products!$A$1:$G$49,MATCH(orders!$D730,products!$A$1:$A$49,0),MATCH(orders!I$1,products!$A$1:$G$1,0))</f>
        <v/>
      </c>
      <c r="J730">
        <f>INDEX(products!$A$1:$G$49,MATCH(orders!$D730,products!$A$1:$A$49,0),MATCH(orders!J$1,products!$A$1:$G$1,0))</f>
        <v/>
      </c>
      <c r="K730" s="4">
        <f>INDEX(products!$A$1:$G$49,MATCH(orders!$D730,products!$A$1:$A$49,0),MATCH(orders!K$1,products!$A$1:$G$1,0))</f>
        <v/>
      </c>
      <c r="L730" s="5">
        <f>INDEX(products!$A$1:$G$49,MATCH(orders!$D730,products!$A$1:$A$49,0),MATCH(orders!L$1,products!$A$1:$G$1,0))</f>
        <v/>
      </c>
      <c r="M730" s="5">
        <f>L730*E730</f>
        <v/>
      </c>
      <c r="N730">
        <f>IF(I730="Rob","Robusta",IF(I730="Exc","Excelsa",IF(I730="Ara","Arabica",IF(I730="Lib","Liberica",""))))</f>
        <v/>
      </c>
      <c r="O730">
        <f>IF(J730="M","Medium",IF(J730="L","Light",IF(J730="D","Dark","")))</f>
        <v/>
      </c>
      <c r="P730">
        <f>_xlfn.XLOOKUP(Orders[[#This Row],[Customer ID]],customers!$A$1:$A$1001,customers!$I$1:$I$1001,,0)</f>
        <v/>
      </c>
    </row>
    <row r="731">
      <c r="A731" s="2" t="inlineStr">
        <is>
          <t>O6878</t>
        </is>
      </c>
      <c r="B731" s="3" t="inlineStr">
        <is>
          <t>2023-05-16</t>
        </is>
      </c>
      <c r="C731" s="2" t="inlineStr">
        <is>
          <t>O4052</t>
        </is>
      </c>
      <c r="D731" t="inlineStr">
        <is>
          <t>O1708</t>
        </is>
      </c>
      <c r="E731" s="2" t="n">
        <v>56</v>
      </c>
      <c r="F731" s="2">
        <f>_xlfn.XLOOKUP(C731,customers!$A$1:$A$1001,customers!$B$1:$B$1001,,0)</f>
        <v/>
      </c>
      <c r="G731" s="2">
        <f>IF(_xlfn.XLOOKUP(C731,customers!$A$1:$A$1001,customers!$C$1:$C$1001,,0)=0,"",_xlfn.XLOOKUP(C731,customers!$A$1:$A$1001,customers!$C$1:$C$1001,,0))</f>
        <v/>
      </c>
      <c r="H731" s="2">
        <f>_xlfn.XLOOKUP(C731,customers!$A$1:$A$1001,customers!$G$1:$G$1001,,0)</f>
        <v/>
      </c>
      <c r="I731">
        <f>INDEX(products!$A$1:$G$49,MATCH(orders!$D731,products!$A$1:$A$49,0),MATCH(orders!I$1,products!$A$1:$G$1,0))</f>
        <v/>
      </c>
      <c r="J731">
        <f>INDEX(products!$A$1:$G$49,MATCH(orders!$D731,products!$A$1:$A$49,0),MATCH(orders!J$1,products!$A$1:$G$1,0))</f>
        <v/>
      </c>
      <c r="K731" s="4">
        <f>INDEX(products!$A$1:$G$49,MATCH(orders!$D731,products!$A$1:$A$49,0),MATCH(orders!K$1,products!$A$1:$G$1,0))</f>
        <v/>
      </c>
      <c r="L731" s="5">
        <f>INDEX(products!$A$1:$G$49,MATCH(orders!$D731,products!$A$1:$A$49,0),MATCH(orders!L$1,products!$A$1:$G$1,0))</f>
        <v/>
      </c>
      <c r="M731" s="5">
        <f>L731*E731</f>
        <v/>
      </c>
      <c r="N731">
        <f>IF(I731="Rob","Robusta",IF(I731="Exc","Excelsa",IF(I731="Ara","Arabica",IF(I731="Lib","Liberica",""))))</f>
        <v/>
      </c>
      <c r="O731">
        <f>IF(J731="M","Medium",IF(J731="L","Light",IF(J731="D","Dark","")))</f>
        <v/>
      </c>
      <c r="P731">
        <f>_xlfn.XLOOKUP(Orders[[#This Row],[Customer ID]],customers!$A$1:$A$1001,customers!$I$1:$I$1001,,0)</f>
        <v/>
      </c>
    </row>
    <row r="732">
      <c r="A732" s="2" t="inlineStr">
        <is>
          <t>O1488</t>
        </is>
      </c>
      <c r="B732" s="3" t="inlineStr">
        <is>
          <t>2023-06-10</t>
        </is>
      </c>
      <c r="C732" s="2" t="inlineStr">
        <is>
          <t>O9011</t>
        </is>
      </c>
      <c r="D732" t="inlineStr">
        <is>
          <t>O6779</t>
        </is>
      </c>
      <c r="E732" s="2" t="n">
        <v>398</v>
      </c>
      <c r="F732" s="2">
        <f>_xlfn.XLOOKUP(C732,customers!$A$1:$A$1001,customers!$B$1:$B$1001,,0)</f>
        <v/>
      </c>
      <c r="G732" s="2">
        <f>IF(_xlfn.XLOOKUP(C732,customers!$A$1:$A$1001,customers!$C$1:$C$1001,,0)=0,"",_xlfn.XLOOKUP(C732,customers!$A$1:$A$1001,customers!$C$1:$C$1001,,0))</f>
        <v/>
      </c>
      <c r="H732" s="2">
        <f>_xlfn.XLOOKUP(C732,customers!$A$1:$A$1001,customers!$G$1:$G$1001,,0)</f>
        <v/>
      </c>
      <c r="I732">
        <f>INDEX(products!$A$1:$G$49,MATCH(orders!$D732,products!$A$1:$A$49,0),MATCH(orders!I$1,products!$A$1:$G$1,0))</f>
        <v/>
      </c>
      <c r="J732">
        <f>INDEX(products!$A$1:$G$49,MATCH(orders!$D732,products!$A$1:$A$49,0),MATCH(orders!J$1,products!$A$1:$G$1,0))</f>
        <v/>
      </c>
      <c r="K732" s="4">
        <f>INDEX(products!$A$1:$G$49,MATCH(orders!$D732,products!$A$1:$A$49,0),MATCH(orders!K$1,products!$A$1:$G$1,0))</f>
        <v/>
      </c>
      <c r="L732" s="5">
        <f>INDEX(products!$A$1:$G$49,MATCH(orders!$D732,products!$A$1:$A$49,0),MATCH(orders!L$1,products!$A$1:$G$1,0))</f>
        <v/>
      </c>
      <c r="M732" s="5">
        <f>L732*E732</f>
        <v/>
      </c>
      <c r="N732">
        <f>IF(I732="Rob","Robusta",IF(I732="Exc","Excelsa",IF(I732="Ara","Arabica",IF(I732="Lib","Liberica",""))))</f>
        <v/>
      </c>
      <c r="O732">
        <f>IF(J732="M","Medium",IF(J732="L","Light",IF(J732="D","Dark","")))</f>
        <v/>
      </c>
      <c r="P732">
        <f>_xlfn.XLOOKUP(Orders[[#This Row],[Customer ID]],customers!$A$1:$A$1001,customers!$I$1:$I$1001,,0)</f>
        <v/>
      </c>
    </row>
    <row r="733">
      <c r="A733" s="2" t="inlineStr">
        <is>
          <t>O7628</t>
        </is>
      </c>
      <c r="B733" s="3" t="inlineStr">
        <is>
          <t>2020-12-17</t>
        </is>
      </c>
      <c r="C733" s="2" t="inlineStr">
        <is>
          <t>O8649</t>
        </is>
      </c>
      <c r="D733" t="inlineStr">
        <is>
          <t>O4393</t>
        </is>
      </c>
      <c r="E733" s="2" t="n">
        <v>359</v>
      </c>
      <c r="F733" s="2">
        <f>_xlfn.XLOOKUP(C733,customers!$A$1:$A$1001,customers!$B$1:$B$1001,,0)</f>
        <v/>
      </c>
      <c r="G733" s="2">
        <f>IF(_xlfn.XLOOKUP(C733,customers!$A$1:$A$1001,customers!$C$1:$C$1001,,0)=0,"",_xlfn.XLOOKUP(C733,customers!$A$1:$A$1001,customers!$C$1:$C$1001,,0))</f>
        <v/>
      </c>
      <c r="H733" s="2">
        <f>_xlfn.XLOOKUP(C733,customers!$A$1:$A$1001,customers!$G$1:$G$1001,,0)</f>
        <v/>
      </c>
      <c r="I733">
        <f>INDEX(products!$A$1:$G$49,MATCH(orders!$D733,products!$A$1:$A$49,0),MATCH(orders!I$1,products!$A$1:$G$1,0))</f>
        <v/>
      </c>
      <c r="J733">
        <f>INDEX(products!$A$1:$G$49,MATCH(orders!$D733,products!$A$1:$A$49,0),MATCH(orders!J$1,products!$A$1:$G$1,0))</f>
        <v/>
      </c>
      <c r="K733" s="4">
        <f>INDEX(products!$A$1:$G$49,MATCH(orders!$D733,products!$A$1:$A$49,0),MATCH(orders!K$1,products!$A$1:$G$1,0))</f>
        <v/>
      </c>
      <c r="L733" s="5">
        <f>INDEX(products!$A$1:$G$49,MATCH(orders!$D733,products!$A$1:$A$49,0),MATCH(orders!L$1,products!$A$1:$G$1,0))</f>
        <v/>
      </c>
      <c r="M733" s="5">
        <f>L733*E733</f>
        <v/>
      </c>
      <c r="N733">
        <f>IF(I733="Rob","Robusta",IF(I733="Exc","Excelsa",IF(I733="Ara","Arabica",IF(I733="Lib","Liberica",""))))</f>
        <v/>
      </c>
      <c r="O733">
        <f>IF(J733="M","Medium",IF(J733="L","Light",IF(J733="D","Dark","")))</f>
        <v/>
      </c>
      <c r="P733">
        <f>_xlfn.XLOOKUP(Orders[[#This Row],[Customer ID]],customers!$A$1:$A$1001,customers!$I$1:$I$1001,,0)</f>
        <v/>
      </c>
    </row>
    <row r="734">
      <c r="A734" s="2" t="inlineStr">
        <is>
          <t>O2049</t>
        </is>
      </c>
      <c r="B734" s="3" t="inlineStr">
        <is>
          <t>2021-07-30</t>
        </is>
      </c>
      <c r="C734" s="2" t="inlineStr">
        <is>
          <t>O8332</t>
        </is>
      </c>
      <c r="D734" t="inlineStr">
        <is>
          <t>O7756</t>
        </is>
      </c>
      <c r="E734" s="2" t="n">
        <v>177</v>
      </c>
      <c r="F734" s="2">
        <f>_xlfn.XLOOKUP(C734,customers!$A$1:$A$1001,customers!$B$1:$B$1001,,0)</f>
        <v/>
      </c>
      <c r="G734" s="2">
        <f>IF(_xlfn.XLOOKUP(C734,customers!$A$1:$A$1001,customers!$C$1:$C$1001,,0)=0,"",_xlfn.XLOOKUP(C734,customers!$A$1:$A$1001,customers!$C$1:$C$1001,,0))</f>
        <v/>
      </c>
      <c r="H734" s="2">
        <f>_xlfn.XLOOKUP(C734,customers!$A$1:$A$1001,customers!$G$1:$G$1001,,0)</f>
        <v/>
      </c>
      <c r="I734">
        <f>INDEX(products!$A$1:$G$49,MATCH(orders!$D734,products!$A$1:$A$49,0),MATCH(orders!I$1,products!$A$1:$G$1,0))</f>
        <v/>
      </c>
      <c r="J734">
        <f>INDEX(products!$A$1:$G$49,MATCH(orders!$D734,products!$A$1:$A$49,0),MATCH(orders!J$1,products!$A$1:$G$1,0))</f>
        <v/>
      </c>
      <c r="K734" s="4">
        <f>INDEX(products!$A$1:$G$49,MATCH(orders!$D734,products!$A$1:$A$49,0),MATCH(orders!K$1,products!$A$1:$G$1,0))</f>
        <v/>
      </c>
      <c r="L734" s="5">
        <f>INDEX(products!$A$1:$G$49,MATCH(orders!$D734,products!$A$1:$A$49,0),MATCH(orders!L$1,products!$A$1:$G$1,0))</f>
        <v/>
      </c>
      <c r="M734" s="5">
        <f>L734*E734</f>
        <v/>
      </c>
      <c r="N734">
        <f>IF(I734="Rob","Robusta",IF(I734="Exc","Excelsa",IF(I734="Ara","Arabica",IF(I734="Lib","Liberica",""))))</f>
        <v/>
      </c>
      <c r="O734">
        <f>IF(J734="M","Medium",IF(J734="L","Light",IF(J734="D","Dark","")))</f>
        <v/>
      </c>
      <c r="P734">
        <f>_xlfn.XLOOKUP(Orders[[#This Row],[Customer ID]],customers!$A$1:$A$1001,customers!$I$1:$I$1001,,0)</f>
        <v/>
      </c>
    </row>
    <row r="735">
      <c r="A735" s="2" t="inlineStr">
        <is>
          <t>O4840</t>
        </is>
      </c>
      <c r="B735" s="3" t="inlineStr">
        <is>
          <t>2022-05-04</t>
        </is>
      </c>
      <c r="C735" s="2" t="inlineStr">
        <is>
          <t>O7157</t>
        </is>
      </c>
      <c r="D735" t="inlineStr">
        <is>
          <t>O1294</t>
        </is>
      </c>
      <c r="E735" s="2" t="n">
        <v>294</v>
      </c>
      <c r="F735" s="2">
        <f>_xlfn.XLOOKUP(C735,customers!$A$1:$A$1001,customers!$B$1:$B$1001,,0)</f>
        <v/>
      </c>
      <c r="G735" s="2">
        <f>IF(_xlfn.XLOOKUP(C735,customers!$A$1:$A$1001,customers!$C$1:$C$1001,,0)=0,"",_xlfn.XLOOKUP(C735,customers!$A$1:$A$1001,customers!$C$1:$C$1001,,0))</f>
        <v/>
      </c>
      <c r="H735" s="2">
        <f>_xlfn.XLOOKUP(C735,customers!$A$1:$A$1001,customers!$G$1:$G$1001,,0)</f>
        <v/>
      </c>
      <c r="I735">
        <f>INDEX(products!$A$1:$G$49,MATCH(orders!$D735,products!$A$1:$A$49,0),MATCH(orders!I$1,products!$A$1:$G$1,0))</f>
        <v/>
      </c>
      <c r="J735">
        <f>INDEX(products!$A$1:$G$49,MATCH(orders!$D735,products!$A$1:$A$49,0),MATCH(orders!J$1,products!$A$1:$G$1,0))</f>
        <v/>
      </c>
      <c r="K735" s="4">
        <f>INDEX(products!$A$1:$G$49,MATCH(orders!$D735,products!$A$1:$A$49,0),MATCH(orders!K$1,products!$A$1:$G$1,0))</f>
        <v/>
      </c>
      <c r="L735" s="5">
        <f>INDEX(products!$A$1:$G$49,MATCH(orders!$D735,products!$A$1:$A$49,0),MATCH(orders!L$1,products!$A$1:$G$1,0))</f>
        <v/>
      </c>
      <c r="M735" s="5">
        <f>L735*E735</f>
        <v/>
      </c>
      <c r="N735">
        <f>IF(I735="Rob","Robusta",IF(I735="Exc","Excelsa",IF(I735="Ara","Arabica",IF(I735="Lib","Liberica",""))))</f>
        <v/>
      </c>
      <c r="O735">
        <f>IF(J735="M","Medium",IF(J735="L","Light",IF(J735="D","Dark","")))</f>
        <v/>
      </c>
      <c r="P735">
        <f>_xlfn.XLOOKUP(Orders[[#This Row],[Customer ID]],customers!$A$1:$A$1001,customers!$I$1:$I$1001,,0)</f>
        <v/>
      </c>
    </row>
    <row r="736">
      <c r="A736" s="2" t="inlineStr">
        <is>
          <t>O3677</t>
        </is>
      </c>
      <c r="B736" s="3" t="inlineStr">
        <is>
          <t>2025-02-11</t>
        </is>
      </c>
      <c r="C736" s="2" t="inlineStr">
        <is>
          <t>O7474</t>
        </is>
      </c>
      <c r="D736" t="inlineStr">
        <is>
          <t>O7520</t>
        </is>
      </c>
      <c r="E736" s="2" t="n">
        <v>499</v>
      </c>
      <c r="F736" s="2">
        <f>_xlfn.XLOOKUP(C736,customers!$A$1:$A$1001,customers!$B$1:$B$1001,,0)</f>
        <v/>
      </c>
      <c r="G736" s="2">
        <f>IF(_xlfn.XLOOKUP(C736,customers!$A$1:$A$1001,customers!$C$1:$C$1001,,0)=0,"",_xlfn.XLOOKUP(C736,customers!$A$1:$A$1001,customers!$C$1:$C$1001,,0))</f>
        <v/>
      </c>
      <c r="H736" s="2">
        <f>_xlfn.XLOOKUP(C736,customers!$A$1:$A$1001,customers!$G$1:$G$1001,,0)</f>
        <v/>
      </c>
      <c r="I736">
        <f>INDEX(products!$A$1:$G$49,MATCH(orders!$D736,products!$A$1:$A$49,0),MATCH(orders!I$1,products!$A$1:$G$1,0))</f>
        <v/>
      </c>
      <c r="J736">
        <f>INDEX(products!$A$1:$G$49,MATCH(orders!$D736,products!$A$1:$A$49,0),MATCH(orders!J$1,products!$A$1:$G$1,0))</f>
        <v/>
      </c>
      <c r="K736" s="4">
        <f>INDEX(products!$A$1:$G$49,MATCH(orders!$D736,products!$A$1:$A$49,0),MATCH(orders!K$1,products!$A$1:$G$1,0))</f>
        <v/>
      </c>
      <c r="L736" s="5">
        <f>INDEX(products!$A$1:$G$49,MATCH(orders!$D736,products!$A$1:$A$49,0),MATCH(orders!L$1,products!$A$1:$G$1,0))</f>
        <v/>
      </c>
      <c r="M736" s="5">
        <f>L736*E736</f>
        <v/>
      </c>
      <c r="N736">
        <f>IF(I736="Rob","Robusta",IF(I736="Exc","Excelsa",IF(I736="Ara","Arabica",IF(I736="Lib","Liberica",""))))</f>
        <v/>
      </c>
      <c r="O736">
        <f>IF(J736="M","Medium",IF(J736="L","Light",IF(J736="D","Dark","")))</f>
        <v/>
      </c>
      <c r="P736">
        <f>_xlfn.XLOOKUP(Orders[[#This Row],[Customer ID]],customers!$A$1:$A$1001,customers!$I$1:$I$1001,,0)</f>
        <v/>
      </c>
    </row>
    <row r="737">
      <c r="A737" s="2" t="inlineStr">
        <is>
          <t>O7411</t>
        </is>
      </c>
      <c r="B737" s="3" t="inlineStr">
        <is>
          <t>2020-07-14</t>
        </is>
      </c>
      <c r="C737" s="2" t="inlineStr">
        <is>
          <t>O7429</t>
        </is>
      </c>
      <c r="D737" t="inlineStr">
        <is>
          <t>O4325</t>
        </is>
      </c>
      <c r="E737" s="2" t="n">
        <v>117</v>
      </c>
      <c r="F737" s="2">
        <f>_xlfn.XLOOKUP(C737,customers!$A$1:$A$1001,customers!$B$1:$B$1001,,0)</f>
        <v/>
      </c>
      <c r="G737" s="2">
        <f>IF(_xlfn.XLOOKUP(C737,customers!$A$1:$A$1001,customers!$C$1:$C$1001,,0)=0,"",_xlfn.XLOOKUP(C737,customers!$A$1:$A$1001,customers!$C$1:$C$1001,,0))</f>
        <v/>
      </c>
      <c r="H737" s="2">
        <f>_xlfn.XLOOKUP(C737,customers!$A$1:$A$1001,customers!$G$1:$G$1001,,0)</f>
        <v/>
      </c>
      <c r="I737">
        <f>INDEX(products!$A$1:$G$49,MATCH(orders!$D737,products!$A$1:$A$49,0),MATCH(orders!I$1,products!$A$1:$G$1,0))</f>
        <v/>
      </c>
      <c r="J737">
        <f>INDEX(products!$A$1:$G$49,MATCH(orders!$D737,products!$A$1:$A$49,0),MATCH(orders!J$1,products!$A$1:$G$1,0))</f>
        <v/>
      </c>
      <c r="K737" s="4">
        <f>INDEX(products!$A$1:$G$49,MATCH(orders!$D737,products!$A$1:$A$49,0),MATCH(orders!K$1,products!$A$1:$G$1,0))</f>
        <v/>
      </c>
      <c r="L737" s="5">
        <f>INDEX(products!$A$1:$G$49,MATCH(orders!$D737,products!$A$1:$A$49,0),MATCH(orders!L$1,products!$A$1:$G$1,0))</f>
        <v/>
      </c>
      <c r="M737" s="5">
        <f>L737*E737</f>
        <v/>
      </c>
      <c r="N737">
        <f>IF(I737="Rob","Robusta",IF(I737="Exc","Excelsa",IF(I737="Ara","Arabica",IF(I737="Lib","Liberica",""))))</f>
        <v/>
      </c>
      <c r="O737">
        <f>IF(J737="M","Medium",IF(J737="L","Light",IF(J737="D","Dark","")))</f>
        <v/>
      </c>
      <c r="P737">
        <f>_xlfn.XLOOKUP(Orders[[#This Row],[Customer ID]],customers!$A$1:$A$1001,customers!$I$1:$I$1001,,0)</f>
        <v/>
      </c>
    </row>
    <row r="738">
      <c r="A738" s="2" t="inlineStr">
        <is>
          <t>O7125</t>
        </is>
      </c>
      <c r="B738" s="3" t="inlineStr">
        <is>
          <t>2021-09-07</t>
        </is>
      </c>
      <c r="C738" s="2" t="inlineStr">
        <is>
          <t>O6094</t>
        </is>
      </c>
      <c r="D738" t="inlineStr">
        <is>
          <t>O6946</t>
        </is>
      </c>
      <c r="E738" s="2" t="n">
        <v>444</v>
      </c>
      <c r="F738" s="2">
        <f>_xlfn.XLOOKUP(C738,customers!$A$1:$A$1001,customers!$B$1:$B$1001,,0)</f>
        <v/>
      </c>
      <c r="G738" s="2">
        <f>IF(_xlfn.XLOOKUP(C738,customers!$A$1:$A$1001,customers!$C$1:$C$1001,,0)=0,"",_xlfn.XLOOKUP(C738,customers!$A$1:$A$1001,customers!$C$1:$C$1001,,0))</f>
        <v/>
      </c>
      <c r="H738" s="2">
        <f>_xlfn.XLOOKUP(C738,customers!$A$1:$A$1001,customers!$G$1:$G$1001,,0)</f>
        <v/>
      </c>
      <c r="I738">
        <f>INDEX(products!$A$1:$G$49,MATCH(orders!$D738,products!$A$1:$A$49,0),MATCH(orders!I$1,products!$A$1:$G$1,0))</f>
        <v/>
      </c>
      <c r="J738">
        <f>INDEX(products!$A$1:$G$49,MATCH(orders!$D738,products!$A$1:$A$49,0),MATCH(orders!J$1,products!$A$1:$G$1,0))</f>
        <v/>
      </c>
      <c r="K738" s="4">
        <f>INDEX(products!$A$1:$G$49,MATCH(orders!$D738,products!$A$1:$A$49,0),MATCH(orders!K$1,products!$A$1:$G$1,0))</f>
        <v/>
      </c>
      <c r="L738" s="5">
        <f>INDEX(products!$A$1:$G$49,MATCH(orders!$D738,products!$A$1:$A$49,0),MATCH(orders!L$1,products!$A$1:$G$1,0))</f>
        <v/>
      </c>
      <c r="M738" s="5">
        <f>L738*E738</f>
        <v/>
      </c>
      <c r="N738">
        <f>IF(I738="Rob","Robusta",IF(I738="Exc","Excelsa",IF(I738="Ara","Arabica",IF(I738="Lib","Liberica",""))))</f>
        <v/>
      </c>
      <c r="O738">
        <f>IF(J738="M","Medium",IF(J738="L","Light",IF(J738="D","Dark","")))</f>
        <v/>
      </c>
      <c r="P738">
        <f>_xlfn.XLOOKUP(Orders[[#This Row],[Customer ID]],customers!$A$1:$A$1001,customers!$I$1:$I$1001,,0)</f>
        <v/>
      </c>
    </row>
    <row r="739">
      <c r="A739" s="2" t="inlineStr">
        <is>
          <t>O2800</t>
        </is>
      </c>
      <c r="B739" s="3" t="inlineStr">
        <is>
          <t>2023-08-17</t>
        </is>
      </c>
      <c r="C739" s="2" t="inlineStr">
        <is>
          <t>O4514</t>
        </is>
      </c>
      <c r="D739" t="inlineStr">
        <is>
          <t>O7634</t>
        </is>
      </c>
      <c r="E739" s="2" t="n">
        <v>163</v>
      </c>
      <c r="F739" s="2">
        <f>_xlfn.XLOOKUP(C739,customers!$A$1:$A$1001,customers!$B$1:$B$1001,,0)</f>
        <v/>
      </c>
      <c r="G739" s="2">
        <f>IF(_xlfn.XLOOKUP(C739,customers!$A$1:$A$1001,customers!$C$1:$C$1001,,0)=0,"",_xlfn.XLOOKUP(C739,customers!$A$1:$A$1001,customers!$C$1:$C$1001,,0))</f>
        <v/>
      </c>
      <c r="H739" s="2">
        <f>_xlfn.XLOOKUP(C739,customers!$A$1:$A$1001,customers!$G$1:$G$1001,,0)</f>
        <v/>
      </c>
      <c r="I739">
        <f>INDEX(products!$A$1:$G$49,MATCH(orders!$D739,products!$A$1:$A$49,0),MATCH(orders!I$1,products!$A$1:$G$1,0))</f>
        <v/>
      </c>
      <c r="J739">
        <f>INDEX(products!$A$1:$G$49,MATCH(orders!$D739,products!$A$1:$A$49,0),MATCH(orders!J$1,products!$A$1:$G$1,0))</f>
        <v/>
      </c>
      <c r="K739" s="4">
        <f>INDEX(products!$A$1:$G$49,MATCH(orders!$D739,products!$A$1:$A$49,0),MATCH(orders!K$1,products!$A$1:$G$1,0))</f>
        <v/>
      </c>
      <c r="L739" s="5">
        <f>INDEX(products!$A$1:$G$49,MATCH(orders!$D739,products!$A$1:$A$49,0),MATCH(orders!L$1,products!$A$1:$G$1,0))</f>
        <v/>
      </c>
      <c r="M739" s="5">
        <f>L739*E739</f>
        <v/>
      </c>
      <c r="N739">
        <f>IF(I739="Rob","Robusta",IF(I739="Exc","Excelsa",IF(I739="Ara","Arabica",IF(I739="Lib","Liberica",""))))</f>
        <v/>
      </c>
      <c r="O739">
        <f>IF(J739="M","Medium",IF(J739="L","Light",IF(J739="D","Dark","")))</f>
        <v/>
      </c>
      <c r="P739">
        <f>_xlfn.XLOOKUP(Orders[[#This Row],[Customer ID]],customers!$A$1:$A$1001,customers!$I$1:$I$1001,,0)</f>
        <v/>
      </c>
    </row>
    <row r="740">
      <c r="A740" s="2" t="inlineStr">
        <is>
          <t>O4805</t>
        </is>
      </c>
      <c r="B740" s="3" t="inlineStr">
        <is>
          <t>2025-07-01</t>
        </is>
      </c>
      <c r="C740" s="2" t="inlineStr">
        <is>
          <t>O6012</t>
        </is>
      </c>
      <c r="D740" t="inlineStr">
        <is>
          <t>O5798</t>
        </is>
      </c>
      <c r="E740" s="2" t="n">
        <v>6</v>
      </c>
      <c r="F740" s="2">
        <f>_xlfn.XLOOKUP(C740,customers!$A$1:$A$1001,customers!$B$1:$B$1001,,0)</f>
        <v/>
      </c>
      <c r="G740" s="2">
        <f>IF(_xlfn.XLOOKUP(C740,customers!$A$1:$A$1001,customers!$C$1:$C$1001,,0)=0,"",_xlfn.XLOOKUP(C740,customers!$A$1:$A$1001,customers!$C$1:$C$1001,,0))</f>
        <v/>
      </c>
      <c r="H740" s="2">
        <f>_xlfn.XLOOKUP(C740,customers!$A$1:$A$1001,customers!$G$1:$G$1001,,0)</f>
        <v/>
      </c>
      <c r="I740">
        <f>INDEX(products!$A$1:$G$49,MATCH(orders!$D740,products!$A$1:$A$49,0),MATCH(orders!I$1,products!$A$1:$G$1,0))</f>
        <v/>
      </c>
      <c r="J740">
        <f>INDEX(products!$A$1:$G$49,MATCH(orders!$D740,products!$A$1:$A$49,0),MATCH(orders!J$1,products!$A$1:$G$1,0))</f>
        <v/>
      </c>
      <c r="K740" s="4">
        <f>INDEX(products!$A$1:$G$49,MATCH(orders!$D740,products!$A$1:$A$49,0),MATCH(orders!K$1,products!$A$1:$G$1,0))</f>
        <v/>
      </c>
      <c r="L740" s="5">
        <f>INDEX(products!$A$1:$G$49,MATCH(orders!$D740,products!$A$1:$A$49,0),MATCH(orders!L$1,products!$A$1:$G$1,0))</f>
        <v/>
      </c>
      <c r="M740" s="5">
        <f>L740*E740</f>
        <v/>
      </c>
      <c r="N740">
        <f>IF(I740="Rob","Robusta",IF(I740="Exc","Excelsa",IF(I740="Ara","Arabica",IF(I740="Lib","Liberica",""))))</f>
        <v/>
      </c>
      <c r="O740">
        <f>IF(J740="M","Medium",IF(J740="L","Light",IF(J740="D","Dark","")))</f>
        <v/>
      </c>
      <c r="P740">
        <f>_xlfn.XLOOKUP(Orders[[#This Row],[Customer ID]],customers!$A$1:$A$1001,customers!$I$1:$I$1001,,0)</f>
        <v/>
      </c>
    </row>
    <row r="741">
      <c r="A741" s="2" t="inlineStr">
        <is>
          <t>O5267</t>
        </is>
      </c>
      <c r="B741" s="3" t="inlineStr">
        <is>
          <t>2024-01-23</t>
        </is>
      </c>
      <c r="C741" s="2" t="inlineStr">
        <is>
          <t>O3776</t>
        </is>
      </c>
      <c r="D741" t="inlineStr">
        <is>
          <t>O2465</t>
        </is>
      </c>
      <c r="E741" s="2" t="n">
        <v>103</v>
      </c>
      <c r="F741" s="2">
        <f>_xlfn.XLOOKUP(C741,customers!$A$1:$A$1001,customers!$B$1:$B$1001,,0)</f>
        <v/>
      </c>
      <c r="G741" s="2">
        <f>IF(_xlfn.XLOOKUP(C741,customers!$A$1:$A$1001,customers!$C$1:$C$1001,,0)=0,"",_xlfn.XLOOKUP(C741,customers!$A$1:$A$1001,customers!$C$1:$C$1001,,0))</f>
        <v/>
      </c>
      <c r="H741" s="2">
        <f>_xlfn.XLOOKUP(C741,customers!$A$1:$A$1001,customers!$G$1:$G$1001,,0)</f>
        <v/>
      </c>
      <c r="I741">
        <f>INDEX(products!$A$1:$G$49,MATCH(orders!$D741,products!$A$1:$A$49,0),MATCH(orders!I$1,products!$A$1:$G$1,0))</f>
        <v/>
      </c>
      <c r="J741">
        <f>INDEX(products!$A$1:$G$49,MATCH(orders!$D741,products!$A$1:$A$49,0),MATCH(orders!J$1,products!$A$1:$G$1,0))</f>
        <v/>
      </c>
      <c r="K741" s="4">
        <f>INDEX(products!$A$1:$G$49,MATCH(orders!$D741,products!$A$1:$A$49,0),MATCH(orders!K$1,products!$A$1:$G$1,0))</f>
        <v/>
      </c>
      <c r="L741" s="5">
        <f>INDEX(products!$A$1:$G$49,MATCH(orders!$D741,products!$A$1:$A$49,0),MATCH(orders!L$1,products!$A$1:$G$1,0))</f>
        <v/>
      </c>
      <c r="M741" s="5">
        <f>L741*E741</f>
        <v/>
      </c>
      <c r="N741">
        <f>IF(I741="Rob","Robusta",IF(I741="Exc","Excelsa",IF(I741="Ara","Arabica",IF(I741="Lib","Liberica",""))))</f>
        <v/>
      </c>
      <c r="O741">
        <f>IF(J741="M","Medium",IF(J741="L","Light",IF(J741="D","Dark","")))</f>
        <v/>
      </c>
      <c r="P741">
        <f>_xlfn.XLOOKUP(Orders[[#This Row],[Customer ID]],customers!$A$1:$A$1001,customers!$I$1:$I$1001,,0)</f>
        <v/>
      </c>
    </row>
    <row r="742">
      <c r="A742" s="2" t="inlineStr">
        <is>
          <t>O9030</t>
        </is>
      </c>
      <c r="B742" s="3" t="inlineStr">
        <is>
          <t>2020-08-15</t>
        </is>
      </c>
      <c r="C742" s="2" t="inlineStr">
        <is>
          <t>O6155</t>
        </is>
      </c>
      <c r="D742" t="inlineStr">
        <is>
          <t>O2669</t>
        </is>
      </c>
      <c r="E742" s="2" t="n">
        <v>272</v>
      </c>
      <c r="F742" s="2">
        <f>_xlfn.XLOOKUP(C742,customers!$A$1:$A$1001,customers!$B$1:$B$1001,,0)</f>
        <v/>
      </c>
      <c r="G742" s="2">
        <f>IF(_xlfn.XLOOKUP(C742,customers!$A$1:$A$1001,customers!$C$1:$C$1001,,0)=0,"",_xlfn.XLOOKUP(C742,customers!$A$1:$A$1001,customers!$C$1:$C$1001,,0))</f>
        <v/>
      </c>
      <c r="H742" s="2">
        <f>_xlfn.XLOOKUP(C742,customers!$A$1:$A$1001,customers!$G$1:$G$1001,,0)</f>
        <v/>
      </c>
      <c r="I742">
        <f>INDEX(products!$A$1:$G$49,MATCH(orders!$D742,products!$A$1:$A$49,0),MATCH(orders!I$1,products!$A$1:$G$1,0))</f>
        <v/>
      </c>
      <c r="J742">
        <f>INDEX(products!$A$1:$G$49,MATCH(orders!$D742,products!$A$1:$A$49,0),MATCH(orders!J$1,products!$A$1:$G$1,0))</f>
        <v/>
      </c>
      <c r="K742" s="4">
        <f>INDEX(products!$A$1:$G$49,MATCH(orders!$D742,products!$A$1:$A$49,0),MATCH(orders!K$1,products!$A$1:$G$1,0))</f>
        <v/>
      </c>
      <c r="L742" s="5">
        <f>INDEX(products!$A$1:$G$49,MATCH(orders!$D742,products!$A$1:$A$49,0),MATCH(orders!L$1,products!$A$1:$G$1,0))</f>
        <v/>
      </c>
      <c r="M742" s="5">
        <f>L742*E742</f>
        <v/>
      </c>
      <c r="N742">
        <f>IF(I742="Rob","Robusta",IF(I742="Exc","Excelsa",IF(I742="Ara","Arabica",IF(I742="Lib","Liberica",""))))</f>
        <v/>
      </c>
      <c r="O742">
        <f>IF(J742="M","Medium",IF(J742="L","Light",IF(J742="D","Dark","")))</f>
        <v/>
      </c>
      <c r="P742">
        <f>_xlfn.XLOOKUP(Orders[[#This Row],[Customer ID]],customers!$A$1:$A$1001,customers!$I$1:$I$1001,,0)</f>
        <v/>
      </c>
    </row>
    <row r="743">
      <c r="A743" s="2" t="inlineStr">
        <is>
          <t>O4545</t>
        </is>
      </c>
      <c r="B743" s="3" t="inlineStr">
        <is>
          <t>2021-10-21</t>
        </is>
      </c>
      <c r="C743" s="2" t="inlineStr">
        <is>
          <t>O2005</t>
        </is>
      </c>
      <c r="D743" t="inlineStr">
        <is>
          <t>O6965</t>
        </is>
      </c>
      <c r="E743" s="2" t="n">
        <v>91</v>
      </c>
      <c r="F743" s="2">
        <f>_xlfn.XLOOKUP(C743,customers!$A$1:$A$1001,customers!$B$1:$B$1001,,0)</f>
        <v/>
      </c>
      <c r="G743" s="2">
        <f>IF(_xlfn.XLOOKUP(C743,customers!$A$1:$A$1001,customers!$C$1:$C$1001,,0)=0,"",_xlfn.XLOOKUP(C743,customers!$A$1:$A$1001,customers!$C$1:$C$1001,,0))</f>
        <v/>
      </c>
      <c r="H743" s="2">
        <f>_xlfn.XLOOKUP(C743,customers!$A$1:$A$1001,customers!$G$1:$G$1001,,0)</f>
        <v/>
      </c>
      <c r="I743">
        <f>INDEX(products!$A$1:$G$49,MATCH(orders!$D743,products!$A$1:$A$49,0),MATCH(orders!I$1,products!$A$1:$G$1,0))</f>
        <v/>
      </c>
      <c r="J743">
        <f>INDEX(products!$A$1:$G$49,MATCH(orders!$D743,products!$A$1:$A$49,0),MATCH(orders!J$1,products!$A$1:$G$1,0))</f>
        <v/>
      </c>
      <c r="K743" s="4">
        <f>INDEX(products!$A$1:$G$49,MATCH(orders!$D743,products!$A$1:$A$49,0),MATCH(orders!K$1,products!$A$1:$G$1,0))</f>
        <v/>
      </c>
      <c r="L743" s="5">
        <f>INDEX(products!$A$1:$G$49,MATCH(orders!$D743,products!$A$1:$A$49,0),MATCH(orders!L$1,products!$A$1:$G$1,0))</f>
        <v/>
      </c>
      <c r="M743" s="5">
        <f>L743*E743</f>
        <v/>
      </c>
      <c r="N743">
        <f>IF(I743="Rob","Robusta",IF(I743="Exc","Excelsa",IF(I743="Ara","Arabica",IF(I743="Lib","Liberica",""))))</f>
        <v/>
      </c>
      <c r="O743">
        <f>IF(J743="M","Medium",IF(J743="L","Light",IF(J743="D","Dark","")))</f>
        <v/>
      </c>
      <c r="P743">
        <f>_xlfn.XLOOKUP(Orders[[#This Row],[Customer ID]],customers!$A$1:$A$1001,customers!$I$1:$I$1001,,0)</f>
        <v/>
      </c>
    </row>
    <row r="744">
      <c r="A744" s="2" t="inlineStr">
        <is>
          <t>O2021</t>
        </is>
      </c>
      <c r="B744" s="3" t="inlineStr">
        <is>
          <t>2021-04-01</t>
        </is>
      </c>
      <c r="C744" s="2" t="inlineStr">
        <is>
          <t>O9341</t>
        </is>
      </c>
      <c r="D744" t="inlineStr">
        <is>
          <t>O7382</t>
        </is>
      </c>
      <c r="E744" s="2" t="n">
        <v>317</v>
      </c>
      <c r="F744" s="2">
        <f>_xlfn.XLOOKUP(C744,customers!$A$1:$A$1001,customers!$B$1:$B$1001,,0)</f>
        <v/>
      </c>
      <c r="G744" s="2">
        <f>IF(_xlfn.XLOOKUP(C744,customers!$A$1:$A$1001,customers!$C$1:$C$1001,,0)=0,"",_xlfn.XLOOKUP(C744,customers!$A$1:$A$1001,customers!$C$1:$C$1001,,0))</f>
        <v/>
      </c>
      <c r="H744" s="2">
        <f>_xlfn.XLOOKUP(C744,customers!$A$1:$A$1001,customers!$G$1:$G$1001,,0)</f>
        <v/>
      </c>
      <c r="I744">
        <f>INDEX(products!$A$1:$G$49,MATCH(orders!$D744,products!$A$1:$A$49,0),MATCH(orders!I$1,products!$A$1:$G$1,0))</f>
        <v/>
      </c>
      <c r="J744">
        <f>INDEX(products!$A$1:$G$49,MATCH(orders!$D744,products!$A$1:$A$49,0),MATCH(orders!J$1,products!$A$1:$G$1,0))</f>
        <v/>
      </c>
      <c r="K744" s="4">
        <f>INDEX(products!$A$1:$G$49,MATCH(orders!$D744,products!$A$1:$A$49,0),MATCH(orders!K$1,products!$A$1:$G$1,0))</f>
        <v/>
      </c>
      <c r="L744" s="5">
        <f>INDEX(products!$A$1:$G$49,MATCH(orders!$D744,products!$A$1:$A$49,0),MATCH(orders!L$1,products!$A$1:$G$1,0))</f>
        <v/>
      </c>
      <c r="M744" s="5">
        <f>L744*E744</f>
        <v/>
      </c>
      <c r="N744">
        <f>IF(I744="Rob","Robusta",IF(I744="Exc","Excelsa",IF(I744="Ara","Arabica",IF(I744="Lib","Liberica",""))))</f>
        <v/>
      </c>
      <c r="O744">
        <f>IF(J744="M","Medium",IF(J744="L","Light",IF(J744="D","Dark","")))</f>
        <v/>
      </c>
      <c r="P744">
        <f>_xlfn.XLOOKUP(Orders[[#This Row],[Customer ID]],customers!$A$1:$A$1001,customers!$I$1:$I$1001,,0)</f>
        <v/>
      </c>
    </row>
    <row r="745">
      <c r="A745" s="2" t="inlineStr">
        <is>
          <t>O3795</t>
        </is>
      </c>
      <c r="B745" s="3" t="inlineStr">
        <is>
          <t>2025-08-23</t>
        </is>
      </c>
      <c r="C745" s="2" t="inlineStr">
        <is>
          <t>O6455</t>
        </is>
      </c>
      <c r="D745" t="inlineStr">
        <is>
          <t>O5411</t>
        </is>
      </c>
      <c r="E745" s="2" t="n">
        <v>464</v>
      </c>
      <c r="F745" s="2">
        <f>_xlfn.XLOOKUP(C745,customers!$A$1:$A$1001,customers!$B$1:$B$1001,,0)</f>
        <v/>
      </c>
      <c r="G745" s="2">
        <f>IF(_xlfn.XLOOKUP(C745,customers!$A$1:$A$1001,customers!$C$1:$C$1001,,0)=0,"",_xlfn.XLOOKUP(C745,customers!$A$1:$A$1001,customers!$C$1:$C$1001,,0))</f>
        <v/>
      </c>
      <c r="H745" s="2">
        <f>_xlfn.XLOOKUP(C745,customers!$A$1:$A$1001,customers!$G$1:$G$1001,,0)</f>
        <v/>
      </c>
      <c r="I745">
        <f>INDEX(products!$A$1:$G$49,MATCH(orders!$D745,products!$A$1:$A$49,0),MATCH(orders!I$1,products!$A$1:$G$1,0))</f>
        <v/>
      </c>
      <c r="J745">
        <f>INDEX(products!$A$1:$G$49,MATCH(orders!$D745,products!$A$1:$A$49,0),MATCH(orders!J$1,products!$A$1:$G$1,0))</f>
        <v/>
      </c>
      <c r="K745" s="4">
        <f>INDEX(products!$A$1:$G$49,MATCH(orders!$D745,products!$A$1:$A$49,0),MATCH(orders!K$1,products!$A$1:$G$1,0))</f>
        <v/>
      </c>
      <c r="L745" s="5">
        <f>INDEX(products!$A$1:$G$49,MATCH(orders!$D745,products!$A$1:$A$49,0),MATCH(orders!L$1,products!$A$1:$G$1,0))</f>
        <v/>
      </c>
      <c r="M745" s="5">
        <f>L745*E745</f>
        <v/>
      </c>
      <c r="N745">
        <f>IF(I745="Rob","Robusta",IF(I745="Exc","Excelsa",IF(I745="Ara","Arabica",IF(I745="Lib","Liberica",""))))</f>
        <v/>
      </c>
      <c r="O745">
        <f>IF(J745="M","Medium",IF(J745="L","Light",IF(J745="D","Dark","")))</f>
        <v/>
      </c>
      <c r="P745">
        <f>_xlfn.XLOOKUP(Orders[[#This Row],[Customer ID]],customers!$A$1:$A$1001,customers!$I$1:$I$1001,,0)</f>
        <v/>
      </c>
    </row>
    <row r="746">
      <c r="A746" s="2" t="inlineStr">
        <is>
          <t>O1965</t>
        </is>
      </c>
      <c r="B746" s="3" t="inlineStr">
        <is>
          <t>2021-12-20</t>
        </is>
      </c>
      <c r="C746" s="2" t="inlineStr">
        <is>
          <t>O9191</t>
        </is>
      </c>
      <c r="D746" t="inlineStr">
        <is>
          <t>O4969</t>
        </is>
      </c>
      <c r="E746" s="2" t="n">
        <v>24</v>
      </c>
      <c r="F746" s="2">
        <f>_xlfn.XLOOKUP(C746,customers!$A$1:$A$1001,customers!$B$1:$B$1001,,0)</f>
        <v/>
      </c>
      <c r="G746" s="2">
        <f>IF(_xlfn.XLOOKUP(C746,customers!$A$1:$A$1001,customers!$C$1:$C$1001,,0)=0,"",_xlfn.XLOOKUP(C746,customers!$A$1:$A$1001,customers!$C$1:$C$1001,,0))</f>
        <v/>
      </c>
      <c r="H746" s="2">
        <f>_xlfn.XLOOKUP(C746,customers!$A$1:$A$1001,customers!$G$1:$G$1001,,0)</f>
        <v/>
      </c>
      <c r="I746">
        <f>INDEX(products!$A$1:$G$49,MATCH(orders!$D746,products!$A$1:$A$49,0),MATCH(orders!I$1,products!$A$1:$G$1,0))</f>
        <v/>
      </c>
      <c r="J746">
        <f>INDEX(products!$A$1:$G$49,MATCH(orders!$D746,products!$A$1:$A$49,0),MATCH(orders!J$1,products!$A$1:$G$1,0))</f>
        <v/>
      </c>
      <c r="K746" s="4">
        <f>INDEX(products!$A$1:$G$49,MATCH(orders!$D746,products!$A$1:$A$49,0),MATCH(orders!K$1,products!$A$1:$G$1,0))</f>
        <v/>
      </c>
      <c r="L746" s="5">
        <f>INDEX(products!$A$1:$G$49,MATCH(orders!$D746,products!$A$1:$A$49,0),MATCH(orders!L$1,products!$A$1:$G$1,0))</f>
        <v/>
      </c>
      <c r="M746" s="5">
        <f>L746*E746</f>
        <v/>
      </c>
      <c r="N746">
        <f>IF(I746="Rob","Robusta",IF(I746="Exc","Excelsa",IF(I746="Ara","Arabica",IF(I746="Lib","Liberica",""))))</f>
        <v/>
      </c>
      <c r="O746">
        <f>IF(J746="M","Medium",IF(J746="L","Light",IF(J746="D","Dark","")))</f>
        <v/>
      </c>
      <c r="P746">
        <f>_xlfn.XLOOKUP(Orders[[#This Row],[Customer ID]],customers!$A$1:$A$1001,customers!$I$1:$I$1001,,0)</f>
        <v/>
      </c>
    </row>
    <row r="747">
      <c r="A747" s="2" t="inlineStr">
        <is>
          <t>O2165</t>
        </is>
      </c>
      <c r="B747" s="3" t="inlineStr">
        <is>
          <t>2021-11-19</t>
        </is>
      </c>
      <c r="C747" s="2" t="inlineStr">
        <is>
          <t>O5612</t>
        </is>
      </c>
      <c r="D747" t="inlineStr">
        <is>
          <t>O6862</t>
        </is>
      </c>
      <c r="E747" s="2" t="n">
        <v>189</v>
      </c>
      <c r="F747" s="2">
        <f>_xlfn.XLOOKUP(C747,customers!$A$1:$A$1001,customers!$B$1:$B$1001,,0)</f>
        <v/>
      </c>
      <c r="G747" s="2">
        <f>IF(_xlfn.XLOOKUP(C747,customers!$A$1:$A$1001,customers!$C$1:$C$1001,,0)=0,"",_xlfn.XLOOKUP(C747,customers!$A$1:$A$1001,customers!$C$1:$C$1001,,0))</f>
        <v/>
      </c>
      <c r="H747" s="2">
        <f>_xlfn.XLOOKUP(C747,customers!$A$1:$A$1001,customers!$G$1:$G$1001,,0)</f>
        <v/>
      </c>
      <c r="I747">
        <f>INDEX(products!$A$1:$G$49,MATCH(orders!$D747,products!$A$1:$A$49,0),MATCH(orders!I$1,products!$A$1:$G$1,0))</f>
        <v/>
      </c>
      <c r="J747">
        <f>INDEX(products!$A$1:$G$49,MATCH(orders!$D747,products!$A$1:$A$49,0),MATCH(orders!J$1,products!$A$1:$G$1,0))</f>
        <v/>
      </c>
      <c r="K747" s="4">
        <f>INDEX(products!$A$1:$G$49,MATCH(orders!$D747,products!$A$1:$A$49,0),MATCH(orders!K$1,products!$A$1:$G$1,0))</f>
        <v/>
      </c>
      <c r="L747" s="5">
        <f>INDEX(products!$A$1:$G$49,MATCH(orders!$D747,products!$A$1:$A$49,0),MATCH(orders!L$1,products!$A$1:$G$1,0))</f>
        <v/>
      </c>
      <c r="M747" s="5">
        <f>L747*E747</f>
        <v/>
      </c>
      <c r="N747">
        <f>IF(I747="Rob","Robusta",IF(I747="Exc","Excelsa",IF(I747="Ara","Arabica",IF(I747="Lib","Liberica",""))))</f>
        <v/>
      </c>
      <c r="O747">
        <f>IF(J747="M","Medium",IF(J747="L","Light",IF(J747="D","Dark","")))</f>
        <v/>
      </c>
      <c r="P747">
        <f>_xlfn.XLOOKUP(Orders[[#This Row],[Customer ID]],customers!$A$1:$A$1001,customers!$I$1:$I$1001,,0)</f>
        <v/>
      </c>
    </row>
    <row r="748">
      <c r="A748" s="2" t="inlineStr">
        <is>
          <t>O6267</t>
        </is>
      </c>
      <c r="B748" s="3" t="inlineStr">
        <is>
          <t>2024-01-29</t>
        </is>
      </c>
      <c r="C748" s="2" t="inlineStr">
        <is>
          <t>O3044</t>
        </is>
      </c>
      <c r="D748" t="inlineStr">
        <is>
          <t>O7174</t>
        </is>
      </c>
      <c r="E748" s="2" t="n">
        <v>28</v>
      </c>
      <c r="F748" s="2">
        <f>_xlfn.XLOOKUP(C748,customers!$A$1:$A$1001,customers!$B$1:$B$1001,,0)</f>
        <v/>
      </c>
      <c r="G748" s="2">
        <f>IF(_xlfn.XLOOKUP(C748,customers!$A$1:$A$1001,customers!$C$1:$C$1001,,0)=0,"",_xlfn.XLOOKUP(C748,customers!$A$1:$A$1001,customers!$C$1:$C$1001,,0))</f>
        <v/>
      </c>
      <c r="H748" s="2">
        <f>_xlfn.XLOOKUP(C748,customers!$A$1:$A$1001,customers!$G$1:$G$1001,,0)</f>
        <v/>
      </c>
      <c r="I748">
        <f>INDEX(products!$A$1:$G$49,MATCH(orders!$D748,products!$A$1:$A$49,0),MATCH(orders!I$1,products!$A$1:$G$1,0))</f>
        <v/>
      </c>
      <c r="J748">
        <f>INDEX(products!$A$1:$G$49,MATCH(orders!$D748,products!$A$1:$A$49,0),MATCH(orders!J$1,products!$A$1:$G$1,0))</f>
        <v/>
      </c>
      <c r="K748" s="4">
        <f>INDEX(products!$A$1:$G$49,MATCH(orders!$D748,products!$A$1:$A$49,0),MATCH(orders!K$1,products!$A$1:$G$1,0))</f>
        <v/>
      </c>
      <c r="L748" s="5">
        <f>INDEX(products!$A$1:$G$49,MATCH(orders!$D748,products!$A$1:$A$49,0),MATCH(orders!L$1,products!$A$1:$G$1,0))</f>
        <v/>
      </c>
      <c r="M748" s="5">
        <f>L748*E748</f>
        <v/>
      </c>
      <c r="N748">
        <f>IF(I748="Rob","Robusta",IF(I748="Exc","Excelsa",IF(I748="Ara","Arabica",IF(I748="Lib","Liberica",""))))</f>
        <v/>
      </c>
      <c r="O748">
        <f>IF(J748="M","Medium",IF(J748="L","Light",IF(J748="D","Dark","")))</f>
        <v/>
      </c>
      <c r="P748">
        <f>_xlfn.XLOOKUP(Orders[[#This Row],[Customer ID]],customers!$A$1:$A$1001,customers!$I$1:$I$1001,,0)</f>
        <v/>
      </c>
    </row>
    <row r="749">
      <c r="A749" s="2" t="inlineStr">
        <is>
          <t>O8960</t>
        </is>
      </c>
      <c r="B749" s="3" t="inlineStr">
        <is>
          <t>2020-08-13</t>
        </is>
      </c>
      <c r="C749" s="2" t="inlineStr">
        <is>
          <t>O8211</t>
        </is>
      </c>
      <c r="D749" t="inlineStr">
        <is>
          <t>O4639</t>
        </is>
      </c>
      <c r="E749" s="2" t="n">
        <v>437</v>
      </c>
      <c r="F749" s="2">
        <f>_xlfn.XLOOKUP(C749,customers!$A$1:$A$1001,customers!$B$1:$B$1001,,0)</f>
        <v/>
      </c>
      <c r="G749" s="2">
        <f>IF(_xlfn.XLOOKUP(C749,customers!$A$1:$A$1001,customers!$C$1:$C$1001,,0)=0,"",_xlfn.XLOOKUP(C749,customers!$A$1:$A$1001,customers!$C$1:$C$1001,,0))</f>
        <v/>
      </c>
      <c r="H749" s="2">
        <f>_xlfn.XLOOKUP(C749,customers!$A$1:$A$1001,customers!$G$1:$G$1001,,0)</f>
        <v/>
      </c>
      <c r="I749">
        <f>INDEX(products!$A$1:$G$49,MATCH(orders!$D749,products!$A$1:$A$49,0),MATCH(orders!I$1,products!$A$1:$G$1,0))</f>
        <v/>
      </c>
      <c r="J749">
        <f>INDEX(products!$A$1:$G$49,MATCH(orders!$D749,products!$A$1:$A$49,0),MATCH(orders!J$1,products!$A$1:$G$1,0))</f>
        <v/>
      </c>
      <c r="K749" s="4">
        <f>INDEX(products!$A$1:$G$49,MATCH(orders!$D749,products!$A$1:$A$49,0),MATCH(orders!K$1,products!$A$1:$G$1,0))</f>
        <v/>
      </c>
      <c r="L749" s="5">
        <f>INDEX(products!$A$1:$G$49,MATCH(orders!$D749,products!$A$1:$A$49,0),MATCH(orders!L$1,products!$A$1:$G$1,0))</f>
        <v/>
      </c>
      <c r="M749" s="5">
        <f>L749*E749</f>
        <v/>
      </c>
      <c r="N749">
        <f>IF(I749="Rob","Robusta",IF(I749="Exc","Excelsa",IF(I749="Ara","Arabica",IF(I749="Lib","Liberica",""))))</f>
        <v/>
      </c>
      <c r="O749">
        <f>IF(J749="M","Medium",IF(J749="L","Light",IF(J749="D","Dark","")))</f>
        <v/>
      </c>
      <c r="P749">
        <f>_xlfn.XLOOKUP(Orders[[#This Row],[Customer ID]],customers!$A$1:$A$1001,customers!$I$1:$I$1001,,0)</f>
        <v/>
      </c>
    </row>
    <row r="750">
      <c r="A750" s="2" t="inlineStr">
        <is>
          <t>O3984</t>
        </is>
      </c>
      <c r="B750" s="3" t="inlineStr">
        <is>
          <t>2020-09-10</t>
        </is>
      </c>
      <c r="C750" s="2" t="inlineStr">
        <is>
          <t>O2858</t>
        </is>
      </c>
      <c r="D750" t="inlineStr">
        <is>
          <t>O3377</t>
        </is>
      </c>
      <c r="E750" s="2" t="n">
        <v>367</v>
      </c>
      <c r="F750" s="2">
        <f>_xlfn.XLOOKUP(C750,customers!$A$1:$A$1001,customers!$B$1:$B$1001,,0)</f>
        <v/>
      </c>
      <c r="G750" s="2">
        <f>IF(_xlfn.XLOOKUP(C750,customers!$A$1:$A$1001,customers!$C$1:$C$1001,,0)=0,"",_xlfn.XLOOKUP(C750,customers!$A$1:$A$1001,customers!$C$1:$C$1001,,0))</f>
        <v/>
      </c>
      <c r="H750" s="2">
        <f>_xlfn.XLOOKUP(C750,customers!$A$1:$A$1001,customers!$G$1:$G$1001,,0)</f>
        <v/>
      </c>
      <c r="I750">
        <f>INDEX(products!$A$1:$G$49,MATCH(orders!$D750,products!$A$1:$A$49,0),MATCH(orders!I$1,products!$A$1:$G$1,0))</f>
        <v/>
      </c>
      <c r="J750">
        <f>INDEX(products!$A$1:$G$49,MATCH(orders!$D750,products!$A$1:$A$49,0),MATCH(orders!J$1,products!$A$1:$G$1,0))</f>
        <v/>
      </c>
      <c r="K750" s="4">
        <f>INDEX(products!$A$1:$G$49,MATCH(orders!$D750,products!$A$1:$A$49,0),MATCH(orders!K$1,products!$A$1:$G$1,0))</f>
        <v/>
      </c>
      <c r="L750" s="5">
        <f>INDEX(products!$A$1:$G$49,MATCH(orders!$D750,products!$A$1:$A$49,0),MATCH(orders!L$1,products!$A$1:$G$1,0))</f>
        <v/>
      </c>
      <c r="M750" s="5">
        <f>L750*E750</f>
        <v/>
      </c>
      <c r="N750">
        <f>IF(I750="Rob","Robusta",IF(I750="Exc","Excelsa",IF(I750="Ara","Arabica",IF(I750="Lib","Liberica",""))))</f>
        <v/>
      </c>
      <c r="O750">
        <f>IF(J750="M","Medium",IF(J750="L","Light",IF(J750="D","Dark","")))</f>
        <v/>
      </c>
      <c r="P750">
        <f>_xlfn.XLOOKUP(Orders[[#This Row],[Customer ID]],customers!$A$1:$A$1001,customers!$I$1:$I$1001,,0)</f>
        <v/>
      </c>
    </row>
    <row r="751">
      <c r="A751" s="2" t="inlineStr">
        <is>
          <t>O3001</t>
        </is>
      </c>
      <c r="B751" s="3" t="inlineStr">
        <is>
          <t>2023-09-13</t>
        </is>
      </c>
      <c r="C751" s="2" t="inlineStr">
        <is>
          <t>O8740</t>
        </is>
      </c>
      <c r="D751" t="inlineStr">
        <is>
          <t>O3782</t>
        </is>
      </c>
      <c r="E751" s="2" t="n">
        <v>139</v>
      </c>
      <c r="F751" s="2">
        <f>_xlfn.XLOOKUP(C751,customers!$A$1:$A$1001,customers!$B$1:$B$1001,,0)</f>
        <v/>
      </c>
      <c r="G751" s="2">
        <f>IF(_xlfn.XLOOKUP(C751,customers!$A$1:$A$1001,customers!$C$1:$C$1001,,0)=0,"",_xlfn.XLOOKUP(C751,customers!$A$1:$A$1001,customers!$C$1:$C$1001,,0))</f>
        <v/>
      </c>
      <c r="H751" s="2">
        <f>_xlfn.XLOOKUP(C751,customers!$A$1:$A$1001,customers!$G$1:$G$1001,,0)</f>
        <v/>
      </c>
      <c r="I751">
        <f>INDEX(products!$A$1:$G$49,MATCH(orders!$D751,products!$A$1:$A$49,0),MATCH(orders!I$1,products!$A$1:$G$1,0))</f>
        <v/>
      </c>
      <c r="J751">
        <f>INDEX(products!$A$1:$G$49,MATCH(orders!$D751,products!$A$1:$A$49,0),MATCH(orders!J$1,products!$A$1:$G$1,0))</f>
        <v/>
      </c>
      <c r="K751" s="4">
        <f>INDEX(products!$A$1:$G$49,MATCH(orders!$D751,products!$A$1:$A$49,0),MATCH(orders!K$1,products!$A$1:$G$1,0))</f>
        <v/>
      </c>
      <c r="L751" s="5">
        <f>INDEX(products!$A$1:$G$49,MATCH(orders!$D751,products!$A$1:$A$49,0),MATCH(orders!L$1,products!$A$1:$G$1,0))</f>
        <v/>
      </c>
      <c r="M751" s="5">
        <f>L751*E751</f>
        <v/>
      </c>
      <c r="N751">
        <f>IF(I751="Rob","Robusta",IF(I751="Exc","Excelsa",IF(I751="Ara","Arabica",IF(I751="Lib","Liberica",""))))</f>
        <v/>
      </c>
      <c r="O751">
        <f>IF(J751="M","Medium",IF(J751="L","Light",IF(J751="D","Dark","")))</f>
        <v/>
      </c>
      <c r="P751">
        <f>_xlfn.XLOOKUP(Orders[[#This Row],[Customer ID]],customers!$A$1:$A$1001,customers!$I$1:$I$1001,,0)</f>
        <v/>
      </c>
    </row>
    <row r="752">
      <c r="A752" s="2" t="inlineStr">
        <is>
          <t>O1408</t>
        </is>
      </c>
      <c r="B752" s="3" t="inlineStr">
        <is>
          <t>2021-07-05</t>
        </is>
      </c>
      <c r="C752" s="2" t="inlineStr">
        <is>
          <t>O2075</t>
        </is>
      </c>
      <c r="D752" t="inlineStr">
        <is>
          <t>O6835</t>
        </is>
      </c>
      <c r="E752" s="2" t="n">
        <v>103</v>
      </c>
      <c r="F752" s="2">
        <f>_xlfn.XLOOKUP(C752,customers!$A$1:$A$1001,customers!$B$1:$B$1001,,0)</f>
        <v/>
      </c>
      <c r="G752" s="2">
        <f>IF(_xlfn.XLOOKUP(C752,customers!$A$1:$A$1001,customers!$C$1:$C$1001,,0)=0,"",_xlfn.XLOOKUP(C752,customers!$A$1:$A$1001,customers!$C$1:$C$1001,,0))</f>
        <v/>
      </c>
      <c r="H752" s="2">
        <f>_xlfn.XLOOKUP(C752,customers!$A$1:$A$1001,customers!$G$1:$G$1001,,0)</f>
        <v/>
      </c>
      <c r="I752">
        <f>INDEX(products!$A$1:$G$49,MATCH(orders!$D752,products!$A$1:$A$49,0),MATCH(orders!I$1,products!$A$1:$G$1,0))</f>
        <v/>
      </c>
      <c r="J752">
        <f>INDEX(products!$A$1:$G$49,MATCH(orders!$D752,products!$A$1:$A$49,0),MATCH(orders!J$1,products!$A$1:$G$1,0))</f>
        <v/>
      </c>
      <c r="K752" s="4">
        <f>INDEX(products!$A$1:$G$49,MATCH(orders!$D752,products!$A$1:$A$49,0),MATCH(orders!K$1,products!$A$1:$G$1,0))</f>
        <v/>
      </c>
      <c r="L752" s="5">
        <f>INDEX(products!$A$1:$G$49,MATCH(orders!$D752,products!$A$1:$A$49,0),MATCH(orders!L$1,products!$A$1:$G$1,0))</f>
        <v/>
      </c>
      <c r="M752" s="5">
        <f>L752*E752</f>
        <v/>
      </c>
      <c r="N752">
        <f>IF(I752="Rob","Robusta",IF(I752="Exc","Excelsa",IF(I752="Ara","Arabica",IF(I752="Lib","Liberica",""))))</f>
        <v/>
      </c>
      <c r="O752">
        <f>IF(J752="M","Medium",IF(J752="L","Light",IF(J752="D","Dark","")))</f>
        <v/>
      </c>
      <c r="P752">
        <f>_xlfn.XLOOKUP(Orders[[#This Row],[Customer ID]],customers!$A$1:$A$1001,customers!$I$1:$I$1001,,0)</f>
        <v/>
      </c>
    </row>
    <row r="753">
      <c r="A753" s="2" t="inlineStr">
        <is>
          <t>O4082</t>
        </is>
      </c>
      <c r="B753" s="3" t="inlineStr">
        <is>
          <t>2022-06-21</t>
        </is>
      </c>
      <c r="C753" s="2" t="inlineStr">
        <is>
          <t>O8775</t>
        </is>
      </c>
      <c r="D753" t="inlineStr">
        <is>
          <t>O8396</t>
        </is>
      </c>
      <c r="E753" s="2" t="n">
        <v>410</v>
      </c>
      <c r="F753" s="2">
        <f>_xlfn.XLOOKUP(C753,customers!$A$1:$A$1001,customers!$B$1:$B$1001,,0)</f>
        <v/>
      </c>
      <c r="G753" s="2">
        <f>IF(_xlfn.XLOOKUP(C753,customers!$A$1:$A$1001,customers!$C$1:$C$1001,,0)=0,"",_xlfn.XLOOKUP(C753,customers!$A$1:$A$1001,customers!$C$1:$C$1001,,0))</f>
        <v/>
      </c>
      <c r="H753" s="2">
        <f>_xlfn.XLOOKUP(C753,customers!$A$1:$A$1001,customers!$G$1:$G$1001,,0)</f>
        <v/>
      </c>
      <c r="I753">
        <f>INDEX(products!$A$1:$G$49,MATCH(orders!$D753,products!$A$1:$A$49,0),MATCH(orders!I$1,products!$A$1:$G$1,0))</f>
        <v/>
      </c>
      <c r="J753">
        <f>INDEX(products!$A$1:$G$49,MATCH(orders!$D753,products!$A$1:$A$49,0),MATCH(orders!J$1,products!$A$1:$G$1,0))</f>
        <v/>
      </c>
      <c r="K753" s="4">
        <f>INDEX(products!$A$1:$G$49,MATCH(orders!$D753,products!$A$1:$A$49,0),MATCH(orders!K$1,products!$A$1:$G$1,0))</f>
        <v/>
      </c>
      <c r="L753" s="5">
        <f>INDEX(products!$A$1:$G$49,MATCH(orders!$D753,products!$A$1:$A$49,0),MATCH(orders!L$1,products!$A$1:$G$1,0))</f>
        <v/>
      </c>
      <c r="M753" s="5">
        <f>L753*E753</f>
        <v/>
      </c>
      <c r="N753">
        <f>IF(I753="Rob","Robusta",IF(I753="Exc","Excelsa",IF(I753="Ara","Arabica",IF(I753="Lib","Liberica",""))))</f>
        <v/>
      </c>
      <c r="O753">
        <f>IF(J753="M","Medium",IF(J753="L","Light",IF(J753="D","Dark","")))</f>
        <v/>
      </c>
      <c r="P753">
        <f>_xlfn.XLOOKUP(Orders[[#This Row],[Customer ID]],customers!$A$1:$A$1001,customers!$I$1:$I$1001,,0)</f>
        <v/>
      </c>
    </row>
    <row r="754">
      <c r="A754" s="2" t="inlineStr">
        <is>
          <t>O2356</t>
        </is>
      </c>
      <c r="B754" s="3" t="inlineStr">
        <is>
          <t>2021-07-31</t>
        </is>
      </c>
      <c r="C754" s="2" t="inlineStr">
        <is>
          <t>O9903</t>
        </is>
      </c>
      <c r="D754" t="inlineStr">
        <is>
          <t>O2465</t>
        </is>
      </c>
      <c r="E754" s="2" t="n">
        <v>328</v>
      </c>
      <c r="F754" s="2">
        <f>_xlfn.XLOOKUP(C754,customers!$A$1:$A$1001,customers!$B$1:$B$1001,,0)</f>
        <v/>
      </c>
      <c r="G754" s="2">
        <f>IF(_xlfn.XLOOKUP(C754,customers!$A$1:$A$1001,customers!$C$1:$C$1001,,0)=0,"",_xlfn.XLOOKUP(C754,customers!$A$1:$A$1001,customers!$C$1:$C$1001,,0))</f>
        <v/>
      </c>
      <c r="H754" s="2">
        <f>_xlfn.XLOOKUP(C754,customers!$A$1:$A$1001,customers!$G$1:$G$1001,,0)</f>
        <v/>
      </c>
      <c r="I754">
        <f>INDEX(products!$A$1:$G$49,MATCH(orders!$D754,products!$A$1:$A$49,0),MATCH(orders!I$1,products!$A$1:$G$1,0))</f>
        <v/>
      </c>
      <c r="J754">
        <f>INDEX(products!$A$1:$G$49,MATCH(orders!$D754,products!$A$1:$A$49,0),MATCH(orders!J$1,products!$A$1:$G$1,0))</f>
        <v/>
      </c>
      <c r="K754" s="4">
        <f>INDEX(products!$A$1:$G$49,MATCH(orders!$D754,products!$A$1:$A$49,0),MATCH(orders!K$1,products!$A$1:$G$1,0))</f>
        <v/>
      </c>
      <c r="L754" s="5">
        <f>INDEX(products!$A$1:$G$49,MATCH(orders!$D754,products!$A$1:$A$49,0),MATCH(orders!L$1,products!$A$1:$G$1,0))</f>
        <v/>
      </c>
      <c r="M754" s="5">
        <f>L754*E754</f>
        <v/>
      </c>
      <c r="N754">
        <f>IF(I754="Rob","Robusta",IF(I754="Exc","Excelsa",IF(I754="Ara","Arabica",IF(I754="Lib","Liberica",""))))</f>
        <v/>
      </c>
      <c r="O754">
        <f>IF(J754="M","Medium",IF(J754="L","Light",IF(J754="D","Dark","")))</f>
        <v/>
      </c>
      <c r="P754">
        <f>_xlfn.XLOOKUP(Orders[[#This Row],[Customer ID]],customers!$A$1:$A$1001,customers!$I$1:$I$1001,,0)</f>
        <v/>
      </c>
    </row>
    <row r="755">
      <c r="A755" s="2" t="inlineStr">
        <is>
          <t>O1439</t>
        </is>
      </c>
      <c r="B755" s="3" t="inlineStr">
        <is>
          <t>2020-07-08</t>
        </is>
      </c>
      <c r="C755" s="2" t="inlineStr">
        <is>
          <t>O3458</t>
        </is>
      </c>
      <c r="D755" t="inlineStr">
        <is>
          <t>O8371</t>
        </is>
      </c>
      <c r="E755" s="2" t="n">
        <v>259</v>
      </c>
      <c r="F755" s="2">
        <f>_xlfn.XLOOKUP(C755,customers!$A$1:$A$1001,customers!$B$1:$B$1001,,0)</f>
        <v/>
      </c>
      <c r="G755" s="2">
        <f>IF(_xlfn.XLOOKUP(C755,customers!$A$1:$A$1001,customers!$C$1:$C$1001,,0)=0,"",_xlfn.XLOOKUP(C755,customers!$A$1:$A$1001,customers!$C$1:$C$1001,,0))</f>
        <v/>
      </c>
      <c r="H755" s="2">
        <f>_xlfn.XLOOKUP(C755,customers!$A$1:$A$1001,customers!$G$1:$G$1001,,0)</f>
        <v/>
      </c>
      <c r="I755">
        <f>INDEX(products!$A$1:$G$49,MATCH(orders!$D755,products!$A$1:$A$49,0),MATCH(orders!I$1,products!$A$1:$G$1,0))</f>
        <v/>
      </c>
      <c r="J755">
        <f>INDEX(products!$A$1:$G$49,MATCH(orders!$D755,products!$A$1:$A$49,0),MATCH(orders!J$1,products!$A$1:$G$1,0))</f>
        <v/>
      </c>
      <c r="K755" s="4">
        <f>INDEX(products!$A$1:$G$49,MATCH(orders!$D755,products!$A$1:$A$49,0),MATCH(orders!K$1,products!$A$1:$G$1,0))</f>
        <v/>
      </c>
      <c r="L755" s="5">
        <f>INDEX(products!$A$1:$G$49,MATCH(orders!$D755,products!$A$1:$A$49,0),MATCH(orders!L$1,products!$A$1:$G$1,0))</f>
        <v/>
      </c>
      <c r="M755" s="5">
        <f>L755*E755</f>
        <v/>
      </c>
      <c r="N755">
        <f>IF(I755="Rob","Robusta",IF(I755="Exc","Excelsa",IF(I755="Ara","Arabica",IF(I755="Lib","Liberica",""))))</f>
        <v/>
      </c>
      <c r="O755">
        <f>IF(J755="M","Medium",IF(J755="L","Light",IF(J755="D","Dark","")))</f>
        <v/>
      </c>
      <c r="P755">
        <f>_xlfn.XLOOKUP(Orders[[#This Row],[Customer ID]],customers!$A$1:$A$1001,customers!$I$1:$I$1001,,0)</f>
        <v/>
      </c>
    </row>
    <row r="756">
      <c r="A756" s="2" t="inlineStr">
        <is>
          <t>O4722</t>
        </is>
      </c>
      <c r="B756" s="3" t="inlineStr">
        <is>
          <t>2020-07-30</t>
        </is>
      </c>
      <c r="C756" s="2" t="inlineStr">
        <is>
          <t>O8632</t>
        </is>
      </c>
      <c r="D756" t="inlineStr">
        <is>
          <t>O8699</t>
        </is>
      </c>
      <c r="E756" s="2" t="n">
        <v>180</v>
      </c>
      <c r="F756" s="2">
        <f>_xlfn.XLOOKUP(C756,customers!$A$1:$A$1001,customers!$B$1:$B$1001,,0)</f>
        <v/>
      </c>
      <c r="G756" s="2">
        <f>IF(_xlfn.XLOOKUP(C756,customers!$A$1:$A$1001,customers!$C$1:$C$1001,,0)=0,"",_xlfn.XLOOKUP(C756,customers!$A$1:$A$1001,customers!$C$1:$C$1001,,0))</f>
        <v/>
      </c>
      <c r="H756" s="2">
        <f>_xlfn.XLOOKUP(C756,customers!$A$1:$A$1001,customers!$G$1:$G$1001,,0)</f>
        <v/>
      </c>
      <c r="I756">
        <f>INDEX(products!$A$1:$G$49,MATCH(orders!$D756,products!$A$1:$A$49,0),MATCH(orders!I$1,products!$A$1:$G$1,0))</f>
        <v/>
      </c>
      <c r="J756">
        <f>INDEX(products!$A$1:$G$49,MATCH(orders!$D756,products!$A$1:$A$49,0),MATCH(orders!J$1,products!$A$1:$G$1,0))</f>
        <v/>
      </c>
      <c r="K756" s="4">
        <f>INDEX(products!$A$1:$G$49,MATCH(orders!$D756,products!$A$1:$A$49,0),MATCH(orders!K$1,products!$A$1:$G$1,0))</f>
        <v/>
      </c>
      <c r="L756" s="5">
        <f>INDEX(products!$A$1:$G$49,MATCH(orders!$D756,products!$A$1:$A$49,0),MATCH(orders!L$1,products!$A$1:$G$1,0))</f>
        <v/>
      </c>
      <c r="M756" s="5">
        <f>L756*E756</f>
        <v/>
      </c>
      <c r="N756">
        <f>IF(I756="Rob","Robusta",IF(I756="Exc","Excelsa",IF(I756="Ara","Arabica",IF(I756="Lib","Liberica",""))))</f>
        <v/>
      </c>
      <c r="O756">
        <f>IF(J756="M","Medium",IF(J756="L","Light",IF(J756="D","Dark","")))</f>
        <v/>
      </c>
      <c r="P756">
        <f>_xlfn.XLOOKUP(Orders[[#This Row],[Customer ID]],customers!$A$1:$A$1001,customers!$I$1:$I$1001,,0)</f>
        <v/>
      </c>
    </row>
    <row r="757">
      <c r="A757" s="2" t="inlineStr">
        <is>
          <t>O3601</t>
        </is>
      </c>
      <c r="B757" s="3" t="inlineStr">
        <is>
          <t>2023-09-25</t>
        </is>
      </c>
      <c r="C757" s="2" t="inlineStr">
        <is>
          <t>O2692</t>
        </is>
      </c>
      <c r="D757" t="inlineStr">
        <is>
          <t>O9845</t>
        </is>
      </c>
      <c r="E757" s="2" t="n">
        <v>316</v>
      </c>
      <c r="F757" s="2">
        <f>_xlfn.XLOOKUP(C757,customers!$A$1:$A$1001,customers!$B$1:$B$1001,,0)</f>
        <v/>
      </c>
      <c r="G757" s="2">
        <f>IF(_xlfn.XLOOKUP(C757,customers!$A$1:$A$1001,customers!$C$1:$C$1001,,0)=0,"",_xlfn.XLOOKUP(C757,customers!$A$1:$A$1001,customers!$C$1:$C$1001,,0))</f>
        <v/>
      </c>
      <c r="H757" s="2">
        <f>_xlfn.XLOOKUP(C757,customers!$A$1:$A$1001,customers!$G$1:$G$1001,,0)</f>
        <v/>
      </c>
      <c r="I757">
        <f>INDEX(products!$A$1:$G$49,MATCH(orders!$D757,products!$A$1:$A$49,0),MATCH(orders!I$1,products!$A$1:$G$1,0))</f>
        <v/>
      </c>
      <c r="J757">
        <f>INDEX(products!$A$1:$G$49,MATCH(orders!$D757,products!$A$1:$A$49,0),MATCH(orders!J$1,products!$A$1:$G$1,0))</f>
        <v/>
      </c>
      <c r="K757" s="4">
        <f>INDEX(products!$A$1:$G$49,MATCH(orders!$D757,products!$A$1:$A$49,0),MATCH(orders!K$1,products!$A$1:$G$1,0))</f>
        <v/>
      </c>
      <c r="L757" s="5">
        <f>INDEX(products!$A$1:$G$49,MATCH(orders!$D757,products!$A$1:$A$49,0),MATCH(orders!L$1,products!$A$1:$G$1,0))</f>
        <v/>
      </c>
      <c r="M757" s="5">
        <f>L757*E757</f>
        <v/>
      </c>
      <c r="N757">
        <f>IF(I757="Rob","Robusta",IF(I757="Exc","Excelsa",IF(I757="Ara","Arabica",IF(I757="Lib","Liberica",""))))</f>
        <v/>
      </c>
      <c r="O757">
        <f>IF(J757="M","Medium",IF(J757="L","Light",IF(J757="D","Dark","")))</f>
        <v/>
      </c>
      <c r="P757">
        <f>_xlfn.XLOOKUP(Orders[[#This Row],[Customer ID]],customers!$A$1:$A$1001,customers!$I$1:$I$1001,,0)</f>
        <v/>
      </c>
    </row>
    <row r="758">
      <c r="A758" s="2" t="inlineStr">
        <is>
          <t>O4510</t>
        </is>
      </c>
      <c r="B758" s="3" t="inlineStr">
        <is>
          <t>2020-10-02</t>
        </is>
      </c>
      <c r="C758" s="2" t="inlineStr">
        <is>
          <t>O1812</t>
        </is>
      </c>
      <c r="D758" t="inlineStr">
        <is>
          <t>O8177</t>
        </is>
      </c>
      <c r="E758" s="2" t="n">
        <v>42</v>
      </c>
      <c r="F758" s="2">
        <f>_xlfn.XLOOKUP(C758,customers!$A$1:$A$1001,customers!$B$1:$B$1001,,0)</f>
        <v/>
      </c>
      <c r="G758" s="2">
        <f>IF(_xlfn.XLOOKUP(C758,customers!$A$1:$A$1001,customers!$C$1:$C$1001,,0)=0,"",_xlfn.XLOOKUP(C758,customers!$A$1:$A$1001,customers!$C$1:$C$1001,,0))</f>
        <v/>
      </c>
      <c r="H758" s="2">
        <f>_xlfn.XLOOKUP(C758,customers!$A$1:$A$1001,customers!$G$1:$G$1001,,0)</f>
        <v/>
      </c>
      <c r="I758">
        <f>INDEX(products!$A$1:$G$49,MATCH(orders!$D758,products!$A$1:$A$49,0),MATCH(orders!I$1,products!$A$1:$G$1,0))</f>
        <v/>
      </c>
      <c r="J758">
        <f>INDEX(products!$A$1:$G$49,MATCH(orders!$D758,products!$A$1:$A$49,0),MATCH(orders!J$1,products!$A$1:$G$1,0))</f>
        <v/>
      </c>
      <c r="K758" s="4">
        <f>INDEX(products!$A$1:$G$49,MATCH(orders!$D758,products!$A$1:$A$49,0),MATCH(orders!K$1,products!$A$1:$G$1,0))</f>
        <v/>
      </c>
      <c r="L758" s="5">
        <f>INDEX(products!$A$1:$G$49,MATCH(orders!$D758,products!$A$1:$A$49,0),MATCH(orders!L$1,products!$A$1:$G$1,0))</f>
        <v/>
      </c>
      <c r="M758" s="5">
        <f>L758*E758</f>
        <v/>
      </c>
      <c r="N758">
        <f>IF(I758="Rob","Robusta",IF(I758="Exc","Excelsa",IF(I758="Ara","Arabica",IF(I758="Lib","Liberica",""))))</f>
        <v/>
      </c>
      <c r="O758">
        <f>IF(J758="M","Medium",IF(J758="L","Light",IF(J758="D","Dark","")))</f>
        <v/>
      </c>
      <c r="P758">
        <f>_xlfn.XLOOKUP(Orders[[#This Row],[Customer ID]],customers!$A$1:$A$1001,customers!$I$1:$I$1001,,0)</f>
        <v/>
      </c>
    </row>
    <row r="759">
      <c r="A759" s="2" t="inlineStr">
        <is>
          <t>O4560</t>
        </is>
      </c>
      <c r="B759" s="3" t="inlineStr">
        <is>
          <t>2023-07-22</t>
        </is>
      </c>
      <c r="C759" s="2" t="inlineStr">
        <is>
          <t>O7580</t>
        </is>
      </c>
      <c r="D759" t="inlineStr">
        <is>
          <t>O7021</t>
        </is>
      </c>
      <c r="E759" s="2" t="n">
        <v>68</v>
      </c>
      <c r="F759" s="2">
        <f>_xlfn.XLOOKUP(C759,customers!$A$1:$A$1001,customers!$B$1:$B$1001,,0)</f>
        <v/>
      </c>
      <c r="G759" s="2">
        <f>IF(_xlfn.XLOOKUP(C759,customers!$A$1:$A$1001,customers!$C$1:$C$1001,,0)=0,"",_xlfn.XLOOKUP(C759,customers!$A$1:$A$1001,customers!$C$1:$C$1001,,0))</f>
        <v/>
      </c>
      <c r="H759" s="2">
        <f>_xlfn.XLOOKUP(C759,customers!$A$1:$A$1001,customers!$G$1:$G$1001,,0)</f>
        <v/>
      </c>
      <c r="I759">
        <f>INDEX(products!$A$1:$G$49,MATCH(orders!$D759,products!$A$1:$A$49,0),MATCH(orders!I$1,products!$A$1:$G$1,0))</f>
        <v/>
      </c>
      <c r="J759">
        <f>INDEX(products!$A$1:$G$49,MATCH(orders!$D759,products!$A$1:$A$49,0),MATCH(orders!J$1,products!$A$1:$G$1,0))</f>
        <v/>
      </c>
      <c r="K759" s="4">
        <f>INDEX(products!$A$1:$G$49,MATCH(orders!$D759,products!$A$1:$A$49,0),MATCH(orders!K$1,products!$A$1:$G$1,0))</f>
        <v/>
      </c>
      <c r="L759" s="5">
        <f>INDEX(products!$A$1:$G$49,MATCH(orders!$D759,products!$A$1:$A$49,0),MATCH(orders!L$1,products!$A$1:$G$1,0))</f>
        <v/>
      </c>
      <c r="M759" s="5">
        <f>L759*E759</f>
        <v/>
      </c>
      <c r="N759">
        <f>IF(I759="Rob","Robusta",IF(I759="Exc","Excelsa",IF(I759="Ara","Arabica",IF(I759="Lib","Liberica",""))))</f>
        <v/>
      </c>
      <c r="O759">
        <f>IF(J759="M","Medium",IF(J759="L","Light",IF(J759="D","Dark","")))</f>
        <v/>
      </c>
      <c r="P759">
        <f>_xlfn.XLOOKUP(Orders[[#This Row],[Customer ID]],customers!$A$1:$A$1001,customers!$I$1:$I$1001,,0)</f>
        <v/>
      </c>
    </row>
    <row r="760">
      <c r="A760" s="2" t="inlineStr">
        <is>
          <t>O4928</t>
        </is>
      </c>
      <c r="B760" s="3" t="inlineStr">
        <is>
          <t>2024-06-30</t>
        </is>
      </c>
      <c r="C760" s="2" t="inlineStr">
        <is>
          <t>O1529</t>
        </is>
      </c>
      <c r="D760" t="inlineStr">
        <is>
          <t>O7345</t>
        </is>
      </c>
      <c r="E760" s="2" t="n">
        <v>262</v>
      </c>
      <c r="F760" s="2">
        <f>_xlfn.XLOOKUP(C760,customers!$A$1:$A$1001,customers!$B$1:$B$1001,,0)</f>
        <v/>
      </c>
      <c r="G760" s="2">
        <f>IF(_xlfn.XLOOKUP(C760,customers!$A$1:$A$1001,customers!$C$1:$C$1001,,0)=0,"",_xlfn.XLOOKUP(C760,customers!$A$1:$A$1001,customers!$C$1:$C$1001,,0))</f>
        <v/>
      </c>
      <c r="H760" s="2">
        <f>_xlfn.XLOOKUP(C760,customers!$A$1:$A$1001,customers!$G$1:$G$1001,,0)</f>
        <v/>
      </c>
      <c r="I760">
        <f>INDEX(products!$A$1:$G$49,MATCH(orders!$D760,products!$A$1:$A$49,0),MATCH(orders!I$1,products!$A$1:$G$1,0))</f>
        <v/>
      </c>
      <c r="J760">
        <f>INDEX(products!$A$1:$G$49,MATCH(orders!$D760,products!$A$1:$A$49,0),MATCH(orders!J$1,products!$A$1:$G$1,0))</f>
        <v/>
      </c>
      <c r="K760" s="4">
        <f>INDEX(products!$A$1:$G$49,MATCH(orders!$D760,products!$A$1:$A$49,0),MATCH(orders!K$1,products!$A$1:$G$1,0))</f>
        <v/>
      </c>
      <c r="L760" s="5">
        <f>INDEX(products!$A$1:$G$49,MATCH(orders!$D760,products!$A$1:$A$49,0),MATCH(orders!L$1,products!$A$1:$G$1,0))</f>
        <v/>
      </c>
      <c r="M760" s="5">
        <f>L760*E760</f>
        <v/>
      </c>
      <c r="N760">
        <f>IF(I760="Rob","Robusta",IF(I760="Exc","Excelsa",IF(I760="Ara","Arabica",IF(I760="Lib","Liberica",""))))</f>
        <v/>
      </c>
      <c r="O760">
        <f>IF(J760="M","Medium",IF(J760="L","Light",IF(J760="D","Dark","")))</f>
        <v/>
      </c>
      <c r="P760">
        <f>_xlfn.XLOOKUP(Orders[[#This Row],[Customer ID]],customers!$A$1:$A$1001,customers!$I$1:$I$1001,,0)</f>
        <v/>
      </c>
    </row>
    <row r="761">
      <c r="A761" s="2" t="inlineStr">
        <is>
          <t>O8972</t>
        </is>
      </c>
      <c r="B761" s="3" t="inlineStr">
        <is>
          <t>2023-06-13</t>
        </is>
      </c>
      <c r="C761" s="2" t="inlineStr">
        <is>
          <t>O7715</t>
        </is>
      </c>
      <c r="D761" t="inlineStr">
        <is>
          <t>O5818</t>
        </is>
      </c>
      <c r="E761" s="2" t="n">
        <v>369</v>
      </c>
      <c r="F761" s="2">
        <f>_xlfn.XLOOKUP(C761,customers!$A$1:$A$1001,customers!$B$1:$B$1001,,0)</f>
        <v/>
      </c>
      <c r="G761" s="2">
        <f>IF(_xlfn.XLOOKUP(C761,customers!$A$1:$A$1001,customers!$C$1:$C$1001,,0)=0,"",_xlfn.XLOOKUP(C761,customers!$A$1:$A$1001,customers!$C$1:$C$1001,,0))</f>
        <v/>
      </c>
      <c r="H761" s="2">
        <f>_xlfn.XLOOKUP(C761,customers!$A$1:$A$1001,customers!$G$1:$G$1001,,0)</f>
        <v/>
      </c>
      <c r="I761">
        <f>INDEX(products!$A$1:$G$49,MATCH(orders!$D761,products!$A$1:$A$49,0),MATCH(orders!I$1,products!$A$1:$G$1,0))</f>
        <v/>
      </c>
      <c r="J761">
        <f>INDEX(products!$A$1:$G$49,MATCH(orders!$D761,products!$A$1:$A$49,0),MATCH(orders!J$1,products!$A$1:$G$1,0))</f>
        <v/>
      </c>
      <c r="K761" s="4">
        <f>INDEX(products!$A$1:$G$49,MATCH(orders!$D761,products!$A$1:$A$49,0),MATCH(orders!K$1,products!$A$1:$G$1,0))</f>
        <v/>
      </c>
      <c r="L761" s="5">
        <f>INDEX(products!$A$1:$G$49,MATCH(orders!$D761,products!$A$1:$A$49,0),MATCH(orders!L$1,products!$A$1:$G$1,0))</f>
        <v/>
      </c>
      <c r="M761" s="5">
        <f>L761*E761</f>
        <v/>
      </c>
      <c r="N761">
        <f>IF(I761="Rob","Robusta",IF(I761="Exc","Excelsa",IF(I761="Ara","Arabica",IF(I761="Lib","Liberica",""))))</f>
        <v/>
      </c>
      <c r="O761">
        <f>IF(J761="M","Medium",IF(J761="L","Light",IF(J761="D","Dark","")))</f>
        <v/>
      </c>
      <c r="P761">
        <f>_xlfn.XLOOKUP(Orders[[#This Row],[Customer ID]],customers!$A$1:$A$1001,customers!$I$1:$I$1001,,0)</f>
        <v/>
      </c>
    </row>
    <row r="762">
      <c r="A762" s="2" t="inlineStr">
        <is>
          <t>O6724</t>
        </is>
      </c>
      <c r="B762" s="3" t="inlineStr">
        <is>
          <t>2021-09-06</t>
        </is>
      </c>
      <c r="C762" s="2" t="inlineStr">
        <is>
          <t>O8651</t>
        </is>
      </c>
      <c r="D762" t="inlineStr">
        <is>
          <t>O4983</t>
        </is>
      </c>
      <c r="E762" s="2" t="n">
        <v>223</v>
      </c>
      <c r="F762" s="2">
        <f>_xlfn.XLOOKUP(C762,customers!$A$1:$A$1001,customers!$B$1:$B$1001,,0)</f>
        <v/>
      </c>
      <c r="G762" s="2">
        <f>IF(_xlfn.XLOOKUP(C762,customers!$A$1:$A$1001,customers!$C$1:$C$1001,,0)=0,"",_xlfn.XLOOKUP(C762,customers!$A$1:$A$1001,customers!$C$1:$C$1001,,0))</f>
        <v/>
      </c>
      <c r="H762" s="2">
        <f>_xlfn.XLOOKUP(C762,customers!$A$1:$A$1001,customers!$G$1:$G$1001,,0)</f>
        <v/>
      </c>
      <c r="I762">
        <f>INDEX(products!$A$1:$G$49,MATCH(orders!$D762,products!$A$1:$A$49,0),MATCH(orders!I$1,products!$A$1:$G$1,0))</f>
        <v/>
      </c>
      <c r="J762">
        <f>INDEX(products!$A$1:$G$49,MATCH(orders!$D762,products!$A$1:$A$49,0),MATCH(orders!J$1,products!$A$1:$G$1,0))</f>
        <v/>
      </c>
      <c r="K762" s="4">
        <f>INDEX(products!$A$1:$G$49,MATCH(orders!$D762,products!$A$1:$A$49,0),MATCH(orders!K$1,products!$A$1:$G$1,0))</f>
        <v/>
      </c>
      <c r="L762" s="5">
        <f>INDEX(products!$A$1:$G$49,MATCH(orders!$D762,products!$A$1:$A$49,0),MATCH(orders!L$1,products!$A$1:$G$1,0))</f>
        <v/>
      </c>
      <c r="M762" s="5">
        <f>L762*E762</f>
        <v/>
      </c>
      <c r="N762">
        <f>IF(I762="Rob","Robusta",IF(I762="Exc","Excelsa",IF(I762="Ara","Arabica",IF(I762="Lib","Liberica",""))))</f>
        <v/>
      </c>
      <c r="O762">
        <f>IF(J762="M","Medium",IF(J762="L","Light",IF(J762="D","Dark","")))</f>
        <v/>
      </c>
      <c r="P762">
        <f>_xlfn.XLOOKUP(Orders[[#This Row],[Customer ID]],customers!$A$1:$A$1001,customers!$I$1:$I$1001,,0)</f>
        <v/>
      </c>
    </row>
    <row r="763">
      <c r="A763" s="2" t="inlineStr">
        <is>
          <t>O9192</t>
        </is>
      </c>
      <c r="B763" s="3" t="inlineStr">
        <is>
          <t>2021-03-04</t>
        </is>
      </c>
      <c r="C763" s="2" t="inlineStr">
        <is>
          <t>O5080</t>
        </is>
      </c>
      <c r="D763" t="inlineStr">
        <is>
          <t>O7665</t>
        </is>
      </c>
      <c r="E763" s="2" t="n">
        <v>316</v>
      </c>
      <c r="F763" s="2">
        <f>_xlfn.XLOOKUP(C763,customers!$A$1:$A$1001,customers!$B$1:$B$1001,,0)</f>
        <v/>
      </c>
      <c r="G763" s="2">
        <f>IF(_xlfn.XLOOKUP(C763,customers!$A$1:$A$1001,customers!$C$1:$C$1001,,0)=0,"",_xlfn.XLOOKUP(C763,customers!$A$1:$A$1001,customers!$C$1:$C$1001,,0))</f>
        <v/>
      </c>
      <c r="H763" s="2">
        <f>_xlfn.XLOOKUP(C763,customers!$A$1:$A$1001,customers!$G$1:$G$1001,,0)</f>
        <v/>
      </c>
      <c r="I763">
        <f>INDEX(products!$A$1:$G$49,MATCH(orders!$D763,products!$A$1:$A$49,0),MATCH(orders!I$1,products!$A$1:$G$1,0))</f>
        <v/>
      </c>
      <c r="J763">
        <f>INDEX(products!$A$1:$G$49,MATCH(orders!$D763,products!$A$1:$A$49,0),MATCH(orders!J$1,products!$A$1:$G$1,0))</f>
        <v/>
      </c>
      <c r="K763" s="4">
        <f>INDEX(products!$A$1:$G$49,MATCH(orders!$D763,products!$A$1:$A$49,0),MATCH(orders!K$1,products!$A$1:$G$1,0))</f>
        <v/>
      </c>
      <c r="L763" s="5">
        <f>INDEX(products!$A$1:$G$49,MATCH(orders!$D763,products!$A$1:$A$49,0),MATCH(orders!L$1,products!$A$1:$G$1,0))</f>
        <v/>
      </c>
      <c r="M763" s="5">
        <f>L763*E763</f>
        <v/>
      </c>
      <c r="N763">
        <f>IF(I763="Rob","Robusta",IF(I763="Exc","Excelsa",IF(I763="Ara","Arabica",IF(I763="Lib","Liberica",""))))</f>
        <v/>
      </c>
      <c r="O763">
        <f>IF(J763="M","Medium",IF(J763="L","Light",IF(J763="D","Dark","")))</f>
        <v/>
      </c>
      <c r="P763">
        <f>_xlfn.XLOOKUP(Orders[[#This Row],[Customer ID]],customers!$A$1:$A$1001,customers!$I$1:$I$1001,,0)</f>
        <v/>
      </c>
    </row>
    <row r="764">
      <c r="A764" s="2" t="inlineStr">
        <is>
          <t>O6599</t>
        </is>
      </c>
      <c r="B764" s="3" t="inlineStr">
        <is>
          <t>2024-12-22</t>
        </is>
      </c>
      <c r="C764" s="2" t="inlineStr">
        <is>
          <t>O4571</t>
        </is>
      </c>
      <c r="D764" t="inlineStr">
        <is>
          <t>O2029</t>
        </is>
      </c>
      <c r="E764" s="2" t="n">
        <v>135</v>
      </c>
      <c r="F764" s="2">
        <f>_xlfn.XLOOKUP(C764,customers!$A$1:$A$1001,customers!$B$1:$B$1001,,0)</f>
        <v/>
      </c>
      <c r="G764" s="2">
        <f>IF(_xlfn.XLOOKUP(C764,customers!$A$1:$A$1001,customers!$C$1:$C$1001,,0)=0,"",_xlfn.XLOOKUP(C764,customers!$A$1:$A$1001,customers!$C$1:$C$1001,,0))</f>
        <v/>
      </c>
      <c r="H764" s="2">
        <f>_xlfn.XLOOKUP(C764,customers!$A$1:$A$1001,customers!$G$1:$G$1001,,0)</f>
        <v/>
      </c>
      <c r="I764">
        <f>INDEX(products!$A$1:$G$49,MATCH(orders!$D764,products!$A$1:$A$49,0),MATCH(orders!I$1,products!$A$1:$G$1,0))</f>
        <v/>
      </c>
      <c r="J764">
        <f>INDEX(products!$A$1:$G$49,MATCH(orders!$D764,products!$A$1:$A$49,0),MATCH(orders!J$1,products!$A$1:$G$1,0))</f>
        <v/>
      </c>
      <c r="K764" s="4">
        <f>INDEX(products!$A$1:$G$49,MATCH(orders!$D764,products!$A$1:$A$49,0),MATCH(orders!K$1,products!$A$1:$G$1,0))</f>
        <v/>
      </c>
      <c r="L764" s="5">
        <f>INDEX(products!$A$1:$G$49,MATCH(orders!$D764,products!$A$1:$A$49,0),MATCH(orders!L$1,products!$A$1:$G$1,0))</f>
        <v/>
      </c>
      <c r="M764" s="5">
        <f>L764*E764</f>
        <v/>
      </c>
      <c r="N764">
        <f>IF(I764="Rob","Robusta",IF(I764="Exc","Excelsa",IF(I764="Ara","Arabica",IF(I764="Lib","Liberica",""))))</f>
        <v/>
      </c>
      <c r="O764">
        <f>IF(J764="M","Medium",IF(J764="L","Light",IF(J764="D","Dark","")))</f>
        <v/>
      </c>
      <c r="P764">
        <f>_xlfn.XLOOKUP(Orders[[#This Row],[Customer ID]],customers!$A$1:$A$1001,customers!$I$1:$I$1001,,0)</f>
        <v/>
      </c>
    </row>
    <row r="765">
      <c r="A765" s="2" t="inlineStr">
        <is>
          <t>O2826</t>
        </is>
      </c>
      <c r="B765" s="3" t="inlineStr">
        <is>
          <t>2020-06-14</t>
        </is>
      </c>
      <c r="C765" s="2" t="inlineStr">
        <is>
          <t>O9211</t>
        </is>
      </c>
      <c r="D765" t="inlineStr">
        <is>
          <t>O5801</t>
        </is>
      </c>
      <c r="E765" s="2" t="n">
        <v>224</v>
      </c>
      <c r="F765" s="2">
        <f>_xlfn.XLOOKUP(C765,customers!$A$1:$A$1001,customers!$B$1:$B$1001,,0)</f>
        <v/>
      </c>
      <c r="G765" s="2">
        <f>IF(_xlfn.XLOOKUP(C765,customers!$A$1:$A$1001,customers!$C$1:$C$1001,,0)=0,"",_xlfn.XLOOKUP(C765,customers!$A$1:$A$1001,customers!$C$1:$C$1001,,0))</f>
        <v/>
      </c>
      <c r="H765" s="2">
        <f>_xlfn.XLOOKUP(C765,customers!$A$1:$A$1001,customers!$G$1:$G$1001,,0)</f>
        <v/>
      </c>
      <c r="I765">
        <f>INDEX(products!$A$1:$G$49,MATCH(orders!$D765,products!$A$1:$A$49,0),MATCH(orders!I$1,products!$A$1:$G$1,0))</f>
        <v/>
      </c>
      <c r="J765">
        <f>INDEX(products!$A$1:$G$49,MATCH(orders!$D765,products!$A$1:$A$49,0),MATCH(orders!J$1,products!$A$1:$G$1,0))</f>
        <v/>
      </c>
      <c r="K765" s="4">
        <f>INDEX(products!$A$1:$G$49,MATCH(orders!$D765,products!$A$1:$A$49,0),MATCH(orders!K$1,products!$A$1:$G$1,0))</f>
        <v/>
      </c>
      <c r="L765" s="5">
        <f>INDEX(products!$A$1:$G$49,MATCH(orders!$D765,products!$A$1:$A$49,0),MATCH(orders!L$1,products!$A$1:$G$1,0))</f>
        <v/>
      </c>
      <c r="M765" s="5">
        <f>L765*E765</f>
        <v/>
      </c>
      <c r="N765">
        <f>IF(I765="Rob","Robusta",IF(I765="Exc","Excelsa",IF(I765="Ara","Arabica",IF(I765="Lib","Liberica",""))))</f>
        <v/>
      </c>
      <c r="O765">
        <f>IF(J765="M","Medium",IF(J765="L","Light",IF(J765="D","Dark","")))</f>
        <v/>
      </c>
      <c r="P765">
        <f>_xlfn.XLOOKUP(Orders[[#This Row],[Customer ID]],customers!$A$1:$A$1001,customers!$I$1:$I$1001,,0)</f>
        <v/>
      </c>
    </row>
    <row r="766">
      <c r="A766" s="2" t="inlineStr">
        <is>
          <t>O4102</t>
        </is>
      </c>
      <c r="B766" s="3" t="inlineStr">
        <is>
          <t>2022-12-05</t>
        </is>
      </c>
      <c r="C766" s="2" t="inlineStr">
        <is>
          <t>O1768</t>
        </is>
      </c>
      <c r="D766" t="inlineStr">
        <is>
          <t>O8264</t>
        </is>
      </c>
      <c r="E766" s="2" t="n">
        <v>177</v>
      </c>
      <c r="F766" s="2">
        <f>_xlfn.XLOOKUP(C766,customers!$A$1:$A$1001,customers!$B$1:$B$1001,,0)</f>
        <v/>
      </c>
      <c r="G766" s="2">
        <f>IF(_xlfn.XLOOKUP(C766,customers!$A$1:$A$1001,customers!$C$1:$C$1001,,0)=0,"",_xlfn.XLOOKUP(C766,customers!$A$1:$A$1001,customers!$C$1:$C$1001,,0))</f>
        <v/>
      </c>
      <c r="H766" s="2">
        <f>_xlfn.XLOOKUP(C766,customers!$A$1:$A$1001,customers!$G$1:$G$1001,,0)</f>
        <v/>
      </c>
      <c r="I766">
        <f>INDEX(products!$A$1:$G$49,MATCH(orders!$D766,products!$A$1:$A$49,0),MATCH(orders!I$1,products!$A$1:$G$1,0))</f>
        <v/>
      </c>
      <c r="J766">
        <f>INDEX(products!$A$1:$G$49,MATCH(orders!$D766,products!$A$1:$A$49,0),MATCH(orders!J$1,products!$A$1:$G$1,0))</f>
        <v/>
      </c>
      <c r="K766" s="4">
        <f>INDEX(products!$A$1:$G$49,MATCH(orders!$D766,products!$A$1:$A$49,0),MATCH(orders!K$1,products!$A$1:$G$1,0))</f>
        <v/>
      </c>
      <c r="L766" s="5">
        <f>INDEX(products!$A$1:$G$49,MATCH(orders!$D766,products!$A$1:$A$49,0),MATCH(orders!L$1,products!$A$1:$G$1,0))</f>
        <v/>
      </c>
      <c r="M766" s="5">
        <f>L766*E766</f>
        <v/>
      </c>
      <c r="N766">
        <f>IF(I766="Rob","Robusta",IF(I766="Exc","Excelsa",IF(I766="Ara","Arabica",IF(I766="Lib","Liberica",""))))</f>
        <v/>
      </c>
      <c r="O766">
        <f>IF(J766="M","Medium",IF(J766="L","Light",IF(J766="D","Dark","")))</f>
        <v/>
      </c>
      <c r="P766">
        <f>_xlfn.XLOOKUP(Orders[[#This Row],[Customer ID]],customers!$A$1:$A$1001,customers!$I$1:$I$1001,,0)</f>
        <v/>
      </c>
    </row>
    <row r="767">
      <c r="A767" s="2" t="inlineStr">
        <is>
          <t>O2951</t>
        </is>
      </c>
      <c r="B767" s="3" t="inlineStr">
        <is>
          <t>2022-06-25</t>
        </is>
      </c>
      <c r="C767" s="2" t="inlineStr">
        <is>
          <t>O8815</t>
        </is>
      </c>
      <c r="D767" t="inlineStr">
        <is>
          <t>O4735</t>
        </is>
      </c>
      <c r="E767" s="2" t="n">
        <v>38</v>
      </c>
      <c r="F767" s="2">
        <f>_xlfn.XLOOKUP(C767,customers!$A$1:$A$1001,customers!$B$1:$B$1001,,0)</f>
        <v/>
      </c>
      <c r="G767" s="2">
        <f>IF(_xlfn.XLOOKUP(C767,customers!$A$1:$A$1001,customers!$C$1:$C$1001,,0)=0,"",_xlfn.XLOOKUP(C767,customers!$A$1:$A$1001,customers!$C$1:$C$1001,,0))</f>
        <v/>
      </c>
      <c r="H767" s="2">
        <f>_xlfn.XLOOKUP(C767,customers!$A$1:$A$1001,customers!$G$1:$G$1001,,0)</f>
        <v/>
      </c>
      <c r="I767">
        <f>INDEX(products!$A$1:$G$49,MATCH(orders!$D767,products!$A$1:$A$49,0),MATCH(orders!I$1,products!$A$1:$G$1,0))</f>
        <v/>
      </c>
      <c r="J767">
        <f>INDEX(products!$A$1:$G$49,MATCH(orders!$D767,products!$A$1:$A$49,0),MATCH(orders!J$1,products!$A$1:$G$1,0))</f>
        <v/>
      </c>
      <c r="K767" s="4">
        <f>INDEX(products!$A$1:$G$49,MATCH(orders!$D767,products!$A$1:$A$49,0),MATCH(orders!K$1,products!$A$1:$G$1,0))</f>
        <v/>
      </c>
      <c r="L767" s="5">
        <f>INDEX(products!$A$1:$G$49,MATCH(orders!$D767,products!$A$1:$A$49,0),MATCH(orders!L$1,products!$A$1:$G$1,0))</f>
        <v/>
      </c>
      <c r="M767" s="5">
        <f>L767*E767</f>
        <v/>
      </c>
      <c r="N767">
        <f>IF(I767="Rob","Robusta",IF(I767="Exc","Excelsa",IF(I767="Ara","Arabica",IF(I767="Lib","Liberica",""))))</f>
        <v/>
      </c>
      <c r="O767">
        <f>IF(J767="M","Medium",IF(J767="L","Light",IF(J767="D","Dark","")))</f>
        <v/>
      </c>
      <c r="P767">
        <f>_xlfn.XLOOKUP(Orders[[#This Row],[Customer ID]],customers!$A$1:$A$1001,customers!$I$1:$I$1001,,0)</f>
        <v/>
      </c>
    </row>
    <row r="768">
      <c r="A768" s="2" t="inlineStr">
        <is>
          <t>O3417</t>
        </is>
      </c>
      <c r="B768" s="3" t="inlineStr">
        <is>
          <t>2022-11-02</t>
        </is>
      </c>
      <c r="C768" s="2" t="inlineStr">
        <is>
          <t>O1598</t>
        </is>
      </c>
      <c r="D768" t="inlineStr">
        <is>
          <t>O3851</t>
        </is>
      </c>
      <c r="E768" s="2" t="n">
        <v>112</v>
      </c>
      <c r="F768" s="2">
        <f>_xlfn.XLOOKUP(C768,customers!$A$1:$A$1001,customers!$B$1:$B$1001,,0)</f>
        <v/>
      </c>
      <c r="G768" s="2">
        <f>IF(_xlfn.XLOOKUP(C768,customers!$A$1:$A$1001,customers!$C$1:$C$1001,,0)=0,"",_xlfn.XLOOKUP(C768,customers!$A$1:$A$1001,customers!$C$1:$C$1001,,0))</f>
        <v/>
      </c>
      <c r="H768" s="2">
        <f>_xlfn.XLOOKUP(C768,customers!$A$1:$A$1001,customers!$G$1:$G$1001,,0)</f>
        <v/>
      </c>
      <c r="I768">
        <f>INDEX(products!$A$1:$G$49,MATCH(orders!$D768,products!$A$1:$A$49,0),MATCH(orders!I$1,products!$A$1:$G$1,0))</f>
        <v/>
      </c>
      <c r="J768">
        <f>INDEX(products!$A$1:$G$49,MATCH(orders!$D768,products!$A$1:$A$49,0),MATCH(orders!J$1,products!$A$1:$G$1,0))</f>
        <v/>
      </c>
      <c r="K768" s="4">
        <f>INDEX(products!$A$1:$G$49,MATCH(orders!$D768,products!$A$1:$A$49,0),MATCH(orders!K$1,products!$A$1:$G$1,0))</f>
        <v/>
      </c>
      <c r="L768" s="5">
        <f>INDEX(products!$A$1:$G$49,MATCH(orders!$D768,products!$A$1:$A$49,0),MATCH(orders!L$1,products!$A$1:$G$1,0))</f>
        <v/>
      </c>
      <c r="M768" s="5">
        <f>L768*E768</f>
        <v/>
      </c>
      <c r="N768">
        <f>IF(I768="Rob","Robusta",IF(I768="Exc","Excelsa",IF(I768="Ara","Arabica",IF(I768="Lib","Liberica",""))))</f>
        <v/>
      </c>
      <c r="O768">
        <f>IF(J768="M","Medium",IF(J768="L","Light",IF(J768="D","Dark","")))</f>
        <v/>
      </c>
      <c r="P768">
        <f>_xlfn.XLOOKUP(Orders[[#This Row],[Customer ID]],customers!$A$1:$A$1001,customers!$I$1:$I$1001,,0)</f>
        <v/>
      </c>
    </row>
    <row r="769">
      <c r="A769" s="2" t="inlineStr">
        <is>
          <t>O5007</t>
        </is>
      </c>
      <c r="B769" s="3" t="inlineStr">
        <is>
          <t>2024-01-29</t>
        </is>
      </c>
      <c r="C769" s="2" t="inlineStr">
        <is>
          <t>O5904</t>
        </is>
      </c>
      <c r="D769" t="inlineStr">
        <is>
          <t>O1716</t>
        </is>
      </c>
      <c r="E769" s="2" t="n">
        <v>334</v>
      </c>
      <c r="F769" s="2">
        <f>_xlfn.XLOOKUP(C769,customers!$A$1:$A$1001,customers!$B$1:$B$1001,,0)</f>
        <v/>
      </c>
      <c r="G769" s="2">
        <f>IF(_xlfn.XLOOKUP(C769,customers!$A$1:$A$1001,customers!$C$1:$C$1001,,0)=0,"",_xlfn.XLOOKUP(C769,customers!$A$1:$A$1001,customers!$C$1:$C$1001,,0))</f>
        <v/>
      </c>
      <c r="H769" s="2">
        <f>_xlfn.XLOOKUP(C769,customers!$A$1:$A$1001,customers!$G$1:$G$1001,,0)</f>
        <v/>
      </c>
      <c r="I769">
        <f>INDEX(products!$A$1:$G$49,MATCH(orders!$D769,products!$A$1:$A$49,0),MATCH(orders!I$1,products!$A$1:$G$1,0))</f>
        <v/>
      </c>
      <c r="J769">
        <f>INDEX(products!$A$1:$G$49,MATCH(orders!$D769,products!$A$1:$A$49,0),MATCH(orders!J$1,products!$A$1:$G$1,0))</f>
        <v/>
      </c>
      <c r="K769" s="4">
        <f>INDEX(products!$A$1:$G$49,MATCH(orders!$D769,products!$A$1:$A$49,0),MATCH(orders!K$1,products!$A$1:$G$1,0))</f>
        <v/>
      </c>
      <c r="L769" s="5">
        <f>INDEX(products!$A$1:$G$49,MATCH(orders!$D769,products!$A$1:$A$49,0),MATCH(orders!L$1,products!$A$1:$G$1,0))</f>
        <v/>
      </c>
      <c r="M769" s="5">
        <f>L769*E769</f>
        <v/>
      </c>
      <c r="N769">
        <f>IF(I769="Rob","Robusta",IF(I769="Exc","Excelsa",IF(I769="Ara","Arabica",IF(I769="Lib","Liberica",""))))</f>
        <v/>
      </c>
      <c r="O769">
        <f>IF(J769="M","Medium",IF(J769="L","Light",IF(J769="D","Dark","")))</f>
        <v/>
      </c>
      <c r="P769">
        <f>_xlfn.XLOOKUP(Orders[[#This Row],[Customer ID]],customers!$A$1:$A$1001,customers!$I$1:$I$1001,,0)</f>
        <v/>
      </c>
    </row>
    <row r="770">
      <c r="A770" s="2" t="inlineStr">
        <is>
          <t>O1602</t>
        </is>
      </c>
      <c r="B770" s="3" t="inlineStr">
        <is>
          <t>2023-11-20</t>
        </is>
      </c>
      <c r="C770" s="2" t="inlineStr">
        <is>
          <t>O1115</t>
        </is>
      </c>
      <c r="D770" t="inlineStr">
        <is>
          <t>O2175</t>
        </is>
      </c>
      <c r="E770" s="2" t="n">
        <v>36</v>
      </c>
      <c r="F770" s="2">
        <f>_xlfn.XLOOKUP(C770,customers!$A$1:$A$1001,customers!$B$1:$B$1001,,0)</f>
        <v/>
      </c>
      <c r="G770" s="2">
        <f>IF(_xlfn.XLOOKUP(C770,customers!$A$1:$A$1001,customers!$C$1:$C$1001,,0)=0,"",_xlfn.XLOOKUP(C770,customers!$A$1:$A$1001,customers!$C$1:$C$1001,,0))</f>
        <v/>
      </c>
      <c r="H770" s="2">
        <f>_xlfn.XLOOKUP(C770,customers!$A$1:$A$1001,customers!$G$1:$G$1001,,0)</f>
        <v/>
      </c>
      <c r="I770">
        <f>INDEX(products!$A$1:$G$49,MATCH(orders!$D770,products!$A$1:$A$49,0),MATCH(orders!I$1,products!$A$1:$G$1,0))</f>
        <v/>
      </c>
      <c r="J770">
        <f>INDEX(products!$A$1:$G$49,MATCH(orders!$D770,products!$A$1:$A$49,0),MATCH(orders!J$1,products!$A$1:$G$1,0))</f>
        <v/>
      </c>
      <c r="K770" s="4">
        <f>INDEX(products!$A$1:$G$49,MATCH(orders!$D770,products!$A$1:$A$49,0),MATCH(orders!K$1,products!$A$1:$G$1,0))</f>
        <v/>
      </c>
      <c r="L770" s="5">
        <f>INDEX(products!$A$1:$G$49,MATCH(orders!$D770,products!$A$1:$A$49,0),MATCH(orders!L$1,products!$A$1:$G$1,0))</f>
        <v/>
      </c>
      <c r="M770" s="5">
        <f>L770*E770</f>
        <v/>
      </c>
      <c r="N770">
        <f>IF(I770="Rob","Robusta",IF(I770="Exc","Excelsa",IF(I770="Ara","Arabica",IF(I770="Lib","Liberica",""))))</f>
        <v/>
      </c>
      <c r="O770">
        <f>IF(J770="M","Medium",IF(J770="L","Light",IF(J770="D","Dark","")))</f>
        <v/>
      </c>
      <c r="P770">
        <f>_xlfn.XLOOKUP(Orders[[#This Row],[Customer ID]],customers!$A$1:$A$1001,customers!$I$1:$I$1001,,0)</f>
        <v/>
      </c>
    </row>
    <row r="771">
      <c r="A771" s="2" t="inlineStr">
        <is>
          <t>O8633</t>
        </is>
      </c>
      <c r="B771" s="3" t="inlineStr">
        <is>
          <t>2022-09-18</t>
        </is>
      </c>
      <c r="C771" s="2" t="inlineStr">
        <is>
          <t>O6888</t>
        </is>
      </c>
      <c r="D771" t="inlineStr">
        <is>
          <t>O1633</t>
        </is>
      </c>
      <c r="E771" s="2" t="n">
        <v>140</v>
      </c>
      <c r="F771" s="2">
        <f>_xlfn.XLOOKUP(C771,customers!$A$1:$A$1001,customers!$B$1:$B$1001,,0)</f>
        <v/>
      </c>
      <c r="G771" s="2">
        <f>IF(_xlfn.XLOOKUP(C771,customers!$A$1:$A$1001,customers!$C$1:$C$1001,,0)=0,"",_xlfn.XLOOKUP(C771,customers!$A$1:$A$1001,customers!$C$1:$C$1001,,0))</f>
        <v/>
      </c>
      <c r="H771" s="2">
        <f>_xlfn.XLOOKUP(C771,customers!$A$1:$A$1001,customers!$G$1:$G$1001,,0)</f>
        <v/>
      </c>
      <c r="I771">
        <f>INDEX(products!$A$1:$G$49,MATCH(orders!$D771,products!$A$1:$A$49,0),MATCH(orders!I$1,products!$A$1:$G$1,0))</f>
        <v/>
      </c>
      <c r="J771">
        <f>INDEX(products!$A$1:$G$49,MATCH(orders!$D771,products!$A$1:$A$49,0),MATCH(orders!J$1,products!$A$1:$G$1,0))</f>
        <v/>
      </c>
      <c r="K771" s="4">
        <f>INDEX(products!$A$1:$G$49,MATCH(orders!$D771,products!$A$1:$A$49,0),MATCH(orders!K$1,products!$A$1:$G$1,0))</f>
        <v/>
      </c>
      <c r="L771" s="5">
        <f>INDEX(products!$A$1:$G$49,MATCH(orders!$D771,products!$A$1:$A$49,0),MATCH(orders!L$1,products!$A$1:$G$1,0))</f>
        <v/>
      </c>
      <c r="M771" s="5">
        <f>L771*E771</f>
        <v/>
      </c>
      <c r="N771">
        <f>IF(I771="Rob","Robusta",IF(I771="Exc","Excelsa",IF(I771="Ara","Arabica",IF(I771="Lib","Liberica",""))))</f>
        <v/>
      </c>
      <c r="O771">
        <f>IF(J771="M","Medium",IF(J771="L","Light",IF(J771="D","Dark","")))</f>
        <v/>
      </c>
      <c r="P771">
        <f>_xlfn.XLOOKUP(Orders[[#This Row],[Customer ID]],customers!$A$1:$A$1001,customers!$I$1:$I$1001,,0)</f>
        <v/>
      </c>
    </row>
    <row r="772">
      <c r="A772" s="2" t="inlineStr">
        <is>
          <t>O8656</t>
        </is>
      </c>
      <c r="B772" s="3" t="inlineStr">
        <is>
          <t>2022-09-17</t>
        </is>
      </c>
      <c r="C772" s="2" t="inlineStr">
        <is>
          <t>O9529</t>
        </is>
      </c>
      <c r="D772" t="inlineStr">
        <is>
          <t>O5016</t>
        </is>
      </c>
      <c r="E772" s="2" t="n">
        <v>6</v>
      </c>
      <c r="F772" s="2">
        <f>_xlfn.XLOOKUP(C772,customers!$A$1:$A$1001,customers!$B$1:$B$1001,,0)</f>
        <v/>
      </c>
      <c r="G772" s="2">
        <f>IF(_xlfn.XLOOKUP(C772,customers!$A$1:$A$1001,customers!$C$1:$C$1001,,0)=0,"",_xlfn.XLOOKUP(C772,customers!$A$1:$A$1001,customers!$C$1:$C$1001,,0))</f>
        <v/>
      </c>
      <c r="H772" s="2">
        <f>_xlfn.XLOOKUP(C772,customers!$A$1:$A$1001,customers!$G$1:$G$1001,,0)</f>
        <v/>
      </c>
      <c r="I772">
        <f>INDEX(products!$A$1:$G$49,MATCH(orders!$D772,products!$A$1:$A$49,0),MATCH(orders!I$1,products!$A$1:$G$1,0))</f>
        <v/>
      </c>
      <c r="J772">
        <f>INDEX(products!$A$1:$G$49,MATCH(orders!$D772,products!$A$1:$A$49,0),MATCH(orders!J$1,products!$A$1:$G$1,0))</f>
        <v/>
      </c>
      <c r="K772" s="4">
        <f>INDEX(products!$A$1:$G$49,MATCH(orders!$D772,products!$A$1:$A$49,0),MATCH(orders!K$1,products!$A$1:$G$1,0))</f>
        <v/>
      </c>
      <c r="L772" s="5">
        <f>INDEX(products!$A$1:$G$49,MATCH(orders!$D772,products!$A$1:$A$49,0),MATCH(orders!L$1,products!$A$1:$G$1,0))</f>
        <v/>
      </c>
      <c r="M772" s="5">
        <f>L772*E772</f>
        <v/>
      </c>
      <c r="N772">
        <f>IF(I772="Rob","Robusta",IF(I772="Exc","Excelsa",IF(I772="Ara","Arabica",IF(I772="Lib","Liberica",""))))</f>
        <v/>
      </c>
      <c r="O772">
        <f>IF(J772="M","Medium",IF(J772="L","Light",IF(J772="D","Dark","")))</f>
        <v/>
      </c>
      <c r="P772">
        <f>_xlfn.XLOOKUP(Orders[[#This Row],[Customer ID]],customers!$A$1:$A$1001,customers!$I$1:$I$1001,,0)</f>
        <v/>
      </c>
    </row>
    <row r="773">
      <c r="A773" s="2" t="inlineStr">
        <is>
          <t>O6542</t>
        </is>
      </c>
      <c r="B773" s="3" t="inlineStr">
        <is>
          <t>2021-08-02</t>
        </is>
      </c>
      <c r="C773" s="2" t="inlineStr">
        <is>
          <t>O3851</t>
        </is>
      </c>
      <c r="D773" t="inlineStr">
        <is>
          <t>O4965</t>
        </is>
      </c>
      <c r="E773" s="2" t="n">
        <v>417</v>
      </c>
      <c r="F773" s="2">
        <f>_xlfn.XLOOKUP(C773,customers!$A$1:$A$1001,customers!$B$1:$B$1001,,0)</f>
        <v/>
      </c>
      <c r="G773" s="2">
        <f>IF(_xlfn.XLOOKUP(C773,customers!$A$1:$A$1001,customers!$C$1:$C$1001,,0)=0,"",_xlfn.XLOOKUP(C773,customers!$A$1:$A$1001,customers!$C$1:$C$1001,,0))</f>
        <v/>
      </c>
      <c r="H773" s="2">
        <f>_xlfn.XLOOKUP(C773,customers!$A$1:$A$1001,customers!$G$1:$G$1001,,0)</f>
        <v/>
      </c>
      <c r="I773">
        <f>INDEX(products!$A$1:$G$49,MATCH(orders!$D773,products!$A$1:$A$49,0),MATCH(orders!I$1,products!$A$1:$G$1,0))</f>
        <v/>
      </c>
      <c r="J773">
        <f>INDEX(products!$A$1:$G$49,MATCH(orders!$D773,products!$A$1:$A$49,0),MATCH(orders!J$1,products!$A$1:$G$1,0))</f>
        <v/>
      </c>
      <c r="K773" s="4">
        <f>INDEX(products!$A$1:$G$49,MATCH(orders!$D773,products!$A$1:$A$49,0),MATCH(orders!K$1,products!$A$1:$G$1,0))</f>
        <v/>
      </c>
      <c r="L773" s="5">
        <f>INDEX(products!$A$1:$G$49,MATCH(orders!$D773,products!$A$1:$A$49,0),MATCH(orders!L$1,products!$A$1:$G$1,0))</f>
        <v/>
      </c>
      <c r="M773" s="5">
        <f>L773*E773</f>
        <v/>
      </c>
      <c r="N773">
        <f>IF(I773="Rob","Robusta",IF(I773="Exc","Excelsa",IF(I773="Ara","Arabica",IF(I773="Lib","Liberica",""))))</f>
        <v/>
      </c>
      <c r="O773">
        <f>IF(J773="M","Medium",IF(J773="L","Light",IF(J773="D","Dark","")))</f>
        <v/>
      </c>
      <c r="P773">
        <f>_xlfn.XLOOKUP(Orders[[#This Row],[Customer ID]],customers!$A$1:$A$1001,customers!$I$1:$I$1001,,0)</f>
        <v/>
      </c>
    </row>
    <row r="774">
      <c r="A774" s="2" t="inlineStr">
        <is>
          <t>O4408</t>
        </is>
      </c>
      <c r="B774" s="3" t="inlineStr">
        <is>
          <t>2023-09-23</t>
        </is>
      </c>
      <c r="C774" s="2" t="inlineStr">
        <is>
          <t>O6781</t>
        </is>
      </c>
      <c r="D774" t="inlineStr">
        <is>
          <t>O9795</t>
        </is>
      </c>
      <c r="E774" s="2" t="n">
        <v>342</v>
      </c>
      <c r="F774" s="2">
        <f>_xlfn.XLOOKUP(C774,customers!$A$1:$A$1001,customers!$B$1:$B$1001,,0)</f>
        <v/>
      </c>
      <c r="G774" s="2">
        <f>IF(_xlfn.XLOOKUP(C774,customers!$A$1:$A$1001,customers!$C$1:$C$1001,,0)=0,"",_xlfn.XLOOKUP(C774,customers!$A$1:$A$1001,customers!$C$1:$C$1001,,0))</f>
        <v/>
      </c>
      <c r="H774" s="2">
        <f>_xlfn.XLOOKUP(C774,customers!$A$1:$A$1001,customers!$G$1:$G$1001,,0)</f>
        <v/>
      </c>
      <c r="I774">
        <f>INDEX(products!$A$1:$G$49,MATCH(orders!$D774,products!$A$1:$A$49,0),MATCH(orders!I$1,products!$A$1:$G$1,0))</f>
        <v/>
      </c>
      <c r="J774">
        <f>INDEX(products!$A$1:$G$49,MATCH(orders!$D774,products!$A$1:$A$49,0),MATCH(orders!J$1,products!$A$1:$G$1,0))</f>
        <v/>
      </c>
      <c r="K774" s="4">
        <f>INDEX(products!$A$1:$G$49,MATCH(orders!$D774,products!$A$1:$A$49,0),MATCH(orders!K$1,products!$A$1:$G$1,0))</f>
        <v/>
      </c>
      <c r="L774" s="5">
        <f>INDEX(products!$A$1:$G$49,MATCH(orders!$D774,products!$A$1:$A$49,0),MATCH(orders!L$1,products!$A$1:$G$1,0))</f>
        <v/>
      </c>
      <c r="M774" s="5">
        <f>L774*E774</f>
        <v/>
      </c>
      <c r="N774">
        <f>IF(I774="Rob","Robusta",IF(I774="Exc","Excelsa",IF(I774="Ara","Arabica",IF(I774="Lib","Liberica",""))))</f>
        <v/>
      </c>
      <c r="O774">
        <f>IF(J774="M","Medium",IF(J774="L","Light",IF(J774="D","Dark","")))</f>
        <v/>
      </c>
      <c r="P774">
        <f>_xlfn.XLOOKUP(Orders[[#This Row],[Customer ID]],customers!$A$1:$A$1001,customers!$I$1:$I$1001,,0)</f>
        <v/>
      </c>
    </row>
    <row r="775">
      <c r="A775" s="2" t="inlineStr">
        <is>
          <t>O5925</t>
        </is>
      </c>
      <c r="B775" s="3" t="inlineStr">
        <is>
          <t>2024-09-20</t>
        </is>
      </c>
      <c r="C775" s="2" t="inlineStr">
        <is>
          <t>O4163</t>
        </is>
      </c>
      <c r="D775" t="inlineStr">
        <is>
          <t>O4066</t>
        </is>
      </c>
      <c r="E775" s="2" t="n">
        <v>324</v>
      </c>
      <c r="F775" s="2">
        <f>_xlfn.XLOOKUP(C775,customers!$A$1:$A$1001,customers!$B$1:$B$1001,,0)</f>
        <v/>
      </c>
      <c r="G775" s="2">
        <f>IF(_xlfn.XLOOKUP(C775,customers!$A$1:$A$1001,customers!$C$1:$C$1001,,0)=0,"",_xlfn.XLOOKUP(C775,customers!$A$1:$A$1001,customers!$C$1:$C$1001,,0))</f>
        <v/>
      </c>
      <c r="H775" s="2">
        <f>_xlfn.XLOOKUP(C775,customers!$A$1:$A$1001,customers!$G$1:$G$1001,,0)</f>
        <v/>
      </c>
      <c r="I775">
        <f>INDEX(products!$A$1:$G$49,MATCH(orders!$D775,products!$A$1:$A$49,0),MATCH(orders!I$1,products!$A$1:$G$1,0))</f>
        <v/>
      </c>
      <c r="J775">
        <f>INDEX(products!$A$1:$G$49,MATCH(orders!$D775,products!$A$1:$A$49,0),MATCH(orders!J$1,products!$A$1:$G$1,0))</f>
        <v/>
      </c>
      <c r="K775" s="4">
        <f>INDEX(products!$A$1:$G$49,MATCH(orders!$D775,products!$A$1:$A$49,0),MATCH(orders!K$1,products!$A$1:$G$1,0))</f>
        <v/>
      </c>
      <c r="L775" s="5">
        <f>INDEX(products!$A$1:$G$49,MATCH(orders!$D775,products!$A$1:$A$49,0),MATCH(orders!L$1,products!$A$1:$G$1,0))</f>
        <v/>
      </c>
      <c r="M775" s="5">
        <f>L775*E775</f>
        <v/>
      </c>
      <c r="N775">
        <f>IF(I775="Rob","Robusta",IF(I775="Exc","Excelsa",IF(I775="Ara","Arabica",IF(I775="Lib","Liberica",""))))</f>
        <v/>
      </c>
      <c r="O775">
        <f>IF(J775="M","Medium",IF(J775="L","Light",IF(J775="D","Dark","")))</f>
        <v/>
      </c>
      <c r="P775">
        <f>_xlfn.XLOOKUP(Orders[[#This Row],[Customer ID]],customers!$A$1:$A$1001,customers!$I$1:$I$1001,,0)</f>
        <v/>
      </c>
    </row>
    <row r="776">
      <c r="A776" s="2" t="inlineStr">
        <is>
          <t>O1561</t>
        </is>
      </c>
      <c r="B776" s="3" t="inlineStr">
        <is>
          <t>2022-04-20</t>
        </is>
      </c>
      <c r="C776" s="2" t="inlineStr">
        <is>
          <t>O7838</t>
        </is>
      </c>
      <c r="D776" t="inlineStr">
        <is>
          <t>O7405</t>
        </is>
      </c>
      <c r="E776" s="2" t="n">
        <v>50</v>
      </c>
      <c r="F776" s="2">
        <f>_xlfn.XLOOKUP(C776,customers!$A$1:$A$1001,customers!$B$1:$B$1001,,0)</f>
        <v/>
      </c>
      <c r="G776" s="2">
        <f>IF(_xlfn.XLOOKUP(C776,customers!$A$1:$A$1001,customers!$C$1:$C$1001,,0)=0,"",_xlfn.XLOOKUP(C776,customers!$A$1:$A$1001,customers!$C$1:$C$1001,,0))</f>
        <v/>
      </c>
      <c r="H776" s="2">
        <f>_xlfn.XLOOKUP(C776,customers!$A$1:$A$1001,customers!$G$1:$G$1001,,0)</f>
        <v/>
      </c>
      <c r="I776">
        <f>INDEX(products!$A$1:$G$49,MATCH(orders!$D776,products!$A$1:$A$49,0),MATCH(orders!I$1,products!$A$1:$G$1,0))</f>
        <v/>
      </c>
      <c r="J776">
        <f>INDEX(products!$A$1:$G$49,MATCH(orders!$D776,products!$A$1:$A$49,0),MATCH(orders!J$1,products!$A$1:$G$1,0))</f>
        <v/>
      </c>
      <c r="K776" s="4">
        <f>INDEX(products!$A$1:$G$49,MATCH(orders!$D776,products!$A$1:$A$49,0),MATCH(orders!K$1,products!$A$1:$G$1,0))</f>
        <v/>
      </c>
      <c r="L776" s="5">
        <f>INDEX(products!$A$1:$G$49,MATCH(orders!$D776,products!$A$1:$A$49,0),MATCH(orders!L$1,products!$A$1:$G$1,0))</f>
        <v/>
      </c>
      <c r="M776" s="5">
        <f>L776*E776</f>
        <v/>
      </c>
      <c r="N776">
        <f>IF(I776="Rob","Robusta",IF(I776="Exc","Excelsa",IF(I776="Ara","Arabica",IF(I776="Lib","Liberica",""))))</f>
        <v/>
      </c>
      <c r="O776">
        <f>IF(J776="M","Medium",IF(J776="L","Light",IF(J776="D","Dark","")))</f>
        <v/>
      </c>
      <c r="P776">
        <f>_xlfn.XLOOKUP(Orders[[#This Row],[Customer ID]],customers!$A$1:$A$1001,customers!$I$1:$I$1001,,0)</f>
        <v/>
      </c>
    </row>
    <row r="777">
      <c r="A777" s="2" t="inlineStr">
        <is>
          <t>O2551</t>
        </is>
      </c>
      <c r="B777" s="3" t="inlineStr">
        <is>
          <t>2021-12-14</t>
        </is>
      </c>
      <c r="C777" s="2" t="inlineStr">
        <is>
          <t>O1159</t>
        </is>
      </c>
      <c r="D777" t="inlineStr">
        <is>
          <t>O3388</t>
        </is>
      </c>
      <c r="E777" s="2" t="n">
        <v>1</v>
      </c>
      <c r="F777" s="2">
        <f>_xlfn.XLOOKUP(C777,customers!$A$1:$A$1001,customers!$B$1:$B$1001,,0)</f>
        <v/>
      </c>
      <c r="G777" s="2">
        <f>IF(_xlfn.XLOOKUP(C777,customers!$A$1:$A$1001,customers!$C$1:$C$1001,,0)=0,"",_xlfn.XLOOKUP(C777,customers!$A$1:$A$1001,customers!$C$1:$C$1001,,0))</f>
        <v/>
      </c>
      <c r="H777" s="2">
        <f>_xlfn.XLOOKUP(C777,customers!$A$1:$A$1001,customers!$G$1:$G$1001,,0)</f>
        <v/>
      </c>
      <c r="I777">
        <f>INDEX(products!$A$1:$G$49,MATCH(orders!$D777,products!$A$1:$A$49,0),MATCH(orders!I$1,products!$A$1:$G$1,0))</f>
        <v/>
      </c>
      <c r="J777">
        <f>INDEX(products!$A$1:$G$49,MATCH(orders!$D777,products!$A$1:$A$49,0),MATCH(orders!J$1,products!$A$1:$G$1,0))</f>
        <v/>
      </c>
      <c r="K777" s="4">
        <f>INDEX(products!$A$1:$G$49,MATCH(orders!$D777,products!$A$1:$A$49,0),MATCH(orders!K$1,products!$A$1:$G$1,0))</f>
        <v/>
      </c>
      <c r="L777" s="5">
        <f>INDEX(products!$A$1:$G$49,MATCH(orders!$D777,products!$A$1:$A$49,0),MATCH(orders!L$1,products!$A$1:$G$1,0))</f>
        <v/>
      </c>
      <c r="M777" s="5">
        <f>L777*E777</f>
        <v/>
      </c>
      <c r="N777">
        <f>IF(I777="Rob","Robusta",IF(I777="Exc","Excelsa",IF(I777="Ara","Arabica",IF(I777="Lib","Liberica",""))))</f>
        <v/>
      </c>
      <c r="O777">
        <f>IF(J777="M","Medium",IF(J777="L","Light",IF(J777="D","Dark","")))</f>
        <v/>
      </c>
      <c r="P777">
        <f>_xlfn.XLOOKUP(Orders[[#This Row],[Customer ID]],customers!$A$1:$A$1001,customers!$I$1:$I$1001,,0)</f>
        <v/>
      </c>
    </row>
    <row r="778">
      <c r="A778" s="2" t="inlineStr">
        <is>
          <t>O3855</t>
        </is>
      </c>
      <c r="B778" s="3" t="inlineStr">
        <is>
          <t>2023-10-18</t>
        </is>
      </c>
      <c r="C778" s="2" t="inlineStr">
        <is>
          <t>O1809</t>
        </is>
      </c>
      <c r="D778" t="inlineStr">
        <is>
          <t>O3182</t>
        </is>
      </c>
      <c r="E778" s="2" t="n">
        <v>468</v>
      </c>
      <c r="F778" s="2">
        <f>_xlfn.XLOOKUP(C778,customers!$A$1:$A$1001,customers!$B$1:$B$1001,,0)</f>
        <v/>
      </c>
      <c r="G778" s="2">
        <f>IF(_xlfn.XLOOKUP(C778,customers!$A$1:$A$1001,customers!$C$1:$C$1001,,0)=0,"",_xlfn.XLOOKUP(C778,customers!$A$1:$A$1001,customers!$C$1:$C$1001,,0))</f>
        <v/>
      </c>
      <c r="H778" s="2">
        <f>_xlfn.XLOOKUP(C778,customers!$A$1:$A$1001,customers!$G$1:$G$1001,,0)</f>
        <v/>
      </c>
      <c r="I778">
        <f>INDEX(products!$A$1:$G$49,MATCH(orders!$D778,products!$A$1:$A$49,0),MATCH(orders!I$1,products!$A$1:$G$1,0))</f>
        <v/>
      </c>
      <c r="J778">
        <f>INDEX(products!$A$1:$G$49,MATCH(orders!$D778,products!$A$1:$A$49,0),MATCH(orders!J$1,products!$A$1:$G$1,0))</f>
        <v/>
      </c>
      <c r="K778" s="4">
        <f>INDEX(products!$A$1:$G$49,MATCH(orders!$D778,products!$A$1:$A$49,0),MATCH(orders!K$1,products!$A$1:$G$1,0))</f>
        <v/>
      </c>
      <c r="L778" s="5">
        <f>INDEX(products!$A$1:$G$49,MATCH(orders!$D778,products!$A$1:$A$49,0),MATCH(orders!L$1,products!$A$1:$G$1,0))</f>
        <v/>
      </c>
      <c r="M778" s="5">
        <f>L778*E778</f>
        <v/>
      </c>
      <c r="N778">
        <f>IF(I778="Rob","Robusta",IF(I778="Exc","Excelsa",IF(I778="Ara","Arabica",IF(I778="Lib","Liberica",""))))</f>
        <v/>
      </c>
      <c r="O778">
        <f>IF(J778="M","Medium",IF(J778="L","Light",IF(J778="D","Dark","")))</f>
        <v/>
      </c>
      <c r="P778">
        <f>_xlfn.XLOOKUP(Orders[[#This Row],[Customer ID]],customers!$A$1:$A$1001,customers!$I$1:$I$1001,,0)</f>
        <v/>
      </c>
    </row>
    <row r="779">
      <c r="A779" s="2" t="inlineStr">
        <is>
          <t>O3230</t>
        </is>
      </c>
      <c r="B779" s="3" t="inlineStr">
        <is>
          <t>2023-06-21</t>
        </is>
      </c>
      <c r="C779" s="2" t="inlineStr">
        <is>
          <t>O3339</t>
        </is>
      </c>
      <c r="D779" t="inlineStr">
        <is>
          <t>O9542</t>
        </is>
      </c>
      <c r="E779" s="2" t="n">
        <v>66</v>
      </c>
      <c r="F779" s="2">
        <f>_xlfn.XLOOKUP(C779,customers!$A$1:$A$1001,customers!$B$1:$B$1001,,0)</f>
        <v/>
      </c>
      <c r="G779" s="2">
        <f>IF(_xlfn.XLOOKUP(C779,customers!$A$1:$A$1001,customers!$C$1:$C$1001,,0)=0,"",_xlfn.XLOOKUP(C779,customers!$A$1:$A$1001,customers!$C$1:$C$1001,,0))</f>
        <v/>
      </c>
      <c r="H779" s="2">
        <f>_xlfn.XLOOKUP(C779,customers!$A$1:$A$1001,customers!$G$1:$G$1001,,0)</f>
        <v/>
      </c>
      <c r="I779">
        <f>INDEX(products!$A$1:$G$49,MATCH(orders!$D779,products!$A$1:$A$49,0),MATCH(orders!I$1,products!$A$1:$G$1,0))</f>
        <v/>
      </c>
      <c r="J779">
        <f>INDEX(products!$A$1:$G$49,MATCH(orders!$D779,products!$A$1:$A$49,0),MATCH(orders!J$1,products!$A$1:$G$1,0))</f>
        <v/>
      </c>
      <c r="K779" s="4">
        <f>INDEX(products!$A$1:$G$49,MATCH(orders!$D779,products!$A$1:$A$49,0),MATCH(orders!K$1,products!$A$1:$G$1,0))</f>
        <v/>
      </c>
      <c r="L779" s="5">
        <f>INDEX(products!$A$1:$G$49,MATCH(orders!$D779,products!$A$1:$A$49,0),MATCH(orders!L$1,products!$A$1:$G$1,0))</f>
        <v/>
      </c>
      <c r="M779" s="5">
        <f>L779*E779</f>
        <v/>
      </c>
      <c r="N779">
        <f>IF(I779="Rob","Robusta",IF(I779="Exc","Excelsa",IF(I779="Ara","Arabica",IF(I779="Lib","Liberica",""))))</f>
        <v/>
      </c>
      <c r="O779">
        <f>IF(J779="M","Medium",IF(J779="L","Light",IF(J779="D","Dark","")))</f>
        <v/>
      </c>
      <c r="P779">
        <f>_xlfn.XLOOKUP(Orders[[#This Row],[Customer ID]],customers!$A$1:$A$1001,customers!$I$1:$I$1001,,0)</f>
        <v/>
      </c>
    </row>
    <row r="780">
      <c r="A780" s="2" t="inlineStr">
        <is>
          <t>O9832</t>
        </is>
      </c>
      <c r="B780" s="3" t="inlineStr">
        <is>
          <t>2023-08-19</t>
        </is>
      </c>
      <c r="C780" s="2" t="inlineStr">
        <is>
          <t>O8998</t>
        </is>
      </c>
      <c r="D780" t="inlineStr">
        <is>
          <t>O3971</t>
        </is>
      </c>
      <c r="E780" s="2" t="n">
        <v>263</v>
      </c>
      <c r="F780" s="2">
        <f>_xlfn.XLOOKUP(C780,customers!$A$1:$A$1001,customers!$B$1:$B$1001,,0)</f>
        <v/>
      </c>
      <c r="G780" s="2">
        <f>IF(_xlfn.XLOOKUP(C780,customers!$A$1:$A$1001,customers!$C$1:$C$1001,,0)=0,"",_xlfn.XLOOKUP(C780,customers!$A$1:$A$1001,customers!$C$1:$C$1001,,0))</f>
        <v/>
      </c>
      <c r="H780" s="2">
        <f>_xlfn.XLOOKUP(C780,customers!$A$1:$A$1001,customers!$G$1:$G$1001,,0)</f>
        <v/>
      </c>
      <c r="I780">
        <f>INDEX(products!$A$1:$G$49,MATCH(orders!$D780,products!$A$1:$A$49,0),MATCH(orders!I$1,products!$A$1:$G$1,0))</f>
        <v/>
      </c>
      <c r="J780">
        <f>INDEX(products!$A$1:$G$49,MATCH(orders!$D780,products!$A$1:$A$49,0),MATCH(orders!J$1,products!$A$1:$G$1,0))</f>
        <v/>
      </c>
      <c r="K780" s="4">
        <f>INDEX(products!$A$1:$G$49,MATCH(orders!$D780,products!$A$1:$A$49,0),MATCH(orders!K$1,products!$A$1:$G$1,0))</f>
        <v/>
      </c>
      <c r="L780" s="5">
        <f>INDEX(products!$A$1:$G$49,MATCH(orders!$D780,products!$A$1:$A$49,0),MATCH(orders!L$1,products!$A$1:$G$1,0))</f>
        <v/>
      </c>
      <c r="M780" s="5">
        <f>L780*E780</f>
        <v/>
      </c>
      <c r="N780">
        <f>IF(I780="Rob","Robusta",IF(I780="Exc","Excelsa",IF(I780="Ara","Arabica",IF(I780="Lib","Liberica",""))))</f>
        <v/>
      </c>
      <c r="O780">
        <f>IF(J780="M","Medium",IF(J780="L","Light",IF(J780="D","Dark","")))</f>
        <v/>
      </c>
      <c r="P780">
        <f>_xlfn.XLOOKUP(Orders[[#This Row],[Customer ID]],customers!$A$1:$A$1001,customers!$I$1:$I$1001,,0)</f>
        <v/>
      </c>
    </row>
    <row r="781">
      <c r="A781" s="2" t="inlineStr">
        <is>
          <t>O8744</t>
        </is>
      </c>
      <c r="B781" s="3" t="inlineStr">
        <is>
          <t>2021-03-07</t>
        </is>
      </c>
      <c r="C781" s="2" t="inlineStr">
        <is>
          <t>O8900</t>
        </is>
      </c>
      <c r="D781" t="inlineStr">
        <is>
          <t>O7511</t>
        </is>
      </c>
      <c r="E781" s="2" t="n">
        <v>145</v>
      </c>
      <c r="F781" s="2">
        <f>_xlfn.XLOOKUP(C781,customers!$A$1:$A$1001,customers!$B$1:$B$1001,,0)</f>
        <v/>
      </c>
      <c r="G781" s="2">
        <f>IF(_xlfn.XLOOKUP(C781,customers!$A$1:$A$1001,customers!$C$1:$C$1001,,0)=0,"",_xlfn.XLOOKUP(C781,customers!$A$1:$A$1001,customers!$C$1:$C$1001,,0))</f>
        <v/>
      </c>
      <c r="H781" s="2">
        <f>_xlfn.XLOOKUP(C781,customers!$A$1:$A$1001,customers!$G$1:$G$1001,,0)</f>
        <v/>
      </c>
      <c r="I781">
        <f>INDEX(products!$A$1:$G$49,MATCH(orders!$D781,products!$A$1:$A$49,0),MATCH(orders!I$1,products!$A$1:$G$1,0))</f>
        <v/>
      </c>
      <c r="J781">
        <f>INDEX(products!$A$1:$G$49,MATCH(orders!$D781,products!$A$1:$A$49,0),MATCH(orders!J$1,products!$A$1:$G$1,0))</f>
        <v/>
      </c>
      <c r="K781" s="4">
        <f>INDEX(products!$A$1:$G$49,MATCH(orders!$D781,products!$A$1:$A$49,0),MATCH(orders!K$1,products!$A$1:$G$1,0))</f>
        <v/>
      </c>
      <c r="L781" s="5">
        <f>INDEX(products!$A$1:$G$49,MATCH(orders!$D781,products!$A$1:$A$49,0),MATCH(orders!L$1,products!$A$1:$G$1,0))</f>
        <v/>
      </c>
      <c r="M781" s="5">
        <f>L781*E781</f>
        <v/>
      </c>
      <c r="N781">
        <f>IF(I781="Rob","Robusta",IF(I781="Exc","Excelsa",IF(I781="Ara","Arabica",IF(I781="Lib","Liberica",""))))</f>
        <v/>
      </c>
      <c r="O781">
        <f>IF(J781="M","Medium",IF(J781="L","Light",IF(J781="D","Dark","")))</f>
        <v/>
      </c>
      <c r="P781">
        <f>_xlfn.XLOOKUP(Orders[[#This Row],[Customer ID]],customers!$A$1:$A$1001,customers!$I$1:$I$1001,,0)</f>
        <v/>
      </c>
    </row>
    <row r="782">
      <c r="A782" s="2" t="inlineStr">
        <is>
          <t>O7199</t>
        </is>
      </c>
      <c r="B782" s="3" t="inlineStr">
        <is>
          <t>2020-08-05</t>
        </is>
      </c>
      <c r="C782" s="2" t="inlineStr">
        <is>
          <t>O9534</t>
        </is>
      </c>
      <c r="D782" t="inlineStr">
        <is>
          <t>O8836</t>
        </is>
      </c>
      <c r="E782" s="2" t="n">
        <v>214</v>
      </c>
      <c r="F782" s="2">
        <f>_xlfn.XLOOKUP(C782,customers!$A$1:$A$1001,customers!$B$1:$B$1001,,0)</f>
        <v/>
      </c>
      <c r="G782" s="2">
        <f>IF(_xlfn.XLOOKUP(C782,customers!$A$1:$A$1001,customers!$C$1:$C$1001,,0)=0,"",_xlfn.XLOOKUP(C782,customers!$A$1:$A$1001,customers!$C$1:$C$1001,,0))</f>
        <v/>
      </c>
      <c r="H782" s="2">
        <f>_xlfn.XLOOKUP(C782,customers!$A$1:$A$1001,customers!$G$1:$G$1001,,0)</f>
        <v/>
      </c>
      <c r="I782">
        <f>INDEX(products!$A$1:$G$49,MATCH(orders!$D782,products!$A$1:$A$49,0),MATCH(orders!I$1,products!$A$1:$G$1,0))</f>
        <v/>
      </c>
      <c r="J782">
        <f>INDEX(products!$A$1:$G$49,MATCH(orders!$D782,products!$A$1:$A$49,0),MATCH(orders!J$1,products!$A$1:$G$1,0))</f>
        <v/>
      </c>
      <c r="K782" s="4">
        <f>INDEX(products!$A$1:$G$49,MATCH(orders!$D782,products!$A$1:$A$49,0),MATCH(orders!K$1,products!$A$1:$G$1,0))</f>
        <v/>
      </c>
      <c r="L782" s="5">
        <f>INDEX(products!$A$1:$G$49,MATCH(orders!$D782,products!$A$1:$A$49,0),MATCH(orders!L$1,products!$A$1:$G$1,0))</f>
        <v/>
      </c>
      <c r="M782" s="5">
        <f>L782*E782</f>
        <v/>
      </c>
      <c r="N782">
        <f>IF(I782="Rob","Robusta",IF(I782="Exc","Excelsa",IF(I782="Ara","Arabica",IF(I782="Lib","Liberica",""))))</f>
        <v/>
      </c>
      <c r="O782">
        <f>IF(J782="M","Medium",IF(J782="L","Light",IF(J782="D","Dark","")))</f>
        <v/>
      </c>
      <c r="P782">
        <f>_xlfn.XLOOKUP(Orders[[#This Row],[Customer ID]],customers!$A$1:$A$1001,customers!$I$1:$I$1001,,0)</f>
        <v/>
      </c>
    </row>
    <row r="783">
      <c r="A783" s="2" t="inlineStr">
        <is>
          <t>O9014</t>
        </is>
      </c>
      <c r="B783" s="3" t="inlineStr">
        <is>
          <t>2020-11-29</t>
        </is>
      </c>
      <c r="C783" s="2" t="inlineStr">
        <is>
          <t>O8244</t>
        </is>
      </c>
      <c r="D783" t="inlineStr">
        <is>
          <t>O7739</t>
        </is>
      </c>
      <c r="E783" s="2" t="n">
        <v>488</v>
      </c>
      <c r="F783" s="2">
        <f>_xlfn.XLOOKUP(C783,customers!$A$1:$A$1001,customers!$B$1:$B$1001,,0)</f>
        <v/>
      </c>
      <c r="G783" s="2">
        <f>IF(_xlfn.XLOOKUP(C783,customers!$A$1:$A$1001,customers!$C$1:$C$1001,,0)=0,"",_xlfn.XLOOKUP(C783,customers!$A$1:$A$1001,customers!$C$1:$C$1001,,0))</f>
        <v/>
      </c>
      <c r="H783" s="2">
        <f>_xlfn.XLOOKUP(C783,customers!$A$1:$A$1001,customers!$G$1:$G$1001,,0)</f>
        <v/>
      </c>
      <c r="I783">
        <f>INDEX(products!$A$1:$G$49,MATCH(orders!$D783,products!$A$1:$A$49,0),MATCH(orders!I$1,products!$A$1:$G$1,0))</f>
        <v/>
      </c>
      <c r="J783">
        <f>INDEX(products!$A$1:$G$49,MATCH(orders!$D783,products!$A$1:$A$49,0),MATCH(orders!J$1,products!$A$1:$G$1,0))</f>
        <v/>
      </c>
      <c r="K783" s="4">
        <f>INDEX(products!$A$1:$G$49,MATCH(orders!$D783,products!$A$1:$A$49,0),MATCH(orders!K$1,products!$A$1:$G$1,0))</f>
        <v/>
      </c>
      <c r="L783" s="5">
        <f>INDEX(products!$A$1:$G$49,MATCH(orders!$D783,products!$A$1:$A$49,0),MATCH(orders!L$1,products!$A$1:$G$1,0))</f>
        <v/>
      </c>
      <c r="M783" s="5">
        <f>L783*E783</f>
        <v/>
      </c>
      <c r="N783">
        <f>IF(I783="Rob","Robusta",IF(I783="Exc","Excelsa",IF(I783="Ara","Arabica",IF(I783="Lib","Liberica",""))))</f>
        <v/>
      </c>
      <c r="O783">
        <f>IF(J783="M","Medium",IF(J783="L","Light",IF(J783="D","Dark","")))</f>
        <v/>
      </c>
      <c r="P783">
        <f>_xlfn.XLOOKUP(Orders[[#This Row],[Customer ID]],customers!$A$1:$A$1001,customers!$I$1:$I$1001,,0)</f>
        <v/>
      </c>
    </row>
    <row r="784">
      <c r="A784" s="2" t="inlineStr">
        <is>
          <t>O4146</t>
        </is>
      </c>
      <c r="B784" s="3" t="inlineStr">
        <is>
          <t>2021-03-26</t>
        </is>
      </c>
      <c r="C784" s="2" t="inlineStr">
        <is>
          <t>O8608</t>
        </is>
      </c>
      <c r="D784" t="inlineStr">
        <is>
          <t>O8421</t>
        </is>
      </c>
      <c r="E784" s="2" t="n">
        <v>312</v>
      </c>
      <c r="F784" s="2">
        <f>_xlfn.XLOOKUP(C784,customers!$A$1:$A$1001,customers!$B$1:$B$1001,,0)</f>
        <v/>
      </c>
      <c r="G784" s="2">
        <f>IF(_xlfn.XLOOKUP(C784,customers!$A$1:$A$1001,customers!$C$1:$C$1001,,0)=0,"",_xlfn.XLOOKUP(C784,customers!$A$1:$A$1001,customers!$C$1:$C$1001,,0))</f>
        <v/>
      </c>
      <c r="H784" s="2">
        <f>_xlfn.XLOOKUP(C784,customers!$A$1:$A$1001,customers!$G$1:$G$1001,,0)</f>
        <v/>
      </c>
      <c r="I784">
        <f>INDEX(products!$A$1:$G$49,MATCH(orders!$D784,products!$A$1:$A$49,0),MATCH(orders!I$1,products!$A$1:$G$1,0))</f>
        <v/>
      </c>
      <c r="J784">
        <f>INDEX(products!$A$1:$G$49,MATCH(orders!$D784,products!$A$1:$A$49,0),MATCH(orders!J$1,products!$A$1:$G$1,0))</f>
        <v/>
      </c>
      <c r="K784" s="4">
        <f>INDEX(products!$A$1:$G$49,MATCH(orders!$D784,products!$A$1:$A$49,0),MATCH(orders!K$1,products!$A$1:$G$1,0))</f>
        <v/>
      </c>
      <c r="L784" s="5">
        <f>INDEX(products!$A$1:$G$49,MATCH(orders!$D784,products!$A$1:$A$49,0),MATCH(orders!L$1,products!$A$1:$G$1,0))</f>
        <v/>
      </c>
      <c r="M784" s="5">
        <f>L784*E784</f>
        <v/>
      </c>
      <c r="N784">
        <f>IF(I784="Rob","Robusta",IF(I784="Exc","Excelsa",IF(I784="Ara","Arabica",IF(I784="Lib","Liberica",""))))</f>
        <v/>
      </c>
      <c r="O784">
        <f>IF(J784="M","Medium",IF(J784="L","Light",IF(J784="D","Dark","")))</f>
        <v/>
      </c>
      <c r="P784">
        <f>_xlfn.XLOOKUP(Orders[[#This Row],[Customer ID]],customers!$A$1:$A$1001,customers!$I$1:$I$1001,,0)</f>
        <v/>
      </c>
    </row>
    <row r="785">
      <c r="A785" s="2" t="inlineStr">
        <is>
          <t>O1406</t>
        </is>
      </c>
      <c r="B785" s="3" t="inlineStr">
        <is>
          <t>2024-04-17</t>
        </is>
      </c>
      <c r="C785" s="2" t="inlineStr">
        <is>
          <t>O6550</t>
        </is>
      </c>
      <c r="D785" t="inlineStr">
        <is>
          <t>O1543</t>
        </is>
      </c>
      <c r="E785" s="2" t="n">
        <v>262</v>
      </c>
      <c r="F785" s="2">
        <f>_xlfn.XLOOKUP(C785,customers!$A$1:$A$1001,customers!$B$1:$B$1001,,0)</f>
        <v/>
      </c>
      <c r="G785" s="2">
        <f>IF(_xlfn.XLOOKUP(C785,customers!$A$1:$A$1001,customers!$C$1:$C$1001,,0)=0,"",_xlfn.XLOOKUP(C785,customers!$A$1:$A$1001,customers!$C$1:$C$1001,,0))</f>
        <v/>
      </c>
      <c r="H785" s="2">
        <f>_xlfn.XLOOKUP(C785,customers!$A$1:$A$1001,customers!$G$1:$G$1001,,0)</f>
        <v/>
      </c>
      <c r="I785">
        <f>INDEX(products!$A$1:$G$49,MATCH(orders!$D785,products!$A$1:$A$49,0),MATCH(orders!I$1,products!$A$1:$G$1,0))</f>
        <v/>
      </c>
      <c r="J785">
        <f>INDEX(products!$A$1:$G$49,MATCH(orders!$D785,products!$A$1:$A$49,0),MATCH(orders!J$1,products!$A$1:$G$1,0))</f>
        <v/>
      </c>
      <c r="K785" s="4">
        <f>INDEX(products!$A$1:$G$49,MATCH(orders!$D785,products!$A$1:$A$49,0),MATCH(orders!K$1,products!$A$1:$G$1,0))</f>
        <v/>
      </c>
      <c r="L785" s="5">
        <f>INDEX(products!$A$1:$G$49,MATCH(orders!$D785,products!$A$1:$A$49,0),MATCH(orders!L$1,products!$A$1:$G$1,0))</f>
        <v/>
      </c>
      <c r="M785" s="5">
        <f>L785*E785</f>
        <v/>
      </c>
      <c r="N785">
        <f>IF(I785="Rob","Robusta",IF(I785="Exc","Excelsa",IF(I785="Ara","Arabica",IF(I785="Lib","Liberica",""))))</f>
        <v/>
      </c>
      <c r="O785">
        <f>IF(J785="M","Medium",IF(J785="L","Light",IF(J785="D","Dark","")))</f>
        <v/>
      </c>
      <c r="P785">
        <f>_xlfn.XLOOKUP(Orders[[#This Row],[Customer ID]],customers!$A$1:$A$1001,customers!$I$1:$I$1001,,0)</f>
        <v/>
      </c>
    </row>
    <row r="786">
      <c r="A786" s="2" t="inlineStr">
        <is>
          <t>O6944</t>
        </is>
      </c>
      <c r="B786" s="3" t="inlineStr">
        <is>
          <t>2024-06-14</t>
        </is>
      </c>
      <c r="C786" s="2" t="inlineStr">
        <is>
          <t>O1223</t>
        </is>
      </c>
      <c r="D786" t="inlineStr">
        <is>
          <t>O9034</t>
        </is>
      </c>
      <c r="E786" s="2" t="n">
        <v>490</v>
      </c>
      <c r="F786" s="2">
        <f>_xlfn.XLOOKUP(C786,customers!$A$1:$A$1001,customers!$B$1:$B$1001,,0)</f>
        <v/>
      </c>
      <c r="G786" s="2">
        <f>IF(_xlfn.XLOOKUP(C786,customers!$A$1:$A$1001,customers!$C$1:$C$1001,,0)=0,"",_xlfn.XLOOKUP(C786,customers!$A$1:$A$1001,customers!$C$1:$C$1001,,0))</f>
        <v/>
      </c>
      <c r="H786" s="2">
        <f>_xlfn.XLOOKUP(C786,customers!$A$1:$A$1001,customers!$G$1:$G$1001,,0)</f>
        <v/>
      </c>
      <c r="I786">
        <f>INDEX(products!$A$1:$G$49,MATCH(orders!$D786,products!$A$1:$A$49,0),MATCH(orders!I$1,products!$A$1:$G$1,0))</f>
        <v/>
      </c>
      <c r="J786">
        <f>INDEX(products!$A$1:$G$49,MATCH(orders!$D786,products!$A$1:$A$49,0),MATCH(orders!J$1,products!$A$1:$G$1,0))</f>
        <v/>
      </c>
      <c r="K786" s="4">
        <f>INDEX(products!$A$1:$G$49,MATCH(orders!$D786,products!$A$1:$A$49,0),MATCH(orders!K$1,products!$A$1:$G$1,0))</f>
        <v/>
      </c>
      <c r="L786" s="5">
        <f>INDEX(products!$A$1:$G$49,MATCH(orders!$D786,products!$A$1:$A$49,0),MATCH(orders!L$1,products!$A$1:$G$1,0))</f>
        <v/>
      </c>
      <c r="M786" s="5">
        <f>L786*E786</f>
        <v/>
      </c>
      <c r="N786">
        <f>IF(I786="Rob","Robusta",IF(I786="Exc","Excelsa",IF(I786="Ara","Arabica",IF(I786="Lib","Liberica",""))))</f>
        <v/>
      </c>
      <c r="O786">
        <f>IF(J786="M","Medium",IF(J786="L","Light",IF(J786="D","Dark","")))</f>
        <v/>
      </c>
      <c r="P786">
        <f>_xlfn.XLOOKUP(Orders[[#This Row],[Customer ID]],customers!$A$1:$A$1001,customers!$I$1:$I$1001,,0)</f>
        <v/>
      </c>
    </row>
    <row r="787">
      <c r="A787" s="2" t="inlineStr">
        <is>
          <t>O3753</t>
        </is>
      </c>
      <c r="B787" s="3" t="inlineStr">
        <is>
          <t>2020-04-25</t>
        </is>
      </c>
      <c r="C787" s="2" t="inlineStr">
        <is>
          <t>O1021</t>
        </is>
      </c>
      <c r="D787" t="inlineStr">
        <is>
          <t>O7203</t>
        </is>
      </c>
      <c r="E787" s="2" t="n">
        <v>299</v>
      </c>
      <c r="F787" s="2">
        <f>_xlfn.XLOOKUP(C787,customers!$A$1:$A$1001,customers!$B$1:$B$1001,,0)</f>
        <v/>
      </c>
      <c r="G787" s="2">
        <f>IF(_xlfn.XLOOKUP(C787,customers!$A$1:$A$1001,customers!$C$1:$C$1001,,0)=0,"",_xlfn.XLOOKUP(C787,customers!$A$1:$A$1001,customers!$C$1:$C$1001,,0))</f>
        <v/>
      </c>
      <c r="H787" s="2">
        <f>_xlfn.XLOOKUP(C787,customers!$A$1:$A$1001,customers!$G$1:$G$1001,,0)</f>
        <v/>
      </c>
      <c r="I787">
        <f>INDEX(products!$A$1:$G$49,MATCH(orders!$D787,products!$A$1:$A$49,0),MATCH(orders!I$1,products!$A$1:$G$1,0))</f>
        <v/>
      </c>
      <c r="J787">
        <f>INDEX(products!$A$1:$G$49,MATCH(orders!$D787,products!$A$1:$A$49,0),MATCH(orders!J$1,products!$A$1:$G$1,0))</f>
        <v/>
      </c>
      <c r="K787" s="4">
        <f>INDEX(products!$A$1:$G$49,MATCH(orders!$D787,products!$A$1:$A$49,0),MATCH(orders!K$1,products!$A$1:$G$1,0))</f>
        <v/>
      </c>
      <c r="L787" s="5">
        <f>INDEX(products!$A$1:$G$49,MATCH(orders!$D787,products!$A$1:$A$49,0),MATCH(orders!L$1,products!$A$1:$G$1,0))</f>
        <v/>
      </c>
      <c r="M787" s="5">
        <f>L787*E787</f>
        <v/>
      </c>
      <c r="N787">
        <f>IF(I787="Rob","Robusta",IF(I787="Exc","Excelsa",IF(I787="Ara","Arabica",IF(I787="Lib","Liberica",""))))</f>
        <v/>
      </c>
      <c r="O787">
        <f>IF(J787="M","Medium",IF(J787="L","Light",IF(J787="D","Dark","")))</f>
        <v/>
      </c>
      <c r="P787">
        <f>_xlfn.XLOOKUP(Orders[[#This Row],[Customer ID]],customers!$A$1:$A$1001,customers!$I$1:$I$1001,,0)</f>
        <v/>
      </c>
    </row>
    <row r="788">
      <c r="A788" s="2" t="inlineStr">
        <is>
          <t>O8087</t>
        </is>
      </c>
      <c r="B788" s="3" t="inlineStr">
        <is>
          <t>2020-06-19</t>
        </is>
      </c>
      <c r="C788" s="2" t="inlineStr">
        <is>
          <t>O5125</t>
        </is>
      </c>
      <c r="D788" t="inlineStr">
        <is>
          <t>O1747</t>
        </is>
      </c>
      <c r="E788" s="2" t="n">
        <v>292</v>
      </c>
      <c r="F788" s="2">
        <f>_xlfn.XLOOKUP(C788,customers!$A$1:$A$1001,customers!$B$1:$B$1001,,0)</f>
        <v/>
      </c>
      <c r="G788" s="2">
        <f>IF(_xlfn.XLOOKUP(C788,customers!$A$1:$A$1001,customers!$C$1:$C$1001,,0)=0,"",_xlfn.XLOOKUP(C788,customers!$A$1:$A$1001,customers!$C$1:$C$1001,,0))</f>
        <v/>
      </c>
      <c r="H788" s="2">
        <f>_xlfn.XLOOKUP(C788,customers!$A$1:$A$1001,customers!$G$1:$G$1001,,0)</f>
        <v/>
      </c>
      <c r="I788">
        <f>INDEX(products!$A$1:$G$49,MATCH(orders!$D788,products!$A$1:$A$49,0),MATCH(orders!I$1,products!$A$1:$G$1,0))</f>
        <v/>
      </c>
      <c r="J788">
        <f>INDEX(products!$A$1:$G$49,MATCH(orders!$D788,products!$A$1:$A$49,0),MATCH(orders!J$1,products!$A$1:$G$1,0))</f>
        <v/>
      </c>
      <c r="K788" s="4">
        <f>INDEX(products!$A$1:$G$49,MATCH(orders!$D788,products!$A$1:$A$49,0),MATCH(orders!K$1,products!$A$1:$G$1,0))</f>
        <v/>
      </c>
      <c r="L788" s="5">
        <f>INDEX(products!$A$1:$G$49,MATCH(orders!$D788,products!$A$1:$A$49,0),MATCH(orders!L$1,products!$A$1:$G$1,0))</f>
        <v/>
      </c>
      <c r="M788" s="5">
        <f>L788*E788</f>
        <v/>
      </c>
      <c r="N788">
        <f>IF(I788="Rob","Robusta",IF(I788="Exc","Excelsa",IF(I788="Ara","Arabica",IF(I788="Lib","Liberica",""))))</f>
        <v/>
      </c>
      <c r="O788">
        <f>IF(J788="M","Medium",IF(J788="L","Light",IF(J788="D","Dark","")))</f>
        <v/>
      </c>
      <c r="P788">
        <f>_xlfn.XLOOKUP(Orders[[#This Row],[Customer ID]],customers!$A$1:$A$1001,customers!$I$1:$I$1001,,0)</f>
        <v/>
      </c>
    </row>
    <row r="789">
      <c r="A789" s="2" t="inlineStr">
        <is>
          <t>O5169</t>
        </is>
      </c>
      <c r="B789" s="3" t="inlineStr">
        <is>
          <t>2023-04-20</t>
        </is>
      </c>
      <c r="C789" s="2" t="inlineStr">
        <is>
          <t>O3986</t>
        </is>
      </c>
      <c r="D789" t="inlineStr">
        <is>
          <t>O5082</t>
        </is>
      </c>
      <c r="E789" s="2" t="n">
        <v>299</v>
      </c>
      <c r="F789" s="2">
        <f>_xlfn.XLOOKUP(C789,customers!$A$1:$A$1001,customers!$B$1:$B$1001,,0)</f>
        <v/>
      </c>
      <c r="G789" s="2">
        <f>IF(_xlfn.XLOOKUP(C789,customers!$A$1:$A$1001,customers!$C$1:$C$1001,,0)=0,"",_xlfn.XLOOKUP(C789,customers!$A$1:$A$1001,customers!$C$1:$C$1001,,0))</f>
        <v/>
      </c>
      <c r="H789" s="2">
        <f>_xlfn.XLOOKUP(C789,customers!$A$1:$A$1001,customers!$G$1:$G$1001,,0)</f>
        <v/>
      </c>
      <c r="I789">
        <f>INDEX(products!$A$1:$G$49,MATCH(orders!$D789,products!$A$1:$A$49,0),MATCH(orders!I$1,products!$A$1:$G$1,0))</f>
        <v/>
      </c>
      <c r="J789">
        <f>INDEX(products!$A$1:$G$49,MATCH(orders!$D789,products!$A$1:$A$49,0),MATCH(orders!J$1,products!$A$1:$G$1,0))</f>
        <v/>
      </c>
      <c r="K789" s="4">
        <f>INDEX(products!$A$1:$G$49,MATCH(orders!$D789,products!$A$1:$A$49,0),MATCH(orders!K$1,products!$A$1:$G$1,0))</f>
        <v/>
      </c>
      <c r="L789" s="5">
        <f>INDEX(products!$A$1:$G$49,MATCH(orders!$D789,products!$A$1:$A$49,0),MATCH(orders!L$1,products!$A$1:$G$1,0))</f>
        <v/>
      </c>
      <c r="M789" s="5">
        <f>L789*E789</f>
        <v/>
      </c>
      <c r="N789">
        <f>IF(I789="Rob","Robusta",IF(I789="Exc","Excelsa",IF(I789="Ara","Arabica",IF(I789="Lib","Liberica",""))))</f>
        <v/>
      </c>
      <c r="O789">
        <f>IF(J789="M","Medium",IF(J789="L","Light",IF(J789="D","Dark","")))</f>
        <v/>
      </c>
      <c r="P789">
        <f>_xlfn.XLOOKUP(Orders[[#This Row],[Customer ID]],customers!$A$1:$A$1001,customers!$I$1:$I$1001,,0)</f>
        <v/>
      </c>
    </row>
    <row r="790">
      <c r="A790" s="2" t="inlineStr">
        <is>
          <t>O9145</t>
        </is>
      </c>
      <c r="B790" s="3" t="inlineStr">
        <is>
          <t>2021-12-19</t>
        </is>
      </c>
      <c r="C790" s="2" t="inlineStr">
        <is>
          <t>O6604</t>
        </is>
      </c>
      <c r="D790" t="inlineStr">
        <is>
          <t>O9618</t>
        </is>
      </c>
      <c r="E790" s="2" t="n">
        <v>371</v>
      </c>
      <c r="F790" s="2">
        <f>_xlfn.XLOOKUP(C790,customers!$A$1:$A$1001,customers!$B$1:$B$1001,,0)</f>
        <v/>
      </c>
      <c r="G790" s="2">
        <f>IF(_xlfn.XLOOKUP(C790,customers!$A$1:$A$1001,customers!$C$1:$C$1001,,0)=0,"",_xlfn.XLOOKUP(C790,customers!$A$1:$A$1001,customers!$C$1:$C$1001,,0))</f>
        <v/>
      </c>
      <c r="H790" s="2">
        <f>_xlfn.XLOOKUP(C790,customers!$A$1:$A$1001,customers!$G$1:$G$1001,,0)</f>
        <v/>
      </c>
      <c r="I790">
        <f>INDEX(products!$A$1:$G$49,MATCH(orders!$D790,products!$A$1:$A$49,0),MATCH(orders!I$1,products!$A$1:$G$1,0))</f>
        <v/>
      </c>
      <c r="J790">
        <f>INDEX(products!$A$1:$G$49,MATCH(orders!$D790,products!$A$1:$A$49,0),MATCH(orders!J$1,products!$A$1:$G$1,0))</f>
        <v/>
      </c>
      <c r="K790" s="4">
        <f>INDEX(products!$A$1:$G$49,MATCH(orders!$D790,products!$A$1:$A$49,0),MATCH(orders!K$1,products!$A$1:$G$1,0))</f>
        <v/>
      </c>
      <c r="L790" s="5">
        <f>INDEX(products!$A$1:$G$49,MATCH(orders!$D790,products!$A$1:$A$49,0),MATCH(orders!L$1,products!$A$1:$G$1,0))</f>
        <v/>
      </c>
      <c r="M790" s="5">
        <f>L790*E790</f>
        <v/>
      </c>
      <c r="N790">
        <f>IF(I790="Rob","Robusta",IF(I790="Exc","Excelsa",IF(I790="Ara","Arabica",IF(I790="Lib","Liberica",""))))</f>
        <v/>
      </c>
      <c r="O790">
        <f>IF(J790="M","Medium",IF(J790="L","Light",IF(J790="D","Dark","")))</f>
        <v/>
      </c>
      <c r="P790">
        <f>_xlfn.XLOOKUP(Orders[[#This Row],[Customer ID]],customers!$A$1:$A$1001,customers!$I$1:$I$1001,,0)</f>
        <v/>
      </c>
    </row>
    <row r="791">
      <c r="A791" s="2" t="inlineStr">
        <is>
          <t>O5036</t>
        </is>
      </c>
      <c r="B791" s="3" t="inlineStr">
        <is>
          <t>2025-06-22</t>
        </is>
      </c>
      <c r="C791" s="2" t="inlineStr">
        <is>
          <t>O4995</t>
        </is>
      </c>
      <c r="D791" t="inlineStr">
        <is>
          <t>O9680</t>
        </is>
      </c>
      <c r="E791" s="2" t="n">
        <v>442</v>
      </c>
      <c r="F791" s="2">
        <f>_xlfn.XLOOKUP(C791,customers!$A$1:$A$1001,customers!$B$1:$B$1001,,0)</f>
        <v/>
      </c>
      <c r="G791" s="2">
        <f>IF(_xlfn.XLOOKUP(C791,customers!$A$1:$A$1001,customers!$C$1:$C$1001,,0)=0,"",_xlfn.XLOOKUP(C791,customers!$A$1:$A$1001,customers!$C$1:$C$1001,,0))</f>
        <v/>
      </c>
      <c r="H791" s="2">
        <f>_xlfn.XLOOKUP(C791,customers!$A$1:$A$1001,customers!$G$1:$G$1001,,0)</f>
        <v/>
      </c>
      <c r="I791">
        <f>INDEX(products!$A$1:$G$49,MATCH(orders!$D791,products!$A$1:$A$49,0),MATCH(orders!I$1,products!$A$1:$G$1,0))</f>
        <v/>
      </c>
      <c r="J791">
        <f>INDEX(products!$A$1:$G$49,MATCH(orders!$D791,products!$A$1:$A$49,0),MATCH(orders!J$1,products!$A$1:$G$1,0))</f>
        <v/>
      </c>
      <c r="K791" s="4">
        <f>INDEX(products!$A$1:$G$49,MATCH(orders!$D791,products!$A$1:$A$49,0),MATCH(orders!K$1,products!$A$1:$G$1,0))</f>
        <v/>
      </c>
      <c r="L791" s="5">
        <f>INDEX(products!$A$1:$G$49,MATCH(orders!$D791,products!$A$1:$A$49,0),MATCH(orders!L$1,products!$A$1:$G$1,0))</f>
        <v/>
      </c>
      <c r="M791" s="5">
        <f>L791*E791</f>
        <v/>
      </c>
      <c r="N791">
        <f>IF(I791="Rob","Robusta",IF(I791="Exc","Excelsa",IF(I791="Ara","Arabica",IF(I791="Lib","Liberica",""))))</f>
        <v/>
      </c>
      <c r="O791">
        <f>IF(J791="M","Medium",IF(J791="L","Light",IF(J791="D","Dark","")))</f>
        <v/>
      </c>
      <c r="P791">
        <f>_xlfn.XLOOKUP(Orders[[#This Row],[Customer ID]],customers!$A$1:$A$1001,customers!$I$1:$I$1001,,0)</f>
        <v/>
      </c>
    </row>
    <row r="792">
      <c r="A792" s="2" t="inlineStr">
        <is>
          <t>O7375</t>
        </is>
      </c>
      <c r="B792" s="3" t="inlineStr">
        <is>
          <t>2022-05-08</t>
        </is>
      </c>
      <c r="C792" s="2" t="inlineStr">
        <is>
          <t>O7997</t>
        </is>
      </c>
      <c r="D792" t="inlineStr">
        <is>
          <t>O2409</t>
        </is>
      </c>
      <c r="E792" s="2" t="n">
        <v>411</v>
      </c>
      <c r="F792" s="2">
        <f>_xlfn.XLOOKUP(C792,customers!$A$1:$A$1001,customers!$B$1:$B$1001,,0)</f>
        <v/>
      </c>
      <c r="G792" s="2">
        <f>IF(_xlfn.XLOOKUP(C792,customers!$A$1:$A$1001,customers!$C$1:$C$1001,,0)=0,"",_xlfn.XLOOKUP(C792,customers!$A$1:$A$1001,customers!$C$1:$C$1001,,0))</f>
        <v/>
      </c>
      <c r="H792" s="2">
        <f>_xlfn.XLOOKUP(C792,customers!$A$1:$A$1001,customers!$G$1:$G$1001,,0)</f>
        <v/>
      </c>
      <c r="I792">
        <f>INDEX(products!$A$1:$G$49,MATCH(orders!$D792,products!$A$1:$A$49,0),MATCH(orders!I$1,products!$A$1:$G$1,0))</f>
        <v/>
      </c>
      <c r="J792">
        <f>INDEX(products!$A$1:$G$49,MATCH(orders!$D792,products!$A$1:$A$49,0),MATCH(orders!J$1,products!$A$1:$G$1,0))</f>
        <v/>
      </c>
      <c r="K792" s="4">
        <f>INDEX(products!$A$1:$G$49,MATCH(orders!$D792,products!$A$1:$A$49,0),MATCH(orders!K$1,products!$A$1:$G$1,0))</f>
        <v/>
      </c>
      <c r="L792" s="5">
        <f>INDEX(products!$A$1:$G$49,MATCH(orders!$D792,products!$A$1:$A$49,0),MATCH(orders!L$1,products!$A$1:$G$1,0))</f>
        <v/>
      </c>
      <c r="M792" s="5">
        <f>L792*E792</f>
        <v/>
      </c>
      <c r="N792">
        <f>IF(I792="Rob","Robusta",IF(I792="Exc","Excelsa",IF(I792="Ara","Arabica",IF(I792="Lib","Liberica",""))))</f>
        <v/>
      </c>
      <c r="O792">
        <f>IF(J792="M","Medium",IF(J792="L","Light",IF(J792="D","Dark","")))</f>
        <v/>
      </c>
      <c r="P792">
        <f>_xlfn.XLOOKUP(Orders[[#This Row],[Customer ID]],customers!$A$1:$A$1001,customers!$I$1:$I$1001,,0)</f>
        <v/>
      </c>
    </row>
    <row r="793">
      <c r="A793" s="2" t="inlineStr">
        <is>
          <t>O3550</t>
        </is>
      </c>
      <c r="B793" s="3" t="inlineStr">
        <is>
          <t>2024-12-10</t>
        </is>
      </c>
      <c r="C793" s="2" t="inlineStr">
        <is>
          <t>O7566</t>
        </is>
      </c>
      <c r="D793" t="inlineStr">
        <is>
          <t>O4675</t>
        </is>
      </c>
      <c r="E793" s="2" t="n">
        <v>81</v>
      </c>
      <c r="F793" s="2">
        <f>_xlfn.XLOOKUP(C793,customers!$A$1:$A$1001,customers!$B$1:$B$1001,,0)</f>
        <v/>
      </c>
      <c r="G793" s="2">
        <f>IF(_xlfn.XLOOKUP(C793,customers!$A$1:$A$1001,customers!$C$1:$C$1001,,0)=0,"",_xlfn.XLOOKUP(C793,customers!$A$1:$A$1001,customers!$C$1:$C$1001,,0))</f>
        <v/>
      </c>
      <c r="H793" s="2">
        <f>_xlfn.XLOOKUP(C793,customers!$A$1:$A$1001,customers!$G$1:$G$1001,,0)</f>
        <v/>
      </c>
      <c r="I793">
        <f>INDEX(products!$A$1:$G$49,MATCH(orders!$D793,products!$A$1:$A$49,0),MATCH(orders!I$1,products!$A$1:$G$1,0))</f>
        <v/>
      </c>
      <c r="J793">
        <f>INDEX(products!$A$1:$G$49,MATCH(orders!$D793,products!$A$1:$A$49,0),MATCH(orders!J$1,products!$A$1:$G$1,0))</f>
        <v/>
      </c>
      <c r="K793" s="4">
        <f>INDEX(products!$A$1:$G$49,MATCH(orders!$D793,products!$A$1:$A$49,0),MATCH(orders!K$1,products!$A$1:$G$1,0))</f>
        <v/>
      </c>
      <c r="L793" s="5">
        <f>INDEX(products!$A$1:$G$49,MATCH(orders!$D793,products!$A$1:$A$49,0),MATCH(orders!L$1,products!$A$1:$G$1,0))</f>
        <v/>
      </c>
      <c r="M793" s="5">
        <f>L793*E793</f>
        <v/>
      </c>
      <c r="N793">
        <f>IF(I793="Rob","Robusta",IF(I793="Exc","Excelsa",IF(I793="Ara","Arabica",IF(I793="Lib","Liberica",""))))</f>
        <v/>
      </c>
      <c r="O793">
        <f>IF(J793="M","Medium",IF(J793="L","Light",IF(J793="D","Dark","")))</f>
        <v/>
      </c>
      <c r="P793">
        <f>_xlfn.XLOOKUP(Orders[[#This Row],[Customer ID]],customers!$A$1:$A$1001,customers!$I$1:$I$1001,,0)</f>
        <v/>
      </c>
    </row>
    <row r="794">
      <c r="A794" s="2" t="inlineStr">
        <is>
          <t>O2258</t>
        </is>
      </c>
      <c r="B794" s="3" t="inlineStr">
        <is>
          <t>2020-03-22</t>
        </is>
      </c>
      <c r="C794" s="2" t="inlineStr">
        <is>
          <t>O9606</t>
        </is>
      </c>
      <c r="D794" t="inlineStr">
        <is>
          <t>O2382</t>
        </is>
      </c>
      <c r="E794" s="2" t="n">
        <v>88</v>
      </c>
      <c r="F794" s="2">
        <f>_xlfn.XLOOKUP(C794,customers!$A$1:$A$1001,customers!$B$1:$B$1001,,0)</f>
        <v/>
      </c>
      <c r="G794" s="2">
        <f>IF(_xlfn.XLOOKUP(C794,customers!$A$1:$A$1001,customers!$C$1:$C$1001,,0)=0,"",_xlfn.XLOOKUP(C794,customers!$A$1:$A$1001,customers!$C$1:$C$1001,,0))</f>
        <v/>
      </c>
      <c r="H794" s="2">
        <f>_xlfn.XLOOKUP(C794,customers!$A$1:$A$1001,customers!$G$1:$G$1001,,0)</f>
        <v/>
      </c>
      <c r="I794">
        <f>INDEX(products!$A$1:$G$49,MATCH(orders!$D794,products!$A$1:$A$49,0),MATCH(orders!I$1,products!$A$1:$G$1,0))</f>
        <v/>
      </c>
      <c r="J794">
        <f>INDEX(products!$A$1:$G$49,MATCH(orders!$D794,products!$A$1:$A$49,0),MATCH(orders!J$1,products!$A$1:$G$1,0))</f>
        <v/>
      </c>
      <c r="K794" s="4">
        <f>INDEX(products!$A$1:$G$49,MATCH(orders!$D794,products!$A$1:$A$49,0),MATCH(orders!K$1,products!$A$1:$G$1,0))</f>
        <v/>
      </c>
      <c r="L794" s="5">
        <f>INDEX(products!$A$1:$G$49,MATCH(orders!$D794,products!$A$1:$A$49,0),MATCH(orders!L$1,products!$A$1:$G$1,0))</f>
        <v/>
      </c>
      <c r="M794" s="5">
        <f>L794*E794</f>
        <v/>
      </c>
      <c r="N794">
        <f>IF(I794="Rob","Robusta",IF(I794="Exc","Excelsa",IF(I794="Ara","Arabica",IF(I794="Lib","Liberica",""))))</f>
        <v/>
      </c>
      <c r="O794">
        <f>IF(J794="M","Medium",IF(J794="L","Light",IF(J794="D","Dark","")))</f>
        <v/>
      </c>
      <c r="P794">
        <f>_xlfn.XLOOKUP(Orders[[#This Row],[Customer ID]],customers!$A$1:$A$1001,customers!$I$1:$I$1001,,0)</f>
        <v/>
      </c>
    </row>
    <row r="795">
      <c r="A795" s="2" t="inlineStr">
        <is>
          <t>O8253</t>
        </is>
      </c>
      <c r="B795" s="3" t="inlineStr">
        <is>
          <t>2020-03-04</t>
        </is>
      </c>
      <c r="C795" s="2" t="inlineStr">
        <is>
          <t>O6825</t>
        </is>
      </c>
      <c r="D795" t="inlineStr">
        <is>
          <t>O9824</t>
        </is>
      </c>
      <c r="E795" s="2" t="n">
        <v>241</v>
      </c>
      <c r="F795" s="2">
        <f>_xlfn.XLOOKUP(C795,customers!$A$1:$A$1001,customers!$B$1:$B$1001,,0)</f>
        <v/>
      </c>
      <c r="G795" s="2">
        <f>IF(_xlfn.XLOOKUP(C795,customers!$A$1:$A$1001,customers!$C$1:$C$1001,,0)=0,"",_xlfn.XLOOKUP(C795,customers!$A$1:$A$1001,customers!$C$1:$C$1001,,0))</f>
        <v/>
      </c>
      <c r="H795" s="2">
        <f>_xlfn.XLOOKUP(C795,customers!$A$1:$A$1001,customers!$G$1:$G$1001,,0)</f>
        <v/>
      </c>
      <c r="I795">
        <f>INDEX(products!$A$1:$G$49,MATCH(orders!$D795,products!$A$1:$A$49,0),MATCH(orders!I$1,products!$A$1:$G$1,0))</f>
        <v/>
      </c>
      <c r="J795">
        <f>INDEX(products!$A$1:$G$49,MATCH(orders!$D795,products!$A$1:$A$49,0),MATCH(orders!J$1,products!$A$1:$G$1,0))</f>
        <v/>
      </c>
      <c r="K795" s="4">
        <f>INDEX(products!$A$1:$G$49,MATCH(orders!$D795,products!$A$1:$A$49,0),MATCH(orders!K$1,products!$A$1:$G$1,0))</f>
        <v/>
      </c>
      <c r="L795" s="5">
        <f>INDEX(products!$A$1:$G$49,MATCH(orders!$D795,products!$A$1:$A$49,0),MATCH(orders!L$1,products!$A$1:$G$1,0))</f>
        <v/>
      </c>
      <c r="M795" s="5">
        <f>L795*E795</f>
        <v/>
      </c>
      <c r="N795">
        <f>IF(I795="Rob","Robusta",IF(I795="Exc","Excelsa",IF(I795="Ara","Arabica",IF(I795="Lib","Liberica",""))))</f>
        <v/>
      </c>
      <c r="O795">
        <f>IF(J795="M","Medium",IF(J795="L","Light",IF(J795="D","Dark","")))</f>
        <v/>
      </c>
      <c r="P795">
        <f>_xlfn.XLOOKUP(Orders[[#This Row],[Customer ID]],customers!$A$1:$A$1001,customers!$I$1:$I$1001,,0)</f>
        <v/>
      </c>
    </row>
    <row r="796">
      <c r="A796" s="2" t="inlineStr">
        <is>
          <t>O1234</t>
        </is>
      </c>
      <c r="B796" s="3" t="inlineStr">
        <is>
          <t>2021-05-14</t>
        </is>
      </c>
      <c r="C796" s="2" t="inlineStr">
        <is>
          <t>O6475</t>
        </is>
      </c>
      <c r="D796" t="inlineStr">
        <is>
          <t>O5561</t>
        </is>
      </c>
      <c r="E796" s="2" t="n">
        <v>192</v>
      </c>
      <c r="F796" s="2">
        <f>_xlfn.XLOOKUP(C796,customers!$A$1:$A$1001,customers!$B$1:$B$1001,,0)</f>
        <v/>
      </c>
      <c r="G796" s="2">
        <f>IF(_xlfn.XLOOKUP(C796,customers!$A$1:$A$1001,customers!$C$1:$C$1001,,0)=0,"",_xlfn.XLOOKUP(C796,customers!$A$1:$A$1001,customers!$C$1:$C$1001,,0))</f>
        <v/>
      </c>
      <c r="H796" s="2">
        <f>_xlfn.XLOOKUP(C796,customers!$A$1:$A$1001,customers!$G$1:$G$1001,,0)</f>
        <v/>
      </c>
      <c r="I796">
        <f>INDEX(products!$A$1:$G$49,MATCH(orders!$D796,products!$A$1:$A$49,0),MATCH(orders!I$1,products!$A$1:$G$1,0))</f>
        <v/>
      </c>
      <c r="J796">
        <f>INDEX(products!$A$1:$G$49,MATCH(orders!$D796,products!$A$1:$A$49,0),MATCH(orders!J$1,products!$A$1:$G$1,0))</f>
        <v/>
      </c>
      <c r="K796" s="4">
        <f>INDEX(products!$A$1:$G$49,MATCH(orders!$D796,products!$A$1:$A$49,0),MATCH(orders!K$1,products!$A$1:$G$1,0))</f>
        <v/>
      </c>
      <c r="L796" s="5">
        <f>INDEX(products!$A$1:$G$49,MATCH(orders!$D796,products!$A$1:$A$49,0),MATCH(orders!L$1,products!$A$1:$G$1,0))</f>
        <v/>
      </c>
      <c r="M796" s="5">
        <f>L796*E796</f>
        <v/>
      </c>
      <c r="N796">
        <f>IF(I796="Rob","Robusta",IF(I796="Exc","Excelsa",IF(I796="Ara","Arabica",IF(I796="Lib","Liberica",""))))</f>
        <v/>
      </c>
      <c r="O796">
        <f>IF(J796="M","Medium",IF(J796="L","Light",IF(J796="D","Dark","")))</f>
        <v/>
      </c>
      <c r="P796">
        <f>_xlfn.XLOOKUP(Orders[[#This Row],[Customer ID]],customers!$A$1:$A$1001,customers!$I$1:$I$1001,,0)</f>
        <v/>
      </c>
    </row>
    <row r="797">
      <c r="A797" s="2" t="inlineStr">
        <is>
          <t>O4384</t>
        </is>
      </c>
      <c r="B797" s="3" t="inlineStr">
        <is>
          <t>2021-12-18</t>
        </is>
      </c>
      <c r="C797" s="2" t="inlineStr">
        <is>
          <t>O8403</t>
        </is>
      </c>
      <c r="D797" t="inlineStr">
        <is>
          <t>O9530</t>
        </is>
      </c>
      <c r="E797" s="2" t="n">
        <v>333</v>
      </c>
      <c r="F797" s="2">
        <f>_xlfn.XLOOKUP(C797,customers!$A$1:$A$1001,customers!$B$1:$B$1001,,0)</f>
        <v/>
      </c>
      <c r="G797" s="2">
        <f>IF(_xlfn.XLOOKUP(C797,customers!$A$1:$A$1001,customers!$C$1:$C$1001,,0)=0,"",_xlfn.XLOOKUP(C797,customers!$A$1:$A$1001,customers!$C$1:$C$1001,,0))</f>
        <v/>
      </c>
      <c r="H797" s="2">
        <f>_xlfn.XLOOKUP(C797,customers!$A$1:$A$1001,customers!$G$1:$G$1001,,0)</f>
        <v/>
      </c>
      <c r="I797">
        <f>INDEX(products!$A$1:$G$49,MATCH(orders!$D797,products!$A$1:$A$49,0),MATCH(orders!I$1,products!$A$1:$G$1,0))</f>
        <v/>
      </c>
      <c r="J797">
        <f>INDEX(products!$A$1:$G$49,MATCH(orders!$D797,products!$A$1:$A$49,0),MATCH(orders!J$1,products!$A$1:$G$1,0))</f>
        <v/>
      </c>
      <c r="K797" s="4">
        <f>INDEX(products!$A$1:$G$49,MATCH(orders!$D797,products!$A$1:$A$49,0),MATCH(orders!K$1,products!$A$1:$G$1,0))</f>
        <v/>
      </c>
      <c r="L797" s="5">
        <f>INDEX(products!$A$1:$G$49,MATCH(orders!$D797,products!$A$1:$A$49,0),MATCH(orders!L$1,products!$A$1:$G$1,0))</f>
        <v/>
      </c>
      <c r="M797" s="5">
        <f>L797*E797</f>
        <v/>
      </c>
      <c r="N797">
        <f>IF(I797="Rob","Robusta",IF(I797="Exc","Excelsa",IF(I797="Ara","Arabica",IF(I797="Lib","Liberica",""))))</f>
        <v/>
      </c>
      <c r="O797">
        <f>IF(J797="M","Medium",IF(J797="L","Light",IF(J797="D","Dark","")))</f>
        <v/>
      </c>
      <c r="P797">
        <f>_xlfn.XLOOKUP(Orders[[#This Row],[Customer ID]],customers!$A$1:$A$1001,customers!$I$1:$I$1001,,0)</f>
        <v/>
      </c>
    </row>
    <row r="798">
      <c r="A798" s="2" t="inlineStr">
        <is>
          <t>O8290</t>
        </is>
      </c>
      <c r="B798" s="3" t="inlineStr">
        <is>
          <t>2021-05-17</t>
        </is>
      </c>
      <c r="C798" s="2" t="inlineStr">
        <is>
          <t>O2753</t>
        </is>
      </c>
      <c r="D798" t="inlineStr">
        <is>
          <t>O5219</t>
        </is>
      </c>
      <c r="E798" s="2" t="n">
        <v>179</v>
      </c>
      <c r="F798" s="2">
        <f>_xlfn.XLOOKUP(C798,customers!$A$1:$A$1001,customers!$B$1:$B$1001,,0)</f>
        <v/>
      </c>
      <c r="G798" s="2">
        <f>IF(_xlfn.XLOOKUP(C798,customers!$A$1:$A$1001,customers!$C$1:$C$1001,,0)=0,"",_xlfn.XLOOKUP(C798,customers!$A$1:$A$1001,customers!$C$1:$C$1001,,0))</f>
        <v/>
      </c>
      <c r="H798" s="2">
        <f>_xlfn.XLOOKUP(C798,customers!$A$1:$A$1001,customers!$G$1:$G$1001,,0)</f>
        <v/>
      </c>
      <c r="I798">
        <f>INDEX(products!$A$1:$G$49,MATCH(orders!$D798,products!$A$1:$A$49,0),MATCH(orders!I$1,products!$A$1:$G$1,0))</f>
        <v/>
      </c>
      <c r="J798">
        <f>INDEX(products!$A$1:$G$49,MATCH(orders!$D798,products!$A$1:$A$49,0),MATCH(orders!J$1,products!$A$1:$G$1,0))</f>
        <v/>
      </c>
      <c r="K798" s="4">
        <f>INDEX(products!$A$1:$G$49,MATCH(orders!$D798,products!$A$1:$A$49,0),MATCH(orders!K$1,products!$A$1:$G$1,0))</f>
        <v/>
      </c>
      <c r="L798" s="5">
        <f>INDEX(products!$A$1:$G$49,MATCH(orders!$D798,products!$A$1:$A$49,0),MATCH(orders!L$1,products!$A$1:$G$1,0))</f>
        <v/>
      </c>
      <c r="M798" s="5">
        <f>L798*E798</f>
        <v/>
      </c>
      <c r="N798">
        <f>IF(I798="Rob","Robusta",IF(I798="Exc","Excelsa",IF(I798="Ara","Arabica",IF(I798="Lib","Liberica",""))))</f>
        <v/>
      </c>
      <c r="O798">
        <f>IF(J798="M","Medium",IF(J798="L","Light",IF(J798="D","Dark","")))</f>
        <v/>
      </c>
      <c r="P798">
        <f>_xlfn.XLOOKUP(Orders[[#This Row],[Customer ID]],customers!$A$1:$A$1001,customers!$I$1:$I$1001,,0)</f>
        <v/>
      </c>
    </row>
    <row r="799">
      <c r="A799" s="2" t="inlineStr">
        <is>
          <t>O3373</t>
        </is>
      </c>
      <c r="B799" s="3" t="inlineStr">
        <is>
          <t>2024-10-27</t>
        </is>
      </c>
      <c r="C799" s="2" t="inlineStr">
        <is>
          <t>O3892</t>
        </is>
      </c>
      <c r="D799" t="inlineStr">
        <is>
          <t>O5469</t>
        </is>
      </c>
      <c r="E799" s="2" t="n">
        <v>349</v>
      </c>
      <c r="F799" s="2">
        <f>_xlfn.XLOOKUP(C799,customers!$A$1:$A$1001,customers!$B$1:$B$1001,,0)</f>
        <v/>
      </c>
      <c r="G799" s="2">
        <f>IF(_xlfn.XLOOKUP(C799,customers!$A$1:$A$1001,customers!$C$1:$C$1001,,0)=0,"",_xlfn.XLOOKUP(C799,customers!$A$1:$A$1001,customers!$C$1:$C$1001,,0))</f>
        <v/>
      </c>
      <c r="H799" s="2">
        <f>_xlfn.XLOOKUP(C799,customers!$A$1:$A$1001,customers!$G$1:$G$1001,,0)</f>
        <v/>
      </c>
      <c r="I799">
        <f>INDEX(products!$A$1:$G$49,MATCH(orders!$D799,products!$A$1:$A$49,0),MATCH(orders!I$1,products!$A$1:$G$1,0))</f>
        <v/>
      </c>
      <c r="J799">
        <f>INDEX(products!$A$1:$G$49,MATCH(orders!$D799,products!$A$1:$A$49,0),MATCH(orders!J$1,products!$A$1:$G$1,0))</f>
        <v/>
      </c>
      <c r="K799" s="4">
        <f>INDEX(products!$A$1:$G$49,MATCH(orders!$D799,products!$A$1:$A$49,0),MATCH(orders!K$1,products!$A$1:$G$1,0))</f>
        <v/>
      </c>
      <c r="L799" s="5">
        <f>INDEX(products!$A$1:$G$49,MATCH(orders!$D799,products!$A$1:$A$49,0),MATCH(orders!L$1,products!$A$1:$G$1,0))</f>
        <v/>
      </c>
      <c r="M799" s="5">
        <f>L799*E799</f>
        <v/>
      </c>
      <c r="N799">
        <f>IF(I799="Rob","Robusta",IF(I799="Exc","Excelsa",IF(I799="Ara","Arabica",IF(I799="Lib","Liberica",""))))</f>
        <v/>
      </c>
      <c r="O799">
        <f>IF(J799="M","Medium",IF(J799="L","Light",IF(J799="D","Dark","")))</f>
        <v/>
      </c>
      <c r="P799">
        <f>_xlfn.XLOOKUP(Orders[[#This Row],[Customer ID]],customers!$A$1:$A$1001,customers!$I$1:$I$1001,,0)</f>
        <v/>
      </c>
    </row>
    <row r="800">
      <c r="A800" s="2" t="inlineStr">
        <is>
          <t>O4633</t>
        </is>
      </c>
      <c r="B800" s="3" t="inlineStr">
        <is>
          <t>2025-05-16</t>
        </is>
      </c>
      <c r="C800" s="2" t="inlineStr">
        <is>
          <t>O9648</t>
        </is>
      </c>
      <c r="D800" t="inlineStr">
        <is>
          <t>O4193</t>
        </is>
      </c>
      <c r="E800" s="2" t="n">
        <v>317</v>
      </c>
      <c r="F800" s="2">
        <f>_xlfn.XLOOKUP(C800,customers!$A$1:$A$1001,customers!$B$1:$B$1001,,0)</f>
        <v/>
      </c>
      <c r="G800" s="2">
        <f>IF(_xlfn.XLOOKUP(C800,customers!$A$1:$A$1001,customers!$C$1:$C$1001,,0)=0,"",_xlfn.XLOOKUP(C800,customers!$A$1:$A$1001,customers!$C$1:$C$1001,,0))</f>
        <v/>
      </c>
      <c r="H800" s="2">
        <f>_xlfn.XLOOKUP(C800,customers!$A$1:$A$1001,customers!$G$1:$G$1001,,0)</f>
        <v/>
      </c>
      <c r="I800">
        <f>INDEX(products!$A$1:$G$49,MATCH(orders!$D800,products!$A$1:$A$49,0),MATCH(orders!I$1,products!$A$1:$G$1,0))</f>
        <v/>
      </c>
      <c r="J800">
        <f>INDEX(products!$A$1:$G$49,MATCH(orders!$D800,products!$A$1:$A$49,0),MATCH(orders!J$1,products!$A$1:$G$1,0))</f>
        <v/>
      </c>
      <c r="K800" s="4">
        <f>INDEX(products!$A$1:$G$49,MATCH(orders!$D800,products!$A$1:$A$49,0),MATCH(orders!K$1,products!$A$1:$G$1,0))</f>
        <v/>
      </c>
      <c r="L800" s="5">
        <f>INDEX(products!$A$1:$G$49,MATCH(orders!$D800,products!$A$1:$A$49,0),MATCH(orders!L$1,products!$A$1:$G$1,0))</f>
        <v/>
      </c>
      <c r="M800" s="5">
        <f>L800*E800</f>
        <v/>
      </c>
      <c r="N800">
        <f>IF(I800="Rob","Robusta",IF(I800="Exc","Excelsa",IF(I800="Ara","Arabica",IF(I800="Lib","Liberica",""))))</f>
        <v/>
      </c>
      <c r="O800">
        <f>IF(J800="M","Medium",IF(J800="L","Light",IF(J800="D","Dark","")))</f>
        <v/>
      </c>
      <c r="P800">
        <f>_xlfn.XLOOKUP(Orders[[#This Row],[Customer ID]],customers!$A$1:$A$1001,customers!$I$1:$I$1001,,0)</f>
        <v/>
      </c>
    </row>
    <row r="801">
      <c r="A801" s="2" t="inlineStr">
        <is>
          <t>O4023</t>
        </is>
      </c>
      <c r="B801" s="3" t="inlineStr">
        <is>
          <t>2022-02-22</t>
        </is>
      </c>
      <c r="C801" s="2" t="inlineStr">
        <is>
          <t>O1316</t>
        </is>
      </c>
      <c r="D801" t="inlineStr">
        <is>
          <t>O1447</t>
        </is>
      </c>
      <c r="E801" s="2" t="n">
        <v>113</v>
      </c>
      <c r="F801" s="2">
        <f>_xlfn.XLOOKUP(C801,customers!$A$1:$A$1001,customers!$B$1:$B$1001,,0)</f>
        <v/>
      </c>
      <c r="G801" s="2">
        <f>IF(_xlfn.XLOOKUP(C801,customers!$A$1:$A$1001,customers!$C$1:$C$1001,,0)=0,"",_xlfn.XLOOKUP(C801,customers!$A$1:$A$1001,customers!$C$1:$C$1001,,0))</f>
        <v/>
      </c>
      <c r="H801" s="2">
        <f>_xlfn.XLOOKUP(C801,customers!$A$1:$A$1001,customers!$G$1:$G$1001,,0)</f>
        <v/>
      </c>
      <c r="I801">
        <f>INDEX(products!$A$1:$G$49,MATCH(orders!$D801,products!$A$1:$A$49,0),MATCH(orders!I$1,products!$A$1:$G$1,0))</f>
        <v/>
      </c>
      <c r="J801">
        <f>INDEX(products!$A$1:$G$49,MATCH(orders!$D801,products!$A$1:$A$49,0),MATCH(orders!J$1,products!$A$1:$G$1,0))</f>
        <v/>
      </c>
      <c r="K801" s="4">
        <f>INDEX(products!$A$1:$G$49,MATCH(orders!$D801,products!$A$1:$A$49,0),MATCH(orders!K$1,products!$A$1:$G$1,0))</f>
        <v/>
      </c>
      <c r="L801" s="5">
        <f>INDEX(products!$A$1:$G$49,MATCH(orders!$D801,products!$A$1:$A$49,0),MATCH(orders!L$1,products!$A$1:$G$1,0))</f>
        <v/>
      </c>
      <c r="M801" s="5">
        <f>L801*E801</f>
        <v/>
      </c>
      <c r="N801">
        <f>IF(I801="Rob","Robusta",IF(I801="Exc","Excelsa",IF(I801="Ara","Arabica",IF(I801="Lib","Liberica",""))))</f>
        <v/>
      </c>
      <c r="O801">
        <f>IF(J801="M","Medium",IF(J801="L","Light",IF(J801="D","Dark","")))</f>
        <v/>
      </c>
      <c r="P801">
        <f>_xlfn.XLOOKUP(Orders[[#This Row],[Customer ID]],customers!$A$1:$A$1001,customers!$I$1:$I$1001,,0)</f>
        <v/>
      </c>
    </row>
    <row r="802">
      <c r="A802" s="2" t="inlineStr">
        <is>
          <t>O6168</t>
        </is>
      </c>
      <c r="B802" s="3" t="inlineStr">
        <is>
          <t>2025-05-17</t>
        </is>
      </c>
      <c r="C802" s="2" t="inlineStr">
        <is>
          <t>O3403</t>
        </is>
      </c>
      <c r="D802" t="inlineStr">
        <is>
          <t>O4621</t>
        </is>
      </c>
      <c r="E802" s="2" t="n">
        <v>111</v>
      </c>
      <c r="F802" s="2">
        <f>_xlfn.XLOOKUP(C802,customers!$A$1:$A$1001,customers!$B$1:$B$1001,,0)</f>
        <v/>
      </c>
      <c r="G802" s="2">
        <f>IF(_xlfn.XLOOKUP(C802,customers!$A$1:$A$1001,customers!$C$1:$C$1001,,0)=0,"",_xlfn.XLOOKUP(C802,customers!$A$1:$A$1001,customers!$C$1:$C$1001,,0))</f>
        <v/>
      </c>
      <c r="H802" s="2">
        <f>_xlfn.XLOOKUP(C802,customers!$A$1:$A$1001,customers!$G$1:$G$1001,,0)</f>
        <v/>
      </c>
      <c r="I802">
        <f>INDEX(products!$A$1:$G$49,MATCH(orders!$D802,products!$A$1:$A$49,0),MATCH(orders!I$1,products!$A$1:$G$1,0))</f>
        <v/>
      </c>
      <c r="J802">
        <f>INDEX(products!$A$1:$G$49,MATCH(orders!$D802,products!$A$1:$A$49,0),MATCH(orders!J$1,products!$A$1:$G$1,0))</f>
        <v/>
      </c>
      <c r="K802" s="4">
        <f>INDEX(products!$A$1:$G$49,MATCH(orders!$D802,products!$A$1:$A$49,0),MATCH(orders!K$1,products!$A$1:$G$1,0))</f>
        <v/>
      </c>
      <c r="L802" s="5">
        <f>INDEX(products!$A$1:$G$49,MATCH(orders!$D802,products!$A$1:$A$49,0),MATCH(orders!L$1,products!$A$1:$G$1,0))</f>
        <v/>
      </c>
      <c r="M802" s="5">
        <f>L802*E802</f>
        <v/>
      </c>
      <c r="N802">
        <f>IF(I802="Rob","Robusta",IF(I802="Exc","Excelsa",IF(I802="Ara","Arabica",IF(I802="Lib","Liberica",""))))</f>
        <v/>
      </c>
      <c r="O802">
        <f>IF(J802="M","Medium",IF(J802="L","Light",IF(J802="D","Dark","")))</f>
        <v/>
      </c>
      <c r="P802">
        <f>_xlfn.XLOOKUP(Orders[[#This Row],[Customer ID]],customers!$A$1:$A$1001,customers!$I$1:$I$1001,,0)</f>
        <v/>
      </c>
    </row>
    <row r="803">
      <c r="A803" s="2" t="inlineStr">
        <is>
          <t>O9679</t>
        </is>
      </c>
      <c r="B803" s="3" t="inlineStr">
        <is>
          <t>2020-01-09</t>
        </is>
      </c>
      <c r="C803" s="2" t="inlineStr">
        <is>
          <t>O8940</t>
        </is>
      </c>
      <c r="D803" t="inlineStr">
        <is>
          <t>O4070</t>
        </is>
      </c>
      <c r="E803" s="2" t="n">
        <v>443</v>
      </c>
      <c r="F803" s="2">
        <f>_xlfn.XLOOKUP(C803,customers!$A$1:$A$1001,customers!$B$1:$B$1001,,0)</f>
        <v/>
      </c>
      <c r="G803" s="2">
        <f>IF(_xlfn.XLOOKUP(C803,customers!$A$1:$A$1001,customers!$C$1:$C$1001,,0)=0,"",_xlfn.XLOOKUP(C803,customers!$A$1:$A$1001,customers!$C$1:$C$1001,,0))</f>
        <v/>
      </c>
      <c r="H803" s="2">
        <f>_xlfn.XLOOKUP(C803,customers!$A$1:$A$1001,customers!$G$1:$G$1001,,0)</f>
        <v/>
      </c>
      <c r="I803">
        <f>INDEX(products!$A$1:$G$49,MATCH(orders!$D803,products!$A$1:$A$49,0),MATCH(orders!I$1,products!$A$1:$G$1,0))</f>
        <v/>
      </c>
      <c r="J803">
        <f>INDEX(products!$A$1:$G$49,MATCH(orders!$D803,products!$A$1:$A$49,0),MATCH(orders!J$1,products!$A$1:$G$1,0))</f>
        <v/>
      </c>
      <c r="K803" s="4">
        <f>INDEX(products!$A$1:$G$49,MATCH(orders!$D803,products!$A$1:$A$49,0),MATCH(orders!K$1,products!$A$1:$G$1,0))</f>
        <v/>
      </c>
      <c r="L803" s="5">
        <f>INDEX(products!$A$1:$G$49,MATCH(orders!$D803,products!$A$1:$A$49,0),MATCH(orders!L$1,products!$A$1:$G$1,0))</f>
        <v/>
      </c>
      <c r="M803" s="5">
        <f>L803*E803</f>
        <v/>
      </c>
      <c r="N803">
        <f>IF(I803="Rob","Robusta",IF(I803="Exc","Excelsa",IF(I803="Ara","Arabica",IF(I803="Lib","Liberica",""))))</f>
        <v/>
      </c>
      <c r="O803">
        <f>IF(J803="M","Medium",IF(J803="L","Light",IF(J803="D","Dark","")))</f>
        <v/>
      </c>
      <c r="P803">
        <f>_xlfn.XLOOKUP(Orders[[#This Row],[Customer ID]],customers!$A$1:$A$1001,customers!$I$1:$I$1001,,0)</f>
        <v/>
      </c>
    </row>
    <row r="804">
      <c r="A804" s="2" t="inlineStr">
        <is>
          <t>O3132</t>
        </is>
      </c>
      <c r="B804" s="3" t="inlineStr">
        <is>
          <t>2023-03-10</t>
        </is>
      </c>
      <c r="C804" s="2" t="inlineStr">
        <is>
          <t>O3944</t>
        </is>
      </c>
      <c r="D804" t="inlineStr">
        <is>
          <t>O6497</t>
        </is>
      </c>
      <c r="E804" s="2" t="n">
        <v>230</v>
      </c>
      <c r="F804" s="2">
        <f>_xlfn.XLOOKUP(C804,customers!$A$1:$A$1001,customers!$B$1:$B$1001,,0)</f>
        <v/>
      </c>
      <c r="G804" s="2">
        <f>IF(_xlfn.XLOOKUP(C804,customers!$A$1:$A$1001,customers!$C$1:$C$1001,,0)=0,"",_xlfn.XLOOKUP(C804,customers!$A$1:$A$1001,customers!$C$1:$C$1001,,0))</f>
        <v/>
      </c>
      <c r="H804" s="2">
        <f>_xlfn.XLOOKUP(C804,customers!$A$1:$A$1001,customers!$G$1:$G$1001,,0)</f>
        <v/>
      </c>
      <c r="I804">
        <f>INDEX(products!$A$1:$G$49,MATCH(orders!$D804,products!$A$1:$A$49,0),MATCH(orders!I$1,products!$A$1:$G$1,0))</f>
        <v/>
      </c>
      <c r="J804">
        <f>INDEX(products!$A$1:$G$49,MATCH(orders!$D804,products!$A$1:$A$49,0),MATCH(orders!J$1,products!$A$1:$G$1,0))</f>
        <v/>
      </c>
      <c r="K804" s="4">
        <f>INDEX(products!$A$1:$G$49,MATCH(orders!$D804,products!$A$1:$A$49,0),MATCH(orders!K$1,products!$A$1:$G$1,0))</f>
        <v/>
      </c>
      <c r="L804" s="5">
        <f>INDEX(products!$A$1:$G$49,MATCH(orders!$D804,products!$A$1:$A$49,0),MATCH(orders!L$1,products!$A$1:$G$1,0))</f>
        <v/>
      </c>
      <c r="M804" s="5">
        <f>L804*E804</f>
        <v/>
      </c>
      <c r="N804">
        <f>IF(I804="Rob","Robusta",IF(I804="Exc","Excelsa",IF(I804="Ara","Arabica",IF(I804="Lib","Liberica",""))))</f>
        <v/>
      </c>
      <c r="O804">
        <f>IF(J804="M","Medium",IF(J804="L","Light",IF(J804="D","Dark","")))</f>
        <v/>
      </c>
      <c r="P804">
        <f>_xlfn.XLOOKUP(Orders[[#This Row],[Customer ID]],customers!$A$1:$A$1001,customers!$I$1:$I$1001,,0)</f>
        <v/>
      </c>
    </row>
    <row r="805">
      <c r="A805" s="2" t="inlineStr">
        <is>
          <t>O8889</t>
        </is>
      </c>
      <c r="B805" s="3" t="inlineStr">
        <is>
          <t>2025-04-21</t>
        </is>
      </c>
      <c r="C805" s="2" t="inlineStr">
        <is>
          <t>O9807</t>
        </is>
      </c>
      <c r="D805" t="inlineStr">
        <is>
          <t>O6115</t>
        </is>
      </c>
      <c r="E805" s="2" t="n">
        <v>210</v>
      </c>
      <c r="F805" s="2">
        <f>_xlfn.XLOOKUP(C805,customers!$A$1:$A$1001,customers!$B$1:$B$1001,,0)</f>
        <v/>
      </c>
      <c r="G805" s="2">
        <f>IF(_xlfn.XLOOKUP(C805,customers!$A$1:$A$1001,customers!$C$1:$C$1001,,0)=0,"",_xlfn.XLOOKUP(C805,customers!$A$1:$A$1001,customers!$C$1:$C$1001,,0))</f>
        <v/>
      </c>
      <c r="H805" s="2">
        <f>_xlfn.XLOOKUP(C805,customers!$A$1:$A$1001,customers!$G$1:$G$1001,,0)</f>
        <v/>
      </c>
      <c r="I805">
        <f>INDEX(products!$A$1:$G$49,MATCH(orders!$D805,products!$A$1:$A$49,0),MATCH(orders!I$1,products!$A$1:$G$1,0))</f>
        <v/>
      </c>
      <c r="J805">
        <f>INDEX(products!$A$1:$G$49,MATCH(orders!$D805,products!$A$1:$A$49,0),MATCH(orders!J$1,products!$A$1:$G$1,0))</f>
        <v/>
      </c>
      <c r="K805" s="4">
        <f>INDEX(products!$A$1:$G$49,MATCH(orders!$D805,products!$A$1:$A$49,0),MATCH(orders!K$1,products!$A$1:$G$1,0))</f>
        <v/>
      </c>
      <c r="L805" s="5">
        <f>INDEX(products!$A$1:$G$49,MATCH(orders!$D805,products!$A$1:$A$49,0),MATCH(orders!L$1,products!$A$1:$G$1,0))</f>
        <v/>
      </c>
      <c r="M805" s="5">
        <f>L805*E805</f>
        <v/>
      </c>
      <c r="N805">
        <f>IF(I805="Rob","Robusta",IF(I805="Exc","Excelsa",IF(I805="Ara","Arabica",IF(I805="Lib","Liberica",""))))</f>
        <v/>
      </c>
      <c r="O805">
        <f>IF(J805="M","Medium",IF(J805="L","Light",IF(J805="D","Dark","")))</f>
        <v/>
      </c>
      <c r="P805">
        <f>_xlfn.XLOOKUP(Orders[[#This Row],[Customer ID]],customers!$A$1:$A$1001,customers!$I$1:$I$1001,,0)</f>
        <v/>
      </c>
    </row>
    <row r="806">
      <c r="A806" s="2" t="inlineStr">
        <is>
          <t>O6452</t>
        </is>
      </c>
      <c r="B806" s="3" t="inlineStr">
        <is>
          <t>2021-12-13</t>
        </is>
      </c>
      <c r="C806" s="2" t="inlineStr">
        <is>
          <t>O6124</t>
        </is>
      </c>
      <c r="D806" t="inlineStr">
        <is>
          <t>O6819</t>
        </is>
      </c>
      <c r="E806" s="2" t="n">
        <v>240</v>
      </c>
      <c r="F806" s="2">
        <f>_xlfn.XLOOKUP(C806,customers!$A$1:$A$1001,customers!$B$1:$B$1001,,0)</f>
        <v/>
      </c>
      <c r="G806" s="2">
        <f>IF(_xlfn.XLOOKUP(C806,customers!$A$1:$A$1001,customers!$C$1:$C$1001,,0)=0,"",_xlfn.XLOOKUP(C806,customers!$A$1:$A$1001,customers!$C$1:$C$1001,,0))</f>
        <v/>
      </c>
      <c r="H806" s="2">
        <f>_xlfn.XLOOKUP(C806,customers!$A$1:$A$1001,customers!$G$1:$G$1001,,0)</f>
        <v/>
      </c>
      <c r="I806">
        <f>INDEX(products!$A$1:$G$49,MATCH(orders!$D806,products!$A$1:$A$49,0),MATCH(orders!I$1,products!$A$1:$G$1,0))</f>
        <v/>
      </c>
      <c r="J806">
        <f>INDEX(products!$A$1:$G$49,MATCH(orders!$D806,products!$A$1:$A$49,0),MATCH(orders!J$1,products!$A$1:$G$1,0))</f>
        <v/>
      </c>
      <c r="K806" s="4">
        <f>INDEX(products!$A$1:$G$49,MATCH(orders!$D806,products!$A$1:$A$49,0),MATCH(orders!K$1,products!$A$1:$G$1,0))</f>
        <v/>
      </c>
      <c r="L806" s="5">
        <f>INDEX(products!$A$1:$G$49,MATCH(orders!$D806,products!$A$1:$A$49,0),MATCH(orders!L$1,products!$A$1:$G$1,0))</f>
        <v/>
      </c>
      <c r="M806" s="5">
        <f>L806*E806</f>
        <v/>
      </c>
      <c r="N806">
        <f>IF(I806="Rob","Robusta",IF(I806="Exc","Excelsa",IF(I806="Ara","Arabica",IF(I806="Lib","Liberica",""))))</f>
        <v/>
      </c>
      <c r="O806">
        <f>IF(J806="M","Medium",IF(J806="L","Light",IF(J806="D","Dark","")))</f>
        <v/>
      </c>
      <c r="P806">
        <f>_xlfn.XLOOKUP(Orders[[#This Row],[Customer ID]],customers!$A$1:$A$1001,customers!$I$1:$I$1001,,0)</f>
        <v/>
      </c>
    </row>
    <row r="807">
      <c r="A807" s="2" t="inlineStr">
        <is>
          <t>O3952</t>
        </is>
      </c>
      <c r="B807" s="3" t="inlineStr">
        <is>
          <t>2023-12-19</t>
        </is>
      </c>
      <c r="C807" s="2" t="inlineStr">
        <is>
          <t>O4200</t>
        </is>
      </c>
      <c r="D807" t="inlineStr">
        <is>
          <t>O4137</t>
        </is>
      </c>
      <c r="E807" s="2" t="n">
        <v>238</v>
      </c>
      <c r="F807" s="2">
        <f>_xlfn.XLOOKUP(C807,customers!$A$1:$A$1001,customers!$B$1:$B$1001,,0)</f>
        <v/>
      </c>
      <c r="G807" s="2">
        <f>IF(_xlfn.XLOOKUP(C807,customers!$A$1:$A$1001,customers!$C$1:$C$1001,,0)=0,"",_xlfn.XLOOKUP(C807,customers!$A$1:$A$1001,customers!$C$1:$C$1001,,0))</f>
        <v/>
      </c>
      <c r="H807" s="2">
        <f>_xlfn.XLOOKUP(C807,customers!$A$1:$A$1001,customers!$G$1:$G$1001,,0)</f>
        <v/>
      </c>
      <c r="I807">
        <f>INDEX(products!$A$1:$G$49,MATCH(orders!$D807,products!$A$1:$A$49,0),MATCH(orders!I$1,products!$A$1:$G$1,0))</f>
        <v/>
      </c>
      <c r="J807">
        <f>INDEX(products!$A$1:$G$49,MATCH(orders!$D807,products!$A$1:$A$49,0),MATCH(orders!J$1,products!$A$1:$G$1,0))</f>
        <v/>
      </c>
      <c r="K807" s="4">
        <f>INDEX(products!$A$1:$G$49,MATCH(orders!$D807,products!$A$1:$A$49,0),MATCH(orders!K$1,products!$A$1:$G$1,0))</f>
        <v/>
      </c>
      <c r="L807" s="5">
        <f>INDEX(products!$A$1:$G$49,MATCH(orders!$D807,products!$A$1:$A$49,0),MATCH(orders!L$1,products!$A$1:$G$1,0))</f>
        <v/>
      </c>
      <c r="M807" s="5">
        <f>L807*E807</f>
        <v/>
      </c>
      <c r="N807">
        <f>IF(I807="Rob","Robusta",IF(I807="Exc","Excelsa",IF(I807="Ara","Arabica",IF(I807="Lib","Liberica",""))))</f>
        <v/>
      </c>
      <c r="O807">
        <f>IF(J807="M","Medium",IF(J807="L","Light",IF(J807="D","Dark","")))</f>
        <v/>
      </c>
      <c r="P807">
        <f>_xlfn.XLOOKUP(Orders[[#This Row],[Customer ID]],customers!$A$1:$A$1001,customers!$I$1:$I$1001,,0)</f>
        <v/>
      </c>
    </row>
    <row r="808">
      <c r="A808" s="2" t="inlineStr">
        <is>
          <t>O7004</t>
        </is>
      </c>
      <c r="B808" s="3" t="inlineStr">
        <is>
          <t>2022-05-16</t>
        </is>
      </c>
      <c r="C808" s="2" t="inlineStr">
        <is>
          <t>O7432</t>
        </is>
      </c>
      <c r="D808" t="inlineStr">
        <is>
          <t>O7495</t>
        </is>
      </c>
      <c r="E808" s="2" t="n">
        <v>50</v>
      </c>
      <c r="F808" s="2">
        <f>_xlfn.XLOOKUP(C808,customers!$A$1:$A$1001,customers!$B$1:$B$1001,,0)</f>
        <v/>
      </c>
      <c r="G808" s="2">
        <f>IF(_xlfn.XLOOKUP(C808,customers!$A$1:$A$1001,customers!$C$1:$C$1001,,0)=0,"",_xlfn.XLOOKUP(C808,customers!$A$1:$A$1001,customers!$C$1:$C$1001,,0))</f>
        <v/>
      </c>
      <c r="H808" s="2">
        <f>_xlfn.XLOOKUP(C808,customers!$A$1:$A$1001,customers!$G$1:$G$1001,,0)</f>
        <v/>
      </c>
      <c r="I808">
        <f>INDEX(products!$A$1:$G$49,MATCH(orders!$D808,products!$A$1:$A$49,0),MATCH(orders!I$1,products!$A$1:$G$1,0))</f>
        <v/>
      </c>
      <c r="J808">
        <f>INDEX(products!$A$1:$G$49,MATCH(orders!$D808,products!$A$1:$A$49,0),MATCH(orders!J$1,products!$A$1:$G$1,0))</f>
        <v/>
      </c>
      <c r="K808" s="4">
        <f>INDEX(products!$A$1:$G$49,MATCH(orders!$D808,products!$A$1:$A$49,0),MATCH(orders!K$1,products!$A$1:$G$1,0))</f>
        <v/>
      </c>
      <c r="L808" s="5">
        <f>INDEX(products!$A$1:$G$49,MATCH(orders!$D808,products!$A$1:$A$49,0),MATCH(orders!L$1,products!$A$1:$G$1,0))</f>
        <v/>
      </c>
      <c r="M808" s="5">
        <f>L808*E808</f>
        <v/>
      </c>
      <c r="N808">
        <f>IF(I808="Rob","Robusta",IF(I808="Exc","Excelsa",IF(I808="Ara","Arabica",IF(I808="Lib","Liberica",""))))</f>
        <v/>
      </c>
      <c r="O808">
        <f>IF(J808="M","Medium",IF(J808="L","Light",IF(J808="D","Dark","")))</f>
        <v/>
      </c>
      <c r="P808">
        <f>_xlfn.XLOOKUP(Orders[[#This Row],[Customer ID]],customers!$A$1:$A$1001,customers!$I$1:$I$1001,,0)</f>
        <v/>
      </c>
    </row>
    <row r="809">
      <c r="A809" s="2" t="inlineStr">
        <is>
          <t>O3463</t>
        </is>
      </c>
      <c r="B809" s="3" t="inlineStr">
        <is>
          <t>2020-10-12</t>
        </is>
      </c>
      <c r="C809" s="2" t="inlineStr">
        <is>
          <t>O1694</t>
        </is>
      </c>
      <c r="D809" t="inlineStr">
        <is>
          <t>O4710</t>
        </is>
      </c>
      <c r="E809" s="2" t="n">
        <v>412</v>
      </c>
      <c r="F809" s="2">
        <f>_xlfn.XLOOKUP(C809,customers!$A$1:$A$1001,customers!$B$1:$B$1001,,0)</f>
        <v/>
      </c>
      <c r="G809" s="2">
        <f>IF(_xlfn.XLOOKUP(C809,customers!$A$1:$A$1001,customers!$C$1:$C$1001,,0)=0,"",_xlfn.XLOOKUP(C809,customers!$A$1:$A$1001,customers!$C$1:$C$1001,,0))</f>
        <v/>
      </c>
      <c r="H809" s="2">
        <f>_xlfn.XLOOKUP(C809,customers!$A$1:$A$1001,customers!$G$1:$G$1001,,0)</f>
        <v/>
      </c>
      <c r="I809">
        <f>INDEX(products!$A$1:$G$49,MATCH(orders!$D809,products!$A$1:$A$49,0),MATCH(orders!I$1,products!$A$1:$G$1,0))</f>
        <v/>
      </c>
      <c r="J809">
        <f>INDEX(products!$A$1:$G$49,MATCH(orders!$D809,products!$A$1:$A$49,0),MATCH(orders!J$1,products!$A$1:$G$1,0))</f>
        <v/>
      </c>
      <c r="K809" s="4">
        <f>INDEX(products!$A$1:$G$49,MATCH(orders!$D809,products!$A$1:$A$49,0),MATCH(orders!K$1,products!$A$1:$G$1,0))</f>
        <v/>
      </c>
      <c r="L809" s="5">
        <f>INDEX(products!$A$1:$G$49,MATCH(orders!$D809,products!$A$1:$A$49,0),MATCH(orders!L$1,products!$A$1:$G$1,0))</f>
        <v/>
      </c>
      <c r="M809" s="5">
        <f>L809*E809</f>
        <v/>
      </c>
      <c r="N809">
        <f>IF(I809="Rob","Robusta",IF(I809="Exc","Excelsa",IF(I809="Ara","Arabica",IF(I809="Lib","Liberica",""))))</f>
        <v/>
      </c>
      <c r="O809">
        <f>IF(J809="M","Medium",IF(J809="L","Light",IF(J809="D","Dark","")))</f>
        <v/>
      </c>
      <c r="P809">
        <f>_xlfn.XLOOKUP(Orders[[#This Row],[Customer ID]],customers!$A$1:$A$1001,customers!$I$1:$I$1001,,0)</f>
        <v/>
      </c>
    </row>
    <row r="810">
      <c r="A810" s="2" t="inlineStr">
        <is>
          <t>O7281</t>
        </is>
      </c>
      <c r="B810" s="3" t="inlineStr">
        <is>
          <t>2022-06-18</t>
        </is>
      </c>
      <c r="C810" s="2" t="inlineStr">
        <is>
          <t>O9852</t>
        </is>
      </c>
      <c r="D810" t="inlineStr">
        <is>
          <t>O2550</t>
        </is>
      </c>
      <c r="E810" s="2" t="n">
        <v>400</v>
      </c>
      <c r="F810" s="2">
        <f>_xlfn.XLOOKUP(C810,customers!$A$1:$A$1001,customers!$B$1:$B$1001,,0)</f>
        <v/>
      </c>
      <c r="G810" s="2">
        <f>IF(_xlfn.XLOOKUP(C810,customers!$A$1:$A$1001,customers!$C$1:$C$1001,,0)=0,"",_xlfn.XLOOKUP(C810,customers!$A$1:$A$1001,customers!$C$1:$C$1001,,0))</f>
        <v/>
      </c>
      <c r="H810" s="2">
        <f>_xlfn.XLOOKUP(C810,customers!$A$1:$A$1001,customers!$G$1:$G$1001,,0)</f>
        <v/>
      </c>
      <c r="I810">
        <f>INDEX(products!$A$1:$G$49,MATCH(orders!$D810,products!$A$1:$A$49,0),MATCH(orders!I$1,products!$A$1:$G$1,0))</f>
        <v/>
      </c>
      <c r="J810">
        <f>INDEX(products!$A$1:$G$49,MATCH(orders!$D810,products!$A$1:$A$49,0),MATCH(orders!J$1,products!$A$1:$G$1,0))</f>
        <v/>
      </c>
      <c r="K810" s="4">
        <f>INDEX(products!$A$1:$G$49,MATCH(orders!$D810,products!$A$1:$A$49,0),MATCH(orders!K$1,products!$A$1:$G$1,0))</f>
        <v/>
      </c>
      <c r="L810" s="5">
        <f>INDEX(products!$A$1:$G$49,MATCH(orders!$D810,products!$A$1:$A$49,0),MATCH(orders!L$1,products!$A$1:$G$1,0))</f>
        <v/>
      </c>
      <c r="M810" s="5">
        <f>L810*E810</f>
        <v/>
      </c>
      <c r="N810">
        <f>IF(I810="Rob","Robusta",IF(I810="Exc","Excelsa",IF(I810="Ara","Arabica",IF(I810="Lib","Liberica",""))))</f>
        <v/>
      </c>
      <c r="O810">
        <f>IF(J810="M","Medium",IF(J810="L","Light",IF(J810="D","Dark","")))</f>
        <v/>
      </c>
      <c r="P810">
        <f>_xlfn.XLOOKUP(Orders[[#This Row],[Customer ID]],customers!$A$1:$A$1001,customers!$I$1:$I$1001,,0)</f>
        <v/>
      </c>
    </row>
    <row r="811">
      <c r="A811" s="2" t="inlineStr">
        <is>
          <t>O2663</t>
        </is>
      </c>
      <c r="B811" s="3" t="inlineStr">
        <is>
          <t>2021-11-09</t>
        </is>
      </c>
      <c r="C811" s="2" t="inlineStr">
        <is>
          <t>O2103</t>
        </is>
      </c>
      <c r="D811" t="inlineStr">
        <is>
          <t>O9029</t>
        </is>
      </c>
      <c r="E811" s="2" t="n">
        <v>280</v>
      </c>
      <c r="F811" s="2">
        <f>_xlfn.XLOOKUP(C811,customers!$A$1:$A$1001,customers!$B$1:$B$1001,,0)</f>
        <v/>
      </c>
      <c r="G811" s="2">
        <f>IF(_xlfn.XLOOKUP(C811,customers!$A$1:$A$1001,customers!$C$1:$C$1001,,0)=0,"",_xlfn.XLOOKUP(C811,customers!$A$1:$A$1001,customers!$C$1:$C$1001,,0))</f>
        <v/>
      </c>
      <c r="H811" s="2">
        <f>_xlfn.XLOOKUP(C811,customers!$A$1:$A$1001,customers!$G$1:$G$1001,,0)</f>
        <v/>
      </c>
      <c r="I811">
        <f>INDEX(products!$A$1:$G$49,MATCH(orders!$D811,products!$A$1:$A$49,0),MATCH(orders!I$1,products!$A$1:$G$1,0))</f>
        <v/>
      </c>
      <c r="J811">
        <f>INDEX(products!$A$1:$G$49,MATCH(orders!$D811,products!$A$1:$A$49,0),MATCH(orders!J$1,products!$A$1:$G$1,0))</f>
        <v/>
      </c>
      <c r="K811" s="4">
        <f>INDEX(products!$A$1:$G$49,MATCH(orders!$D811,products!$A$1:$A$49,0),MATCH(orders!K$1,products!$A$1:$G$1,0))</f>
        <v/>
      </c>
      <c r="L811" s="5">
        <f>INDEX(products!$A$1:$G$49,MATCH(orders!$D811,products!$A$1:$A$49,0),MATCH(orders!L$1,products!$A$1:$G$1,0))</f>
        <v/>
      </c>
      <c r="M811" s="5">
        <f>L811*E811</f>
        <v/>
      </c>
      <c r="N811">
        <f>IF(I811="Rob","Robusta",IF(I811="Exc","Excelsa",IF(I811="Ara","Arabica",IF(I811="Lib","Liberica",""))))</f>
        <v/>
      </c>
      <c r="O811">
        <f>IF(J811="M","Medium",IF(J811="L","Light",IF(J811="D","Dark","")))</f>
        <v/>
      </c>
      <c r="P811">
        <f>_xlfn.XLOOKUP(Orders[[#This Row],[Customer ID]],customers!$A$1:$A$1001,customers!$I$1:$I$1001,,0)</f>
        <v/>
      </c>
    </row>
    <row r="812">
      <c r="A812" s="2" t="inlineStr">
        <is>
          <t>O3610</t>
        </is>
      </c>
      <c r="B812" s="3" t="inlineStr">
        <is>
          <t>2020-04-27</t>
        </is>
      </c>
      <c r="C812" s="2" t="inlineStr">
        <is>
          <t>O3838</t>
        </is>
      </c>
      <c r="D812" t="inlineStr">
        <is>
          <t>O5597</t>
        </is>
      </c>
      <c r="E812" s="2" t="n">
        <v>423</v>
      </c>
      <c r="F812" s="2">
        <f>_xlfn.XLOOKUP(C812,customers!$A$1:$A$1001,customers!$B$1:$B$1001,,0)</f>
        <v/>
      </c>
      <c r="G812" s="2">
        <f>IF(_xlfn.XLOOKUP(C812,customers!$A$1:$A$1001,customers!$C$1:$C$1001,,0)=0,"",_xlfn.XLOOKUP(C812,customers!$A$1:$A$1001,customers!$C$1:$C$1001,,0))</f>
        <v/>
      </c>
      <c r="H812" s="2">
        <f>_xlfn.XLOOKUP(C812,customers!$A$1:$A$1001,customers!$G$1:$G$1001,,0)</f>
        <v/>
      </c>
      <c r="I812">
        <f>INDEX(products!$A$1:$G$49,MATCH(orders!$D812,products!$A$1:$A$49,0),MATCH(orders!I$1,products!$A$1:$G$1,0))</f>
        <v/>
      </c>
      <c r="J812">
        <f>INDEX(products!$A$1:$G$49,MATCH(orders!$D812,products!$A$1:$A$49,0),MATCH(orders!J$1,products!$A$1:$G$1,0))</f>
        <v/>
      </c>
      <c r="K812" s="4">
        <f>INDEX(products!$A$1:$G$49,MATCH(orders!$D812,products!$A$1:$A$49,0),MATCH(orders!K$1,products!$A$1:$G$1,0))</f>
        <v/>
      </c>
      <c r="L812" s="5">
        <f>INDEX(products!$A$1:$G$49,MATCH(orders!$D812,products!$A$1:$A$49,0),MATCH(orders!L$1,products!$A$1:$G$1,0))</f>
        <v/>
      </c>
      <c r="M812" s="5">
        <f>L812*E812</f>
        <v/>
      </c>
      <c r="N812">
        <f>IF(I812="Rob","Robusta",IF(I812="Exc","Excelsa",IF(I812="Ara","Arabica",IF(I812="Lib","Liberica",""))))</f>
        <v/>
      </c>
      <c r="O812">
        <f>IF(J812="M","Medium",IF(J812="L","Light",IF(J812="D","Dark","")))</f>
        <v/>
      </c>
      <c r="P812">
        <f>_xlfn.XLOOKUP(Orders[[#This Row],[Customer ID]],customers!$A$1:$A$1001,customers!$I$1:$I$1001,,0)</f>
        <v/>
      </c>
    </row>
    <row r="813">
      <c r="A813" s="2" t="inlineStr">
        <is>
          <t>O6078</t>
        </is>
      </c>
      <c r="B813" s="3" t="inlineStr">
        <is>
          <t>2022-02-03</t>
        </is>
      </c>
      <c r="C813" s="2" t="inlineStr">
        <is>
          <t>O7209</t>
        </is>
      </c>
      <c r="D813" t="inlineStr">
        <is>
          <t>O2127</t>
        </is>
      </c>
      <c r="E813" s="2" t="n">
        <v>377</v>
      </c>
      <c r="F813" s="2">
        <f>_xlfn.XLOOKUP(C813,customers!$A$1:$A$1001,customers!$B$1:$B$1001,,0)</f>
        <v/>
      </c>
      <c r="G813" s="2">
        <f>IF(_xlfn.XLOOKUP(C813,customers!$A$1:$A$1001,customers!$C$1:$C$1001,,0)=0,"",_xlfn.XLOOKUP(C813,customers!$A$1:$A$1001,customers!$C$1:$C$1001,,0))</f>
        <v/>
      </c>
      <c r="H813" s="2">
        <f>_xlfn.XLOOKUP(C813,customers!$A$1:$A$1001,customers!$G$1:$G$1001,,0)</f>
        <v/>
      </c>
      <c r="I813">
        <f>INDEX(products!$A$1:$G$49,MATCH(orders!$D813,products!$A$1:$A$49,0),MATCH(orders!I$1,products!$A$1:$G$1,0))</f>
        <v/>
      </c>
      <c r="J813">
        <f>INDEX(products!$A$1:$G$49,MATCH(orders!$D813,products!$A$1:$A$49,0),MATCH(orders!J$1,products!$A$1:$G$1,0))</f>
        <v/>
      </c>
      <c r="K813" s="4">
        <f>INDEX(products!$A$1:$G$49,MATCH(orders!$D813,products!$A$1:$A$49,0),MATCH(orders!K$1,products!$A$1:$G$1,0))</f>
        <v/>
      </c>
      <c r="L813" s="5">
        <f>INDEX(products!$A$1:$G$49,MATCH(orders!$D813,products!$A$1:$A$49,0),MATCH(orders!L$1,products!$A$1:$G$1,0))</f>
        <v/>
      </c>
      <c r="M813" s="5">
        <f>L813*E813</f>
        <v/>
      </c>
      <c r="N813">
        <f>IF(I813="Rob","Robusta",IF(I813="Exc","Excelsa",IF(I813="Ara","Arabica",IF(I813="Lib","Liberica",""))))</f>
        <v/>
      </c>
      <c r="O813">
        <f>IF(J813="M","Medium",IF(J813="L","Light",IF(J813="D","Dark","")))</f>
        <v/>
      </c>
      <c r="P813">
        <f>_xlfn.XLOOKUP(Orders[[#This Row],[Customer ID]],customers!$A$1:$A$1001,customers!$I$1:$I$1001,,0)</f>
        <v/>
      </c>
    </row>
    <row r="814">
      <c r="A814" s="2" t="inlineStr">
        <is>
          <t>O8334</t>
        </is>
      </c>
      <c r="B814" s="3" t="inlineStr">
        <is>
          <t>2021-08-11</t>
        </is>
      </c>
      <c r="C814" s="2" t="inlineStr">
        <is>
          <t>O7446</t>
        </is>
      </c>
      <c r="D814" t="inlineStr">
        <is>
          <t>O4484</t>
        </is>
      </c>
      <c r="E814" s="2" t="n">
        <v>379</v>
      </c>
      <c r="F814" s="2">
        <f>_xlfn.XLOOKUP(C814,customers!$A$1:$A$1001,customers!$B$1:$B$1001,,0)</f>
        <v/>
      </c>
      <c r="G814" s="2">
        <f>IF(_xlfn.XLOOKUP(C814,customers!$A$1:$A$1001,customers!$C$1:$C$1001,,0)=0,"",_xlfn.XLOOKUP(C814,customers!$A$1:$A$1001,customers!$C$1:$C$1001,,0))</f>
        <v/>
      </c>
      <c r="H814" s="2">
        <f>_xlfn.XLOOKUP(C814,customers!$A$1:$A$1001,customers!$G$1:$G$1001,,0)</f>
        <v/>
      </c>
      <c r="I814">
        <f>INDEX(products!$A$1:$G$49,MATCH(orders!$D814,products!$A$1:$A$49,0),MATCH(orders!I$1,products!$A$1:$G$1,0))</f>
        <v/>
      </c>
      <c r="J814">
        <f>INDEX(products!$A$1:$G$49,MATCH(orders!$D814,products!$A$1:$A$49,0),MATCH(orders!J$1,products!$A$1:$G$1,0))</f>
        <v/>
      </c>
      <c r="K814" s="4">
        <f>INDEX(products!$A$1:$G$49,MATCH(orders!$D814,products!$A$1:$A$49,0),MATCH(orders!K$1,products!$A$1:$G$1,0))</f>
        <v/>
      </c>
      <c r="L814" s="5">
        <f>INDEX(products!$A$1:$G$49,MATCH(orders!$D814,products!$A$1:$A$49,0),MATCH(orders!L$1,products!$A$1:$G$1,0))</f>
        <v/>
      </c>
      <c r="M814" s="5">
        <f>L814*E814</f>
        <v/>
      </c>
      <c r="N814">
        <f>IF(I814="Rob","Robusta",IF(I814="Exc","Excelsa",IF(I814="Ara","Arabica",IF(I814="Lib","Liberica",""))))</f>
        <v/>
      </c>
      <c r="O814">
        <f>IF(J814="M","Medium",IF(J814="L","Light",IF(J814="D","Dark","")))</f>
        <v/>
      </c>
      <c r="P814">
        <f>_xlfn.XLOOKUP(Orders[[#This Row],[Customer ID]],customers!$A$1:$A$1001,customers!$I$1:$I$1001,,0)</f>
        <v/>
      </c>
    </row>
    <row r="815">
      <c r="A815" s="2" t="inlineStr">
        <is>
          <t>O8884</t>
        </is>
      </c>
      <c r="B815" s="3" t="inlineStr">
        <is>
          <t>2024-07-19</t>
        </is>
      </c>
      <c r="C815" s="2" t="inlineStr">
        <is>
          <t>O5683</t>
        </is>
      </c>
      <c r="D815" t="inlineStr">
        <is>
          <t>O8594</t>
        </is>
      </c>
      <c r="E815" s="2" t="n">
        <v>498</v>
      </c>
      <c r="F815" s="2">
        <f>_xlfn.XLOOKUP(C815,customers!$A$1:$A$1001,customers!$B$1:$B$1001,,0)</f>
        <v/>
      </c>
      <c r="G815" s="2">
        <f>IF(_xlfn.XLOOKUP(C815,customers!$A$1:$A$1001,customers!$C$1:$C$1001,,0)=0,"",_xlfn.XLOOKUP(C815,customers!$A$1:$A$1001,customers!$C$1:$C$1001,,0))</f>
        <v/>
      </c>
      <c r="H815" s="2">
        <f>_xlfn.XLOOKUP(C815,customers!$A$1:$A$1001,customers!$G$1:$G$1001,,0)</f>
        <v/>
      </c>
      <c r="I815">
        <f>INDEX(products!$A$1:$G$49,MATCH(orders!$D815,products!$A$1:$A$49,0),MATCH(orders!I$1,products!$A$1:$G$1,0))</f>
        <v/>
      </c>
      <c r="J815">
        <f>INDEX(products!$A$1:$G$49,MATCH(orders!$D815,products!$A$1:$A$49,0),MATCH(orders!J$1,products!$A$1:$G$1,0))</f>
        <v/>
      </c>
      <c r="K815" s="4">
        <f>INDEX(products!$A$1:$G$49,MATCH(orders!$D815,products!$A$1:$A$49,0),MATCH(orders!K$1,products!$A$1:$G$1,0))</f>
        <v/>
      </c>
      <c r="L815" s="5">
        <f>INDEX(products!$A$1:$G$49,MATCH(orders!$D815,products!$A$1:$A$49,0),MATCH(orders!L$1,products!$A$1:$G$1,0))</f>
        <v/>
      </c>
      <c r="M815" s="5">
        <f>L815*E815</f>
        <v/>
      </c>
      <c r="N815">
        <f>IF(I815="Rob","Robusta",IF(I815="Exc","Excelsa",IF(I815="Ara","Arabica",IF(I815="Lib","Liberica",""))))</f>
        <v/>
      </c>
      <c r="O815">
        <f>IF(J815="M","Medium",IF(J815="L","Light",IF(J815="D","Dark","")))</f>
        <v/>
      </c>
      <c r="P815">
        <f>_xlfn.XLOOKUP(Orders[[#This Row],[Customer ID]],customers!$A$1:$A$1001,customers!$I$1:$I$1001,,0)</f>
        <v/>
      </c>
    </row>
    <row r="816">
      <c r="A816" s="2" t="inlineStr">
        <is>
          <t>O2029</t>
        </is>
      </c>
      <c r="B816" s="3" t="inlineStr">
        <is>
          <t>2025-07-24</t>
        </is>
      </c>
      <c r="C816" s="2" t="inlineStr">
        <is>
          <t>O9129</t>
        </is>
      </c>
      <c r="D816" t="inlineStr">
        <is>
          <t>O4423</t>
        </is>
      </c>
      <c r="E816" s="2" t="n">
        <v>137</v>
      </c>
      <c r="F816" s="2">
        <f>_xlfn.XLOOKUP(C816,customers!$A$1:$A$1001,customers!$B$1:$B$1001,,0)</f>
        <v/>
      </c>
      <c r="G816" s="2">
        <f>IF(_xlfn.XLOOKUP(C816,customers!$A$1:$A$1001,customers!$C$1:$C$1001,,0)=0,"",_xlfn.XLOOKUP(C816,customers!$A$1:$A$1001,customers!$C$1:$C$1001,,0))</f>
        <v/>
      </c>
      <c r="H816" s="2">
        <f>_xlfn.XLOOKUP(C816,customers!$A$1:$A$1001,customers!$G$1:$G$1001,,0)</f>
        <v/>
      </c>
      <c r="I816">
        <f>INDEX(products!$A$1:$G$49,MATCH(orders!$D816,products!$A$1:$A$49,0),MATCH(orders!I$1,products!$A$1:$G$1,0))</f>
        <v/>
      </c>
      <c r="J816">
        <f>INDEX(products!$A$1:$G$49,MATCH(orders!$D816,products!$A$1:$A$49,0),MATCH(orders!J$1,products!$A$1:$G$1,0))</f>
        <v/>
      </c>
      <c r="K816" s="4">
        <f>INDEX(products!$A$1:$G$49,MATCH(orders!$D816,products!$A$1:$A$49,0),MATCH(orders!K$1,products!$A$1:$G$1,0))</f>
        <v/>
      </c>
      <c r="L816" s="5">
        <f>INDEX(products!$A$1:$G$49,MATCH(orders!$D816,products!$A$1:$A$49,0),MATCH(orders!L$1,products!$A$1:$G$1,0))</f>
        <v/>
      </c>
      <c r="M816" s="5">
        <f>L816*E816</f>
        <v/>
      </c>
      <c r="N816">
        <f>IF(I816="Rob","Robusta",IF(I816="Exc","Excelsa",IF(I816="Ara","Arabica",IF(I816="Lib","Liberica",""))))</f>
        <v/>
      </c>
      <c r="O816">
        <f>IF(J816="M","Medium",IF(J816="L","Light",IF(J816="D","Dark","")))</f>
        <v/>
      </c>
      <c r="P816">
        <f>_xlfn.XLOOKUP(Orders[[#This Row],[Customer ID]],customers!$A$1:$A$1001,customers!$I$1:$I$1001,,0)</f>
        <v/>
      </c>
    </row>
    <row r="817">
      <c r="A817" s="2" t="inlineStr">
        <is>
          <t>O8024</t>
        </is>
      </c>
      <c r="B817" s="3" t="inlineStr">
        <is>
          <t>2022-06-11</t>
        </is>
      </c>
      <c r="C817" s="2" t="inlineStr">
        <is>
          <t>O5372</t>
        </is>
      </c>
      <c r="D817" t="inlineStr">
        <is>
          <t>O8569</t>
        </is>
      </c>
      <c r="E817" s="2" t="n">
        <v>463</v>
      </c>
      <c r="F817" s="2">
        <f>_xlfn.XLOOKUP(C817,customers!$A$1:$A$1001,customers!$B$1:$B$1001,,0)</f>
        <v/>
      </c>
      <c r="G817" s="2">
        <f>IF(_xlfn.XLOOKUP(C817,customers!$A$1:$A$1001,customers!$C$1:$C$1001,,0)=0,"",_xlfn.XLOOKUP(C817,customers!$A$1:$A$1001,customers!$C$1:$C$1001,,0))</f>
        <v/>
      </c>
      <c r="H817" s="2">
        <f>_xlfn.XLOOKUP(C817,customers!$A$1:$A$1001,customers!$G$1:$G$1001,,0)</f>
        <v/>
      </c>
      <c r="I817">
        <f>INDEX(products!$A$1:$G$49,MATCH(orders!$D817,products!$A$1:$A$49,0),MATCH(orders!I$1,products!$A$1:$G$1,0))</f>
        <v/>
      </c>
      <c r="J817">
        <f>INDEX(products!$A$1:$G$49,MATCH(orders!$D817,products!$A$1:$A$49,0),MATCH(orders!J$1,products!$A$1:$G$1,0))</f>
        <v/>
      </c>
      <c r="K817" s="4">
        <f>INDEX(products!$A$1:$G$49,MATCH(orders!$D817,products!$A$1:$A$49,0),MATCH(orders!K$1,products!$A$1:$G$1,0))</f>
        <v/>
      </c>
      <c r="L817" s="5">
        <f>INDEX(products!$A$1:$G$49,MATCH(orders!$D817,products!$A$1:$A$49,0),MATCH(orders!L$1,products!$A$1:$G$1,0))</f>
        <v/>
      </c>
      <c r="M817" s="5">
        <f>L817*E817</f>
        <v/>
      </c>
      <c r="N817">
        <f>IF(I817="Rob","Robusta",IF(I817="Exc","Excelsa",IF(I817="Ara","Arabica",IF(I817="Lib","Liberica",""))))</f>
        <v/>
      </c>
      <c r="O817">
        <f>IF(J817="M","Medium",IF(J817="L","Light",IF(J817="D","Dark","")))</f>
        <v/>
      </c>
      <c r="P817">
        <f>_xlfn.XLOOKUP(Orders[[#This Row],[Customer ID]],customers!$A$1:$A$1001,customers!$I$1:$I$1001,,0)</f>
        <v/>
      </c>
    </row>
    <row r="818">
      <c r="A818" s="2" t="inlineStr">
        <is>
          <t>O5324</t>
        </is>
      </c>
      <c r="B818" s="3" t="inlineStr">
        <is>
          <t>2022-09-25</t>
        </is>
      </c>
      <c r="C818" s="2" t="inlineStr">
        <is>
          <t>O3577</t>
        </is>
      </c>
      <c r="D818" t="inlineStr">
        <is>
          <t>O3671</t>
        </is>
      </c>
      <c r="E818" s="2" t="n">
        <v>114</v>
      </c>
      <c r="F818" s="2">
        <f>_xlfn.XLOOKUP(C818,customers!$A$1:$A$1001,customers!$B$1:$B$1001,,0)</f>
        <v/>
      </c>
      <c r="G818" s="2">
        <f>IF(_xlfn.XLOOKUP(C818,customers!$A$1:$A$1001,customers!$C$1:$C$1001,,0)=0,"",_xlfn.XLOOKUP(C818,customers!$A$1:$A$1001,customers!$C$1:$C$1001,,0))</f>
        <v/>
      </c>
      <c r="H818" s="2">
        <f>_xlfn.XLOOKUP(C818,customers!$A$1:$A$1001,customers!$G$1:$G$1001,,0)</f>
        <v/>
      </c>
      <c r="I818">
        <f>INDEX(products!$A$1:$G$49,MATCH(orders!$D818,products!$A$1:$A$49,0),MATCH(orders!I$1,products!$A$1:$G$1,0))</f>
        <v/>
      </c>
      <c r="J818">
        <f>INDEX(products!$A$1:$G$49,MATCH(orders!$D818,products!$A$1:$A$49,0),MATCH(orders!J$1,products!$A$1:$G$1,0))</f>
        <v/>
      </c>
      <c r="K818" s="4">
        <f>INDEX(products!$A$1:$G$49,MATCH(orders!$D818,products!$A$1:$A$49,0),MATCH(orders!K$1,products!$A$1:$G$1,0))</f>
        <v/>
      </c>
      <c r="L818" s="5">
        <f>INDEX(products!$A$1:$G$49,MATCH(orders!$D818,products!$A$1:$A$49,0),MATCH(orders!L$1,products!$A$1:$G$1,0))</f>
        <v/>
      </c>
      <c r="M818" s="5">
        <f>L818*E818</f>
        <v/>
      </c>
      <c r="N818">
        <f>IF(I818="Rob","Robusta",IF(I818="Exc","Excelsa",IF(I818="Ara","Arabica",IF(I818="Lib","Liberica",""))))</f>
        <v/>
      </c>
      <c r="O818">
        <f>IF(J818="M","Medium",IF(J818="L","Light",IF(J818="D","Dark","")))</f>
        <v/>
      </c>
      <c r="P818">
        <f>_xlfn.XLOOKUP(Orders[[#This Row],[Customer ID]],customers!$A$1:$A$1001,customers!$I$1:$I$1001,,0)</f>
        <v/>
      </c>
    </row>
    <row r="819">
      <c r="A819" s="2" t="inlineStr">
        <is>
          <t>O8975</t>
        </is>
      </c>
      <c r="B819" s="3" t="inlineStr">
        <is>
          <t>2025-07-13</t>
        </is>
      </c>
      <c r="C819" s="2" t="inlineStr">
        <is>
          <t>O2780</t>
        </is>
      </c>
      <c r="D819" t="inlineStr">
        <is>
          <t>O7640</t>
        </is>
      </c>
      <c r="E819" s="2" t="n">
        <v>397</v>
      </c>
      <c r="F819" s="2">
        <f>_xlfn.XLOOKUP(C819,customers!$A$1:$A$1001,customers!$B$1:$B$1001,,0)</f>
        <v/>
      </c>
      <c r="G819" s="2">
        <f>IF(_xlfn.XLOOKUP(C819,customers!$A$1:$A$1001,customers!$C$1:$C$1001,,0)=0,"",_xlfn.XLOOKUP(C819,customers!$A$1:$A$1001,customers!$C$1:$C$1001,,0))</f>
        <v/>
      </c>
      <c r="H819" s="2">
        <f>_xlfn.XLOOKUP(C819,customers!$A$1:$A$1001,customers!$G$1:$G$1001,,0)</f>
        <v/>
      </c>
      <c r="I819">
        <f>INDEX(products!$A$1:$G$49,MATCH(orders!$D819,products!$A$1:$A$49,0),MATCH(orders!I$1,products!$A$1:$G$1,0))</f>
        <v/>
      </c>
      <c r="J819">
        <f>INDEX(products!$A$1:$G$49,MATCH(orders!$D819,products!$A$1:$A$49,0),MATCH(orders!J$1,products!$A$1:$G$1,0))</f>
        <v/>
      </c>
      <c r="K819" s="4">
        <f>INDEX(products!$A$1:$G$49,MATCH(orders!$D819,products!$A$1:$A$49,0),MATCH(orders!K$1,products!$A$1:$G$1,0))</f>
        <v/>
      </c>
      <c r="L819" s="5">
        <f>INDEX(products!$A$1:$G$49,MATCH(orders!$D819,products!$A$1:$A$49,0),MATCH(orders!L$1,products!$A$1:$G$1,0))</f>
        <v/>
      </c>
      <c r="M819" s="5">
        <f>L819*E819</f>
        <v/>
      </c>
      <c r="N819">
        <f>IF(I819="Rob","Robusta",IF(I819="Exc","Excelsa",IF(I819="Ara","Arabica",IF(I819="Lib","Liberica",""))))</f>
        <v/>
      </c>
      <c r="O819">
        <f>IF(J819="M","Medium",IF(J819="L","Light",IF(J819="D","Dark","")))</f>
        <v/>
      </c>
      <c r="P819">
        <f>_xlfn.XLOOKUP(Orders[[#This Row],[Customer ID]],customers!$A$1:$A$1001,customers!$I$1:$I$1001,,0)</f>
        <v/>
      </c>
    </row>
    <row r="820">
      <c r="A820" s="2" t="inlineStr">
        <is>
          <t>O1352</t>
        </is>
      </c>
      <c r="B820" s="3" t="inlineStr">
        <is>
          <t>2020-04-24</t>
        </is>
      </c>
      <c r="C820" s="2" t="inlineStr">
        <is>
          <t>O6500</t>
        </is>
      </c>
      <c r="D820" t="inlineStr">
        <is>
          <t>O8040</t>
        </is>
      </c>
      <c r="E820" s="2" t="n">
        <v>291</v>
      </c>
      <c r="F820" s="2">
        <f>_xlfn.XLOOKUP(C820,customers!$A$1:$A$1001,customers!$B$1:$B$1001,,0)</f>
        <v/>
      </c>
      <c r="G820" s="2">
        <f>IF(_xlfn.XLOOKUP(C820,customers!$A$1:$A$1001,customers!$C$1:$C$1001,,0)=0,"",_xlfn.XLOOKUP(C820,customers!$A$1:$A$1001,customers!$C$1:$C$1001,,0))</f>
        <v/>
      </c>
      <c r="H820" s="2">
        <f>_xlfn.XLOOKUP(C820,customers!$A$1:$A$1001,customers!$G$1:$G$1001,,0)</f>
        <v/>
      </c>
      <c r="I820">
        <f>INDEX(products!$A$1:$G$49,MATCH(orders!$D820,products!$A$1:$A$49,0),MATCH(orders!I$1,products!$A$1:$G$1,0))</f>
        <v/>
      </c>
      <c r="J820">
        <f>INDEX(products!$A$1:$G$49,MATCH(orders!$D820,products!$A$1:$A$49,0),MATCH(orders!J$1,products!$A$1:$G$1,0))</f>
        <v/>
      </c>
      <c r="K820" s="4">
        <f>INDEX(products!$A$1:$G$49,MATCH(orders!$D820,products!$A$1:$A$49,0),MATCH(orders!K$1,products!$A$1:$G$1,0))</f>
        <v/>
      </c>
      <c r="L820" s="5">
        <f>INDEX(products!$A$1:$G$49,MATCH(orders!$D820,products!$A$1:$A$49,0),MATCH(orders!L$1,products!$A$1:$G$1,0))</f>
        <v/>
      </c>
      <c r="M820" s="5">
        <f>L820*E820</f>
        <v/>
      </c>
      <c r="N820">
        <f>IF(I820="Rob","Robusta",IF(I820="Exc","Excelsa",IF(I820="Ara","Arabica",IF(I820="Lib","Liberica",""))))</f>
        <v/>
      </c>
      <c r="O820">
        <f>IF(J820="M","Medium",IF(J820="L","Light",IF(J820="D","Dark","")))</f>
        <v/>
      </c>
      <c r="P820">
        <f>_xlfn.XLOOKUP(Orders[[#This Row],[Customer ID]],customers!$A$1:$A$1001,customers!$I$1:$I$1001,,0)</f>
        <v/>
      </c>
    </row>
    <row r="821">
      <c r="A821" s="2" t="inlineStr">
        <is>
          <t>O2869</t>
        </is>
      </c>
      <c r="B821" s="3" t="inlineStr">
        <is>
          <t>2023-10-05</t>
        </is>
      </c>
      <c r="C821" s="2" t="inlineStr">
        <is>
          <t>O4692</t>
        </is>
      </c>
      <c r="D821" t="inlineStr">
        <is>
          <t>O7705</t>
        </is>
      </c>
      <c r="E821" s="2" t="n">
        <v>78</v>
      </c>
      <c r="F821" s="2">
        <f>_xlfn.XLOOKUP(C821,customers!$A$1:$A$1001,customers!$B$1:$B$1001,,0)</f>
        <v/>
      </c>
      <c r="G821" s="2">
        <f>IF(_xlfn.XLOOKUP(C821,customers!$A$1:$A$1001,customers!$C$1:$C$1001,,0)=0,"",_xlfn.XLOOKUP(C821,customers!$A$1:$A$1001,customers!$C$1:$C$1001,,0))</f>
        <v/>
      </c>
      <c r="H821" s="2">
        <f>_xlfn.XLOOKUP(C821,customers!$A$1:$A$1001,customers!$G$1:$G$1001,,0)</f>
        <v/>
      </c>
      <c r="I821">
        <f>INDEX(products!$A$1:$G$49,MATCH(orders!$D821,products!$A$1:$A$49,0),MATCH(orders!I$1,products!$A$1:$G$1,0))</f>
        <v/>
      </c>
      <c r="J821">
        <f>INDEX(products!$A$1:$G$49,MATCH(orders!$D821,products!$A$1:$A$49,0),MATCH(orders!J$1,products!$A$1:$G$1,0))</f>
        <v/>
      </c>
      <c r="K821" s="4">
        <f>INDEX(products!$A$1:$G$49,MATCH(orders!$D821,products!$A$1:$A$49,0),MATCH(orders!K$1,products!$A$1:$G$1,0))</f>
        <v/>
      </c>
      <c r="L821" s="5">
        <f>INDEX(products!$A$1:$G$49,MATCH(orders!$D821,products!$A$1:$A$49,0),MATCH(orders!L$1,products!$A$1:$G$1,0))</f>
        <v/>
      </c>
      <c r="M821" s="5">
        <f>L821*E821</f>
        <v/>
      </c>
      <c r="N821">
        <f>IF(I821="Rob","Robusta",IF(I821="Exc","Excelsa",IF(I821="Ara","Arabica",IF(I821="Lib","Liberica",""))))</f>
        <v/>
      </c>
      <c r="O821">
        <f>IF(J821="M","Medium",IF(J821="L","Light",IF(J821="D","Dark","")))</f>
        <v/>
      </c>
      <c r="P821">
        <f>_xlfn.XLOOKUP(Orders[[#This Row],[Customer ID]],customers!$A$1:$A$1001,customers!$I$1:$I$1001,,0)</f>
        <v/>
      </c>
    </row>
    <row r="822">
      <c r="A822" s="2" t="inlineStr">
        <is>
          <t>O7125</t>
        </is>
      </c>
      <c r="B822" s="3" t="inlineStr">
        <is>
          <t>2020-02-23</t>
        </is>
      </c>
      <c r="C822" s="2" t="inlineStr">
        <is>
          <t>O1312</t>
        </is>
      </c>
      <c r="D822" t="inlineStr">
        <is>
          <t>O1920</t>
        </is>
      </c>
      <c r="E822" s="2" t="n">
        <v>12</v>
      </c>
      <c r="F822" s="2">
        <f>_xlfn.XLOOKUP(C822,customers!$A$1:$A$1001,customers!$B$1:$B$1001,,0)</f>
        <v/>
      </c>
      <c r="G822" s="2">
        <f>IF(_xlfn.XLOOKUP(C822,customers!$A$1:$A$1001,customers!$C$1:$C$1001,,0)=0,"",_xlfn.XLOOKUP(C822,customers!$A$1:$A$1001,customers!$C$1:$C$1001,,0))</f>
        <v/>
      </c>
      <c r="H822" s="2">
        <f>_xlfn.XLOOKUP(C822,customers!$A$1:$A$1001,customers!$G$1:$G$1001,,0)</f>
        <v/>
      </c>
      <c r="I822">
        <f>INDEX(products!$A$1:$G$49,MATCH(orders!$D822,products!$A$1:$A$49,0),MATCH(orders!I$1,products!$A$1:$G$1,0))</f>
        <v/>
      </c>
      <c r="J822">
        <f>INDEX(products!$A$1:$G$49,MATCH(orders!$D822,products!$A$1:$A$49,0),MATCH(orders!J$1,products!$A$1:$G$1,0))</f>
        <v/>
      </c>
      <c r="K822" s="4">
        <f>INDEX(products!$A$1:$G$49,MATCH(orders!$D822,products!$A$1:$A$49,0),MATCH(orders!K$1,products!$A$1:$G$1,0))</f>
        <v/>
      </c>
      <c r="L822" s="5">
        <f>INDEX(products!$A$1:$G$49,MATCH(orders!$D822,products!$A$1:$A$49,0),MATCH(orders!L$1,products!$A$1:$G$1,0))</f>
        <v/>
      </c>
      <c r="M822" s="5">
        <f>L822*E822</f>
        <v/>
      </c>
      <c r="N822">
        <f>IF(I822="Rob","Robusta",IF(I822="Exc","Excelsa",IF(I822="Ara","Arabica",IF(I822="Lib","Liberica",""))))</f>
        <v/>
      </c>
      <c r="O822">
        <f>IF(J822="M","Medium",IF(J822="L","Light",IF(J822="D","Dark","")))</f>
        <v/>
      </c>
      <c r="P822">
        <f>_xlfn.XLOOKUP(Orders[[#This Row],[Customer ID]],customers!$A$1:$A$1001,customers!$I$1:$I$1001,,0)</f>
        <v/>
      </c>
    </row>
    <row r="823">
      <c r="A823" s="2" t="inlineStr">
        <is>
          <t>O2791</t>
        </is>
      </c>
      <c r="B823" s="3" t="inlineStr">
        <is>
          <t>2021-04-17</t>
        </is>
      </c>
      <c r="C823" s="2" t="inlineStr">
        <is>
          <t>O3385</t>
        </is>
      </c>
      <c r="D823" t="inlineStr">
        <is>
          <t>O7441</t>
        </is>
      </c>
      <c r="E823" s="2" t="n">
        <v>352</v>
      </c>
      <c r="F823" s="2">
        <f>_xlfn.XLOOKUP(C823,customers!$A$1:$A$1001,customers!$B$1:$B$1001,,0)</f>
        <v/>
      </c>
      <c r="G823" s="2">
        <f>IF(_xlfn.XLOOKUP(C823,customers!$A$1:$A$1001,customers!$C$1:$C$1001,,0)=0,"",_xlfn.XLOOKUP(C823,customers!$A$1:$A$1001,customers!$C$1:$C$1001,,0))</f>
        <v/>
      </c>
      <c r="H823" s="2">
        <f>_xlfn.XLOOKUP(C823,customers!$A$1:$A$1001,customers!$G$1:$G$1001,,0)</f>
        <v/>
      </c>
      <c r="I823">
        <f>INDEX(products!$A$1:$G$49,MATCH(orders!$D823,products!$A$1:$A$49,0),MATCH(orders!I$1,products!$A$1:$G$1,0))</f>
        <v/>
      </c>
      <c r="J823">
        <f>INDEX(products!$A$1:$G$49,MATCH(orders!$D823,products!$A$1:$A$49,0),MATCH(orders!J$1,products!$A$1:$G$1,0))</f>
        <v/>
      </c>
      <c r="K823" s="4">
        <f>INDEX(products!$A$1:$G$49,MATCH(orders!$D823,products!$A$1:$A$49,0),MATCH(orders!K$1,products!$A$1:$G$1,0))</f>
        <v/>
      </c>
      <c r="L823" s="5">
        <f>INDEX(products!$A$1:$G$49,MATCH(orders!$D823,products!$A$1:$A$49,0),MATCH(orders!L$1,products!$A$1:$G$1,0))</f>
        <v/>
      </c>
      <c r="M823" s="5">
        <f>L823*E823</f>
        <v/>
      </c>
      <c r="N823">
        <f>IF(I823="Rob","Robusta",IF(I823="Exc","Excelsa",IF(I823="Ara","Arabica",IF(I823="Lib","Liberica",""))))</f>
        <v/>
      </c>
      <c r="O823">
        <f>IF(J823="M","Medium",IF(J823="L","Light",IF(J823="D","Dark","")))</f>
        <v/>
      </c>
      <c r="P823">
        <f>_xlfn.XLOOKUP(Orders[[#This Row],[Customer ID]],customers!$A$1:$A$1001,customers!$I$1:$I$1001,,0)</f>
        <v/>
      </c>
    </row>
    <row r="824">
      <c r="A824" s="2" t="inlineStr">
        <is>
          <t>O2581</t>
        </is>
      </c>
      <c r="B824" s="3" t="inlineStr">
        <is>
          <t>2023-01-15</t>
        </is>
      </c>
      <c r="C824" s="2" t="inlineStr">
        <is>
          <t>O1504</t>
        </is>
      </c>
      <c r="D824" t="inlineStr">
        <is>
          <t>O5558</t>
        </is>
      </c>
      <c r="E824" s="2" t="n">
        <v>7</v>
      </c>
      <c r="F824" s="2">
        <f>_xlfn.XLOOKUP(C824,customers!$A$1:$A$1001,customers!$B$1:$B$1001,,0)</f>
        <v/>
      </c>
      <c r="G824" s="2">
        <f>IF(_xlfn.XLOOKUP(C824,customers!$A$1:$A$1001,customers!$C$1:$C$1001,,0)=0,"",_xlfn.XLOOKUP(C824,customers!$A$1:$A$1001,customers!$C$1:$C$1001,,0))</f>
        <v/>
      </c>
      <c r="H824" s="2">
        <f>_xlfn.XLOOKUP(C824,customers!$A$1:$A$1001,customers!$G$1:$G$1001,,0)</f>
        <v/>
      </c>
      <c r="I824">
        <f>INDEX(products!$A$1:$G$49,MATCH(orders!$D824,products!$A$1:$A$49,0),MATCH(orders!I$1,products!$A$1:$G$1,0))</f>
        <v/>
      </c>
      <c r="J824">
        <f>INDEX(products!$A$1:$G$49,MATCH(orders!$D824,products!$A$1:$A$49,0),MATCH(orders!J$1,products!$A$1:$G$1,0))</f>
        <v/>
      </c>
      <c r="K824" s="4">
        <f>INDEX(products!$A$1:$G$49,MATCH(orders!$D824,products!$A$1:$A$49,0),MATCH(orders!K$1,products!$A$1:$G$1,0))</f>
        <v/>
      </c>
      <c r="L824" s="5">
        <f>INDEX(products!$A$1:$G$49,MATCH(orders!$D824,products!$A$1:$A$49,0),MATCH(orders!L$1,products!$A$1:$G$1,0))</f>
        <v/>
      </c>
      <c r="M824" s="5">
        <f>L824*E824</f>
        <v/>
      </c>
      <c r="N824">
        <f>IF(I824="Rob","Robusta",IF(I824="Exc","Excelsa",IF(I824="Ara","Arabica",IF(I824="Lib","Liberica",""))))</f>
        <v/>
      </c>
      <c r="O824">
        <f>IF(J824="M","Medium",IF(J824="L","Light",IF(J824="D","Dark","")))</f>
        <v/>
      </c>
      <c r="P824">
        <f>_xlfn.XLOOKUP(Orders[[#This Row],[Customer ID]],customers!$A$1:$A$1001,customers!$I$1:$I$1001,,0)</f>
        <v/>
      </c>
    </row>
    <row r="825">
      <c r="A825" s="2" t="inlineStr">
        <is>
          <t>O6569</t>
        </is>
      </c>
      <c r="B825" s="3" t="inlineStr">
        <is>
          <t>2024-06-22</t>
        </is>
      </c>
      <c r="C825" s="2" t="inlineStr">
        <is>
          <t>O5655</t>
        </is>
      </c>
      <c r="D825" t="inlineStr">
        <is>
          <t>O1818</t>
        </is>
      </c>
      <c r="E825" s="2" t="n">
        <v>76</v>
      </c>
      <c r="F825" s="2">
        <f>_xlfn.XLOOKUP(C825,customers!$A$1:$A$1001,customers!$B$1:$B$1001,,0)</f>
        <v/>
      </c>
      <c r="G825" s="2">
        <f>IF(_xlfn.XLOOKUP(C825,customers!$A$1:$A$1001,customers!$C$1:$C$1001,,0)=0,"",_xlfn.XLOOKUP(C825,customers!$A$1:$A$1001,customers!$C$1:$C$1001,,0))</f>
        <v/>
      </c>
      <c r="H825" s="2">
        <f>_xlfn.XLOOKUP(C825,customers!$A$1:$A$1001,customers!$G$1:$G$1001,,0)</f>
        <v/>
      </c>
      <c r="I825">
        <f>INDEX(products!$A$1:$G$49,MATCH(orders!$D825,products!$A$1:$A$49,0),MATCH(orders!I$1,products!$A$1:$G$1,0))</f>
        <v/>
      </c>
      <c r="J825">
        <f>INDEX(products!$A$1:$G$49,MATCH(orders!$D825,products!$A$1:$A$49,0),MATCH(orders!J$1,products!$A$1:$G$1,0))</f>
        <v/>
      </c>
      <c r="K825" s="4">
        <f>INDEX(products!$A$1:$G$49,MATCH(orders!$D825,products!$A$1:$A$49,0),MATCH(orders!K$1,products!$A$1:$G$1,0))</f>
        <v/>
      </c>
      <c r="L825" s="5">
        <f>INDEX(products!$A$1:$G$49,MATCH(orders!$D825,products!$A$1:$A$49,0),MATCH(orders!L$1,products!$A$1:$G$1,0))</f>
        <v/>
      </c>
      <c r="M825" s="5">
        <f>L825*E825</f>
        <v/>
      </c>
      <c r="N825">
        <f>IF(I825="Rob","Robusta",IF(I825="Exc","Excelsa",IF(I825="Ara","Arabica",IF(I825="Lib","Liberica",""))))</f>
        <v/>
      </c>
      <c r="O825">
        <f>IF(J825="M","Medium",IF(J825="L","Light",IF(J825="D","Dark","")))</f>
        <v/>
      </c>
      <c r="P825">
        <f>_xlfn.XLOOKUP(Orders[[#This Row],[Customer ID]],customers!$A$1:$A$1001,customers!$I$1:$I$1001,,0)</f>
        <v/>
      </c>
    </row>
    <row r="826">
      <c r="A826" s="2" t="inlineStr">
        <is>
          <t>O4946</t>
        </is>
      </c>
      <c r="B826" s="3" t="inlineStr">
        <is>
          <t>2022-03-04</t>
        </is>
      </c>
      <c r="C826" s="2" t="inlineStr">
        <is>
          <t>O4681</t>
        </is>
      </c>
      <c r="D826" t="inlineStr">
        <is>
          <t>O4514</t>
        </is>
      </c>
      <c r="E826" s="2" t="n">
        <v>468</v>
      </c>
      <c r="F826" s="2">
        <f>_xlfn.XLOOKUP(C826,customers!$A$1:$A$1001,customers!$B$1:$B$1001,,0)</f>
        <v/>
      </c>
      <c r="G826" s="2">
        <f>IF(_xlfn.XLOOKUP(C826,customers!$A$1:$A$1001,customers!$C$1:$C$1001,,0)=0,"",_xlfn.XLOOKUP(C826,customers!$A$1:$A$1001,customers!$C$1:$C$1001,,0))</f>
        <v/>
      </c>
      <c r="H826" s="2">
        <f>_xlfn.XLOOKUP(C826,customers!$A$1:$A$1001,customers!$G$1:$G$1001,,0)</f>
        <v/>
      </c>
      <c r="I826">
        <f>INDEX(products!$A$1:$G$49,MATCH(orders!$D826,products!$A$1:$A$49,0),MATCH(orders!I$1,products!$A$1:$G$1,0))</f>
        <v/>
      </c>
      <c r="J826">
        <f>INDEX(products!$A$1:$G$49,MATCH(orders!$D826,products!$A$1:$A$49,0),MATCH(orders!J$1,products!$A$1:$G$1,0))</f>
        <v/>
      </c>
      <c r="K826" s="4">
        <f>INDEX(products!$A$1:$G$49,MATCH(orders!$D826,products!$A$1:$A$49,0),MATCH(orders!K$1,products!$A$1:$G$1,0))</f>
        <v/>
      </c>
      <c r="L826" s="5">
        <f>INDEX(products!$A$1:$G$49,MATCH(orders!$D826,products!$A$1:$A$49,0),MATCH(orders!L$1,products!$A$1:$G$1,0))</f>
        <v/>
      </c>
      <c r="M826" s="5">
        <f>L826*E826</f>
        <v/>
      </c>
      <c r="N826">
        <f>IF(I826="Rob","Robusta",IF(I826="Exc","Excelsa",IF(I826="Ara","Arabica",IF(I826="Lib","Liberica",""))))</f>
        <v/>
      </c>
      <c r="O826">
        <f>IF(J826="M","Medium",IF(J826="L","Light",IF(J826="D","Dark","")))</f>
        <v/>
      </c>
      <c r="P826">
        <f>_xlfn.XLOOKUP(Orders[[#This Row],[Customer ID]],customers!$A$1:$A$1001,customers!$I$1:$I$1001,,0)</f>
        <v/>
      </c>
    </row>
    <row r="827">
      <c r="A827" s="2" t="inlineStr">
        <is>
          <t>O5479</t>
        </is>
      </c>
      <c r="B827" s="3" t="inlineStr">
        <is>
          <t>2022-08-11</t>
        </is>
      </c>
      <c r="C827" s="2" t="inlineStr">
        <is>
          <t>O4454</t>
        </is>
      </c>
      <c r="D827" t="inlineStr">
        <is>
          <t>O3591</t>
        </is>
      </c>
      <c r="E827" s="2" t="n">
        <v>79</v>
      </c>
      <c r="F827" s="2">
        <f>_xlfn.XLOOKUP(C827,customers!$A$1:$A$1001,customers!$B$1:$B$1001,,0)</f>
        <v/>
      </c>
      <c r="G827" s="2">
        <f>IF(_xlfn.XLOOKUP(C827,customers!$A$1:$A$1001,customers!$C$1:$C$1001,,0)=0,"",_xlfn.XLOOKUP(C827,customers!$A$1:$A$1001,customers!$C$1:$C$1001,,0))</f>
        <v/>
      </c>
      <c r="H827" s="2">
        <f>_xlfn.XLOOKUP(C827,customers!$A$1:$A$1001,customers!$G$1:$G$1001,,0)</f>
        <v/>
      </c>
      <c r="I827">
        <f>INDEX(products!$A$1:$G$49,MATCH(orders!$D827,products!$A$1:$A$49,0),MATCH(orders!I$1,products!$A$1:$G$1,0))</f>
        <v/>
      </c>
      <c r="J827">
        <f>INDEX(products!$A$1:$G$49,MATCH(orders!$D827,products!$A$1:$A$49,0),MATCH(orders!J$1,products!$A$1:$G$1,0))</f>
        <v/>
      </c>
      <c r="K827" s="4">
        <f>INDEX(products!$A$1:$G$49,MATCH(orders!$D827,products!$A$1:$A$49,0),MATCH(orders!K$1,products!$A$1:$G$1,0))</f>
        <v/>
      </c>
      <c r="L827" s="5">
        <f>INDEX(products!$A$1:$G$49,MATCH(orders!$D827,products!$A$1:$A$49,0),MATCH(orders!L$1,products!$A$1:$G$1,0))</f>
        <v/>
      </c>
      <c r="M827" s="5">
        <f>L827*E827</f>
        <v/>
      </c>
      <c r="N827">
        <f>IF(I827="Rob","Robusta",IF(I827="Exc","Excelsa",IF(I827="Ara","Arabica",IF(I827="Lib","Liberica",""))))</f>
        <v/>
      </c>
      <c r="O827">
        <f>IF(J827="M","Medium",IF(J827="L","Light",IF(J827="D","Dark","")))</f>
        <v/>
      </c>
      <c r="P827">
        <f>_xlfn.XLOOKUP(Orders[[#This Row],[Customer ID]],customers!$A$1:$A$1001,customers!$I$1:$I$1001,,0)</f>
        <v/>
      </c>
    </row>
    <row r="828">
      <c r="A828" s="2" t="inlineStr">
        <is>
          <t>O4865</t>
        </is>
      </c>
      <c r="B828" s="3" t="inlineStr">
        <is>
          <t>2025-07-09</t>
        </is>
      </c>
      <c r="C828" s="2" t="inlineStr">
        <is>
          <t>O6343</t>
        </is>
      </c>
      <c r="D828" t="inlineStr">
        <is>
          <t>O3624</t>
        </is>
      </c>
      <c r="E828" s="2" t="n">
        <v>420</v>
      </c>
      <c r="F828" s="2">
        <f>_xlfn.XLOOKUP(C828,customers!$A$1:$A$1001,customers!$B$1:$B$1001,,0)</f>
        <v/>
      </c>
      <c r="G828" s="2">
        <f>IF(_xlfn.XLOOKUP(C828,customers!$A$1:$A$1001,customers!$C$1:$C$1001,,0)=0,"",_xlfn.XLOOKUP(C828,customers!$A$1:$A$1001,customers!$C$1:$C$1001,,0))</f>
        <v/>
      </c>
      <c r="H828" s="2">
        <f>_xlfn.XLOOKUP(C828,customers!$A$1:$A$1001,customers!$G$1:$G$1001,,0)</f>
        <v/>
      </c>
      <c r="I828">
        <f>INDEX(products!$A$1:$G$49,MATCH(orders!$D828,products!$A$1:$A$49,0),MATCH(orders!I$1,products!$A$1:$G$1,0))</f>
        <v/>
      </c>
      <c r="J828">
        <f>INDEX(products!$A$1:$G$49,MATCH(orders!$D828,products!$A$1:$A$49,0),MATCH(orders!J$1,products!$A$1:$G$1,0))</f>
        <v/>
      </c>
      <c r="K828" s="4">
        <f>INDEX(products!$A$1:$G$49,MATCH(orders!$D828,products!$A$1:$A$49,0),MATCH(orders!K$1,products!$A$1:$G$1,0))</f>
        <v/>
      </c>
      <c r="L828" s="5">
        <f>INDEX(products!$A$1:$G$49,MATCH(orders!$D828,products!$A$1:$A$49,0),MATCH(orders!L$1,products!$A$1:$G$1,0))</f>
        <v/>
      </c>
      <c r="M828" s="5">
        <f>L828*E828</f>
        <v/>
      </c>
      <c r="N828">
        <f>IF(I828="Rob","Robusta",IF(I828="Exc","Excelsa",IF(I828="Ara","Arabica",IF(I828="Lib","Liberica",""))))</f>
        <v/>
      </c>
      <c r="O828">
        <f>IF(J828="M","Medium",IF(J828="L","Light",IF(J828="D","Dark","")))</f>
        <v/>
      </c>
      <c r="P828">
        <f>_xlfn.XLOOKUP(Orders[[#This Row],[Customer ID]],customers!$A$1:$A$1001,customers!$I$1:$I$1001,,0)</f>
        <v/>
      </c>
    </row>
    <row r="829">
      <c r="A829" s="2" t="inlineStr">
        <is>
          <t>O2647</t>
        </is>
      </c>
      <c r="B829" s="3" t="inlineStr">
        <is>
          <t>2020-03-16</t>
        </is>
      </c>
      <c r="C829" s="2" t="inlineStr">
        <is>
          <t>O8630</t>
        </is>
      </c>
      <c r="D829" t="inlineStr">
        <is>
          <t>O7661</t>
        </is>
      </c>
      <c r="E829" s="2" t="n">
        <v>454</v>
      </c>
      <c r="F829" s="2">
        <f>_xlfn.XLOOKUP(C829,customers!$A$1:$A$1001,customers!$B$1:$B$1001,,0)</f>
        <v/>
      </c>
      <c r="G829" s="2">
        <f>IF(_xlfn.XLOOKUP(C829,customers!$A$1:$A$1001,customers!$C$1:$C$1001,,0)=0,"",_xlfn.XLOOKUP(C829,customers!$A$1:$A$1001,customers!$C$1:$C$1001,,0))</f>
        <v/>
      </c>
      <c r="H829" s="2">
        <f>_xlfn.XLOOKUP(C829,customers!$A$1:$A$1001,customers!$G$1:$G$1001,,0)</f>
        <v/>
      </c>
      <c r="I829">
        <f>INDEX(products!$A$1:$G$49,MATCH(orders!$D829,products!$A$1:$A$49,0),MATCH(orders!I$1,products!$A$1:$G$1,0))</f>
        <v/>
      </c>
      <c r="J829">
        <f>INDEX(products!$A$1:$G$49,MATCH(orders!$D829,products!$A$1:$A$49,0),MATCH(orders!J$1,products!$A$1:$G$1,0))</f>
        <v/>
      </c>
      <c r="K829" s="4">
        <f>INDEX(products!$A$1:$G$49,MATCH(orders!$D829,products!$A$1:$A$49,0),MATCH(orders!K$1,products!$A$1:$G$1,0))</f>
        <v/>
      </c>
      <c r="L829" s="5">
        <f>INDEX(products!$A$1:$G$49,MATCH(orders!$D829,products!$A$1:$A$49,0),MATCH(orders!L$1,products!$A$1:$G$1,0))</f>
        <v/>
      </c>
      <c r="M829" s="5">
        <f>L829*E829</f>
        <v/>
      </c>
      <c r="N829">
        <f>IF(I829="Rob","Robusta",IF(I829="Exc","Excelsa",IF(I829="Ara","Arabica",IF(I829="Lib","Liberica",""))))</f>
        <v/>
      </c>
      <c r="O829">
        <f>IF(J829="M","Medium",IF(J829="L","Light",IF(J829="D","Dark","")))</f>
        <v/>
      </c>
      <c r="P829">
        <f>_xlfn.XLOOKUP(Orders[[#This Row],[Customer ID]],customers!$A$1:$A$1001,customers!$I$1:$I$1001,,0)</f>
        <v/>
      </c>
    </row>
    <row r="830">
      <c r="A830" s="2" t="inlineStr">
        <is>
          <t>O2474</t>
        </is>
      </c>
      <c r="B830" s="3" t="inlineStr">
        <is>
          <t>2022-06-15</t>
        </is>
      </c>
      <c r="C830" s="2" t="inlineStr">
        <is>
          <t>O5057</t>
        </is>
      </c>
      <c r="D830" t="inlineStr">
        <is>
          <t>O3306</t>
        </is>
      </c>
      <c r="E830" s="2" t="n">
        <v>156</v>
      </c>
      <c r="F830" s="2">
        <f>_xlfn.XLOOKUP(C830,customers!$A$1:$A$1001,customers!$B$1:$B$1001,,0)</f>
        <v/>
      </c>
      <c r="G830" s="2">
        <f>IF(_xlfn.XLOOKUP(C830,customers!$A$1:$A$1001,customers!$C$1:$C$1001,,0)=0,"",_xlfn.XLOOKUP(C830,customers!$A$1:$A$1001,customers!$C$1:$C$1001,,0))</f>
        <v/>
      </c>
      <c r="H830" s="2">
        <f>_xlfn.XLOOKUP(C830,customers!$A$1:$A$1001,customers!$G$1:$G$1001,,0)</f>
        <v/>
      </c>
      <c r="I830">
        <f>INDEX(products!$A$1:$G$49,MATCH(orders!$D830,products!$A$1:$A$49,0),MATCH(orders!I$1,products!$A$1:$G$1,0))</f>
        <v/>
      </c>
      <c r="J830">
        <f>INDEX(products!$A$1:$G$49,MATCH(orders!$D830,products!$A$1:$A$49,0),MATCH(orders!J$1,products!$A$1:$G$1,0))</f>
        <v/>
      </c>
      <c r="K830" s="4">
        <f>INDEX(products!$A$1:$G$49,MATCH(orders!$D830,products!$A$1:$A$49,0),MATCH(orders!K$1,products!$A$1:$G$1,0))</f>
        <v/>
      </c>
      <c r="L830" s="5">
        <f>INDEX(products!$A$1:$G$49,MATCH(orders!$D830,products!$A$1:$A$49,0),MATCH(orders!L$1,products!$A$1:$G$1,0))</f>
        <v/>
      </c>
      <c r="M830" s="5">
        <f>L830*E830</f>
        <v/>
      </c>
      <c r="N830">
        <f>IF(I830="Rob","Robusta",IF(I830="Exc","Excelsa",IF(I830="Ara","Arabica",IF(I830="Lib","Liberica",""))))</f>
        <v/>
      </c>
      <c r="O830">
        <f>IF(J830="M","Medium",IF(J830="L","Light",IF(J830="D","Dark","")))</f>
        <v/>
      </c>
      <c r="P830">
        <f>_xlfn.XLOOKUP(Orders[[#This Row],[Customer ID]],customers!$A$1:$A$1001,customers!$I$1:$I$1001,,0)</f>
        <v/>
      </c>
    </row>
    <row r="831">
      <c r="A831" s="2" t="inlineStr">
        <is>
          <t>O4975</t>
        </is>
      </c>
      <c r="B831" s="3" t="inlineStr">
        <is>
          <t>2020-05-20</t>
        </is>
      </c>
      <c r="C831" s="2" t="inlineStr">
        <is>
          <t>O5046</t>
        </is>
      </c>
      <c r="D831" t="inlineStr">
        <is>
          <t>O4242</t>
        </is>
      </c>
      <c r="E831" s="2" t="n">
        <v>397</v>
      </c>
      <c r="F831" s="2">
        <f>_xlfn.XLOOKUP(C831,customers!$A$1:$A$1001,customers!$B$1:$B$1001,,0)</f>
        <v/>
      </c>
      <c r="G831" s="2">
        <f>IF(_xlfn.XLOOKUP(C831,customers!$A$1:$A$1001,customers!$C$1:$C$1001,,0)=0,"",_xlfn.XLOOKUP(C831,customers!$A$1:$A$1001,customers!$C$1:$C$1001,,0))</f>
        <v/>
      </c>
      <c r="H831" s="2">
        <f>_xlfn.XLOOKUP(C831,customers!$A$1:$A$1001,customers!$G$1:$G$1001,,0)</f>
        <v/>
      </c>
      <c r="I831">
        <f>INDEX(products!$A$1:$G$49,MATCH(orders!$D831,products!$A$1:$A$49,0),MATCH(orders!I$1,products!$A$1:$G$1,0))</f>
        <v/>
      </c>
      <c r="J831">
        <f>INDEX(products!$A$1:$G$49,MATCH(orders!$D831,products!$A$1:$A$49,0),MATCH(orders!J$1,products!$A$1:$G$1,0))</f>
        <v/>
      </c>
      <c r="K831" s="4">
        <f>INDEX(products!$A$1:$G$49,MATCH(orders!$D831,products!$A$1:$A$49,0),MATCH(orders!K$1,products!$A$1:$G$1,0))</f>
        <v/>
      </c>
      <c r="L831" s="5">
        <f>INDEX(products!$A$1:$G$49,MATCH(orders!$D831,products!$A$1:$A$49,0),MATCH(orders!L$1,products!$A$1:$G$1,0))</f>
        <v/>
      </c>
      <c r="M831" s="5">
        <f>L831*E831</f>
        <v/>
      </c>
      <c r="N831">
        <f>IF(I831="Rob","Robusta",IF(I831="Exc","Excelsa",IF(I831="Ara","Arabica",IF(I831="Lib","Liberica",""))))</f>
        <v/>
      </c>
      <c r="O831">
        <f>IF(J831="M","Medium",IF(J831="L","Light",IF(J831="D","Dark","")))</f>
        <v/>
      </c>
      <c r="P831">
        <f>_xlfn.XLOOKUP(Orders[[#This Row],[Customer ID]],customers!$A$1:$A$1001,customers!$I$1:$I$1001,,0)</f>
        <v/>
      </c>
    </row>
    <row r="832">
      <c r="A832" s="2" t="inlineStr">
        <is>
          <t>O5480</t>
        </is>
      </c>
      <c r="B832" s="3" t="inlineStr">
        <is>
          <t>2025-05-06</t>
        </is>
      </c>
      <c r="C832" s="2" t="inlineStr">
        <is>
          <t>O8406</t>
        </is>
      </c>
      <c r="D832" t="inlineStr">
        <is>
          <t>O7806</t>
        </is>
      </c>
      <c r="E832" s="2" t="n">
        <v>162</v>
      </c>
      <c r="F832" s="2">
        <f>_xlfn.XLOOKUP(C832,customers!$A$1:$A$1001,customers!$B$1:$B$1001,,0)</f>
        <v/>
      </c>
      <c r="G832" s="2">
        <f>IF(_xlfn.XLOOKUP(C832,customers!$A$1:$A$1001,customers!$C$1:$C$1001,,0)=0,"",_xlfn.XLOOKUP(C832,customers!$A$1:$A$1001,customers!$C$1:$C$1001,,0))</f>
        <v/>
      </c>
      <c r="H832" s="2">
        <f>_xlfn.XLOOKUP(C832,customers!$A$1:$A$1001,customers!$G$1:$G$1001,,0)</f>
        <v/>
      </c>
      <c r="I832">
        <f>INDEX(products!$A$1:$G$49,MATCH(orders!$D832,products!$A$1:$A$49,0),MATCH(orders!I$1,products!$A$1:$G$1,0))</f>
        <v/>
      </c>
      <c r="J832">
        <f>INDEX(products!$A$1:$G$49,MATCH(orders!$D832,products!$A$1:$A$49,0),MATCH(orders!J$1,products!$A$1:$G$1,0))</f>
        <v/>
      </c>
      <c r="K832" s="4">
        <f>INDEX(products!$A$1:$G$49,MATCH(orders!$D832,products!$A$1:$A$49,0),MATCH(orders!K$1,products!$A$1:$G$1,0))</f>
        <v/>
      </c>
      <c r="L832" s="5">
        <f>INDEX(products!$A$1:$G$49,MATCH(orders!$D832,products!$A$1:$A$49,0),MATCH(orders!L$1,products!$A$1:$G$1,0))</f>
        <v/>
      </c>
      <c r="M832" s="5">
        <f>L832*E832</f>
        <v/>
      </c>
      <c r="N832">
        <f>IF(I832="Rob","Robusta",IF(I832="Exc","Excelsa",IF(I832="Ara","Arabica",IF(I832="Lib","Liberica",""))))</f>
        <v/>
      </c>
      <c r="O832">
        <f>IF(J832="M","Medium",IF(J832="L","Light",IF(J832="D","Dark","")))</f>
        <v/>
      </c>
      <c r="P832">
        <f>_xlfn.XLOOKUP(Orders[[#This Row],[Customer ID]],customers!$A$1:$A$1001,customers!$I$1:$I$1001,,0)</f>
        <v/>
      </c>
    </row>
    <row r="833">
      <c r="A833" s="2" t="inlineStr">
        <is>
          <t>O1940</t>
        </is>
      </c>
      <c r="B833" s="3" t="inlineStr">
        <is>
          <t>2021-11-19</t>
        </is>
      </c>
      <c r="C833" s="2" t="inlineStr">
        <is>
          <t>O1994</t>
        </is>
      </c>
      <c r="D833" t="inlineStr">
        <is>
          <t>O1824</t>
        </is>
      </c>
      <c r="E833" s="2" t="n">
        <v>141</v>
      </c>
      <c r="F833" s="2">
        <f>_xlfn.XLOOKUP(C833,customers!$A$1:$A$1001,customers!$B$1:$B$1001,,0)</f>
        <v/>
      </c>
      <c r="G833" s="2">
        <f>IF(_xlfn.XLOOKUP(C833,customers!$A$1:$A$1001,customers!$C$1:$C$1001,,0)=0,"",_xlfn.XLOOKUP(C833,customers!$A$1:$A$1001,customers!$C$1:$C$1001,,0))</f>
        <v/>
      </c>
      <c r="H833" s="2">
        <f>_xlfn.XLOOKUP(C833,customers!$A$1:$A$1001,customers!$G$1:$G$1001,,0)</f>
        <v/>
      </c>
      <c r="I833">
        <f>INDEX(products!$A$1:$G$49,MATCH(orders!$D833,products!$A$1:$A$49,0),MATCH(orders!I$1,products!$A$1:$G$1,0))</f>
        <v/>
      </c>
      <c r="J833">
        <f>INDEX(products!$A$1:$G$49,MATCH(orders!$D833,products!$A$1:$A$49,0),MATCH(orders!J$1,products!$A$1:$G$1,0))</f>
        <v/>
      </c>
      <c r="K833" s="4">
        <f>INDEX(products!$A$1:$G$49,MATCH(orders!$D833,products!$A$1:$A$49,0),MATCH(orders!K$1,products!$A$1:$G$1,0))</f>
        <v/>
      </c>
      <c r="L833" s="5">
        <f>INDEX(products!$A$1:$G$49,MATCH(orders!$D833,products!$A$1:$A$49,0),MATCH(orders!L$1,products!$A$1:$G$1,0))</f>
        <v/>
      </c>
      <c r="M833" s="5">
        <f>L833*E833</f>
        <v/>
      </c>
      <c r="N833">
        <f>IF(I833="Rob","Robusta",IF(I833="Exc","Excelsa",IF(I833="Ara","Arabica",IF(I833="Lib","Liberica",""))))</f>
        <v/>
      </c>
      <c r="O833">
        <f>IF(J833="M","Medium",IF(J833="L","Light",IF(J833="D","Dark","")))</f>
        <v/>
      </c>
      <c r="P833">
        <f>_xlfn.XLOOKUP(Orders[[#This Row],[Customer ID]],customers!$A$1:$A$1001,customers!$I$1:$I$1001,,0)</f>
        <v/>
      </c>
    </row>
    <row r="834">
      <c r="A834" s="2" t="inlineStr">
        <is>
          <t>O6132</t>
        </is>
      </c>
      <c r="B834" s="3" t="inlineStr">
        <is>
          <t>2020-10-15</t>
        </is>
      </c>
      <c r="C834" s="2" t="inlineStr">
        <is>
          <t>O2179</t>
        </is>
      </c>
      <c r="D834" t="inlineStr">
        <is>
          <t>O4129</t>
        </is>
      </c>
      <c r="E834" s="2" t="n">
        <v>109</v>
      </c>
      <c r="F834" s="2">
        <f>_xlfn.XLOOKUP(C834,customers!$A$1:$A$1001,customers!$B$1:$B$1001,,0)</f>
        <v/>
      </c>
      <c r="G834" s="2">
        <f>IF(_xlfn.XLOOKUP(C834,customers!$A$1:$A$1001,customers!$C$1:$C$1001,,0)=0,"",_xlfn.XLOOKUP(C834,customers!$A$1:$A$1001,customers!$C$1:$C$1001,,0))</f>
        <v/>
      </c>
      <c r="H834" s="2">
        <f>_xlfn.XLOOKUP(C834,customers!$A$1:$A$1001,customers!$G$1:$G$1001,,0)</f>
        <v/>
      </c>
      <c r="I834">
        <f>INDEX(products!$A$1:$G$49,MATCH(orders!$D834,products!$A$1:$A$49,0),MATCH(orders!I$1,products!$A$1:$G$1,0))</f>
        <v/>
      </c>
      <c r="J834">
        <f>INDEX(products!$A$1:$G$49,MATCH(orders!$D834,products!$A$1:$A$49,0),MATCH(orders!J$1,products!$A$1:$G$1,0))</f>
        <v/>
      </c>
      <c r="K834" s="4">
        <f>INDEX(products!$A$1:$G$49,MATCH(orders!$D834,products!$A$1:$A$49,0),MATCH(orders!K$1,products!$A$1:$G$1,0))</f>
        <v/>
      </c>
      <c r="L834" s="5">
        <f>INDEX(products!$A$1:$G$49,MATCH(orders!$D834,products!$A$1:$A$49,0),MATCH(orders!L$1,products!$A$1:$G$1,0))</f>
        <v/>
      </c>
      <c r="M834" s="5">
        <f>L834*E834</f>
        <v/>
      </c>
      <c r="N834">
        <f>IF(I834="Rob","Robusta",IF(I834="Exc","Excelsa",IF(I834="Ara","Arabica",IF(I834="Lib","Liberica",""))))</f>
        <v/>
      </c>
      <c r="O834">
        <f>IF(J834="M","Medium",IF(J834="L","Light",IF(J834="D","Dark","")))</f>
        <v/>
      </c>
      <c r="P834">
        <f>_xlfn.XLOOKUP(Orders[[#This Row],[Customer ID]],customers!$A$1:$A$1001,customers!$I$1:$I$1001,,0)</f>
        <v/>
      </c>
    </row>
    <row r="835">
      <c r="A835" s="2" t="inlineStr">
        <is>
          <t>O5257</t>
        </is>
      </c>
      <c r="B835" s="3" t="inlineStr">
        <is>
          <t>2020-08-12</t>
        </is>
      </c>
      <c r="C835" s="2" t="inlineStr">
        <is>
          <t>O9688</t>
        </is>
      </c>
      <c r="D835" t="inlineStr">
        <is>
          <t>O3569</t>
        </is>
      </c>
      <c r="E835" s="2" t="n">
        <v>17</v>
      </c>
      <c r="F835" s="2">
        <f>_xlfn.XLOOKUP(C835,customers!$A$1:$A$1001,customers!$B$1:$B$1001,,0)</f>
        <v/>
      </c>
      <c r="G835" s="2">
        <f>IF(_xlfn.XLOOKUP(C835,customers!$A$1:$A$1001,customers!$C$1:$C$1001,,0)=0,"",_xlfn.XLOOKUP(C835,customers!$A$1:$A$1001,customers!$C$1:$C$1001,,0))</f>
        <v/>
      </c>
      <c r="H835" s="2">
        <f>_xlfn.XLOOKUP(C835,customers!$A$1:$A$1001,customers!$G$1:$G$1001,,0)</f>
        <v/>
      </c>
      <c r="I835">
        <f>INDEX(products!$A$1:$G$49,MATCH(orders!$D835,products!$A$1:$A$49,0),MATCH(orders!I$1,products!$A$1:$G$1,0))</f>
        <v/>
      </c>
      <c r="J835">
        <f>INDEX(products!$A$1:$G$49,MATCH(orders!$D835,products!$A$1:$A$49,0),MATCH(orders!J$1,products!$A$1:$G$1,0))</f>
        <v/>
      </c>
      <c r="K835" s="4">
        <f>INDEX(products!$A$1:$G$49,MATCH(orders!$D835,products!$A$1:$A$49,0),MATCH(orders!K$1,products!$A$1:$G$1,0))</f>
        <v/>
      </c>
      <c r="L835" s="5">
        <f>INDEX(products!$A$1:$G$49,MATCH(orders!$D835,products!$A$1:$A$49,0),MATCH(orders!L$1,products!$A$1:$G$1,0))</f>
        <v/>
      </c>
      <c r="M835" s="5">
        <f>L835*E835</f>
        <v/>
      </c>
      <c r="N835">
        <f>IF(I835="Rob","Robusta",IF(I835="Exc","Excelsa",IF(I835="Ara","Arabica",IF(I835="Lib","Liberica",""))))</f>
        <v/>
      </c>
      <c r="O835">
        <f>IF(J835="M","Medium",IF(J835="L","Light",IF(J835="D","Dark","")))</f>
        <v/>
      </c>
      <c r="P835">
        <f>_xlfn.XLOOKUP(Orders[[#This Row],[Customer ID]],customers!$A$1:$A$1001,customers!$I$1:$I$1001,,0)</f>
        <v/>
      </c>
    </row>
    <row r="836">
      <c r="A836" s="2" t="inlineStr">
        <is>
          <t>O5958</t>
        </is>
      </c>
      <c r="B836" s="3" t="inlineStr">
        <is>
          <t>2024-01-28</t>
        </is>
      </c>
      <c r="C836" s="2" t="inlineStr">
        <is>
          <t>O2483</t>
        </is>
      </c>
      <c r="D836" t="inlineStr">
        <is>
          <t>O2225</t>
        </is>
      </c>
      <c r="E836" s="2" t="n">
        <v>117</v>
      </c>
      <c r="F836" s="2">
        <f>_xlfn.XLOOKUP(C836,customers!$A$1:$A$1001,customers!$B$1:$B$1001,,0)</f>
        <v/>
      </c>
      <c r="G836" s="2">
        <f>IF(_xlfn.XLOOKUP(C836,customers!$A$1:$A$1001,customers!$C$1:$C$1001,,0)=0,"",_xlfn.XLOOKUP(C836,customers!$A$1:$A$1001,customers!$C$1:$C$1001,,0))</f>
        <v/>
      </c>
      <c r="H836" s="2">
        <f>_xlfn.XLOOKUP(C836,customers!$A$1:$A$1001,customers!$G$1:$G$1001,,0)</f>
        <v/>
      </c>
      <c r="I836">
        <f>INDEX(products!$A$1:$G$49,MATCH(orders!$D836,products!$A$1:$A$49,0),MATCH(orders!I$1,products!$A$1:$G$1,0))</f>
        <v/>
      </c>
      <c r="J836">
        <f>INDEX(products!$A$1:$G$49,MATCH(orders!$D836,products!$A$1:$A$49,0),MATCH(orders!J$1,products!$A$1:$G$1,0))</f>
        <v/>
      </c>
      <c r="K836" s="4">
        <f>INDEX(products!$A$1:$G$49,MATCH(orders!$D836,products!$A$1:$A$49,0),MATCH(orders!K$1,products!$A$1:$G$1,0))</f>
        <v/>
      </c>
      <c r="L836" s="5">
        <f>INDEX(products!$A$1:$G$49,MATCH(orders!$D836,products!$A$1:$A$49,0),MATCH(orders!L$1,products!$A$1:$G$1,0))</f>
        <v/>
      </c>
      <c r="M836" s="5">
        <f>L836*E836</f>
        <v/>
      </c>
      <c r="N836">
        <f>IF(I836="Rob","Robusta",IF(I836="Exc","Excelsa",IF(I836="Ara","Arabica",IF(I836="Lib","Liberica",""))))</f>
        <v/>
      </c>
      <c r="O836">
        <f>IF(J836="M","Medium",IF(J836="L","Light",IF(J836="D","Dark","")))</f>
        <v/>
      </c>
      <c r="P836">
        <f>_xlfn.XLOOKUP(Orders[[#This Row],[Customer ID]],customers!$A$1:$A$1001,customers!$I$1:$I$1001,,0)</f>
        <v/>
      </c>
    </row>
    <row r="837">
      <c r="A837" s="2" t="inlineStr">
        <is>
          <t>O1428</t>
        </is>
      </c>
      <c r="B837" s="3" t="inlineStr">
        <is>
          <t>2023-04-16</t>
        </is>
      </c>
      <c r="C837" s="2" t="inlineStr">
        <is>
          <t>O6713</t>
        </is>
      </c>
      <c r="D837" t="inlineStr">
        <is>
          <t>O3652</t>
        </is>
      </c>
      <c r="E837" s="2" t="n">
        <v>8</v>
      </c>
      <c r="F837" s="2">
        <f>_xlfn.XLOOKUP(C837,customers!$A$1:$A$1001,customers!$B$1:$B$1001,,0)</f>
        <v/>
      </c>
      <c r="G837" s="2">
        <f>IF(_xlfn.XLOOKUP(C837,customers!$A$1:$A$1001,customers!$C$1:$C$1001,,0)=0,"",_xlfn.XLOOKUP(C837,customers!$A$1:$A$1001,customers!$C$1:$C$1001,,0))</f>
        <v/>
      </c>
      <c r="H837" s="2">
        <f>_xlfn.XLOOKUP(C837,customers!$A$1:$A$1001,customers!$G$1:$G$1001,,0)</f>
        <v/>
      </c>
      <c r="I837">
        <f>INDEX(products!$A$1:$G$49,MATCH(orders!$D837,products!$A$1:$A$49,0),MATCH(orders!I$1,products!$A$1:$G$1,0))</f>
        <v/>
      </c>
      <c r="J837">
        <f>INDEX(products!$A$1:$G$49,MATCH(orders!$D837,products!$A$1:$A$49,0),MATCH(orders!J$1,products!$A$1:$G$1,0))</f>
        <v/>
      </c>
      <c r="K837" s="4">
        <f>INDEX(products!$A$1:$G$49,MATCH(orders!$D837,products!$A$1:$A$49,0),MATCH(orders!K$1,products!$A$1:$G$1,0))</f>
        <v/>
      </c>
      <c r="L837" s="5">
        <f>INDEX(products!$A$1:$G$49,MATCH(orders!$D837,products!$A$1:$A$49,0),MATCH(orders!L$1,products!$A$1:$G$1,0))</f>
        <v/>
      </c>
      <c r="M837" s="5">
        <f>L837*E837</f>
        <v/>
      </c>
      <c r="N837">
        <f>IF(I837="Rob","Robusta",IF(I837="Exc","Excelsa",IF(I837="Ara","Arabica",IF(I837="Lib","Liberica",""))))</f>
        <v/>
      </c>
      <c r="O837">
        <f>IF(J837="M","Medium",IF(J837="L","Light",IF(J837="D","Dark","")))</f>
        <v/>
      </c>
      <c r="P837">
        <f>_xlfn.XLOOKUP(Orders[[#This Row],[Customer ID]],customers!$A$1:$A$1001,customers!$I$1:$I$1001,,0)</f>
        <v/>
      </c>
    </row>
    <row r="838">
      <c r="A838" s="2" t="inlineStr">
        <is>
          <t>O9612</t>
        </is>
      </c>
      <c r="B838" s="3" t="inlineStr">
        <is>
          <t>2024-03-03</t>
        </is>
      </c>
      <c r="C838" s="2" t="inlineStr">
        <is>
          <t>O2715</t>
        </is>
      </c>
      <c r="D838" t="inlineStr">
        <is>
          <t>O4401</t>
        </is>
      </c>
      <c r="E838" s="2" t="n">
        <v>129</v>
      </c>
      <c r="F838" s="2">
        <f>_xlfn.XLOOKUP(C838,customers!$A$1:$A$1001,customers!$B$1:$B$1001,,0)</f>
        <v/>
      </c>
      <c r="G838" s="2">
        <f>IF(_xlfn.XLOOKUP(C838,customers!$A$1:$A$1001,customers!$C$1:$C$1001,,0)=0,"",_xlfn.XLOOKUP(C838,customers!$A$1:$A$1001,customers!$C$1:$C$1001,,0))</f>
        <v/>
      </c>
      <c r="H838" s="2">
        <f>_xlfn.XLOOKUP(C838,customers!$A$1:$A$1001,customers!$G$1:$G$1001,,0)</f>
        <v/>
      </c>
      <c r="I838">
        <f>INDEX(products!$A$1:$G$49,MATCH(orders!$D838,products!$A$1:$A$49,0),MATCH(orders!I$1,products!$A$1:$G$1,0))</f>
        <v/>
      </c>
      <c r="J838">
        <f>INDEX(products!$A$1:$G$49,MATCH(orders!$D838,products!$A$1:$A$49,0),MATCH(orders!J$1,products!$A$1:$G$1,0))</f>
        <v/>
      </c>
      <c r="K838" s="4">
        <f>INDEX(products!$A$1:$G$49,MATCH(orders!$D838,products!$A$1:$A$49,0),MATCH(orders!K$1,products!$A$1:$G$1,0))</f>
        <v/>
      </c>
      <c r="L838" s="5">
        <f>INDEX(products!$A$1:$G$49,MATCH(orders!$D838,products!$A$1:$A$49,0),MATCH(orders!L$1,products!$A$1:$G$1,0))</f>
        <v/>
      </c>
      <c r="M838" s="5">
        <f>L838*E838</f>
        <v/>
      </c>
      <c r="N838">
        <f>IF(I838="Rob","Robusta",IF(I838="Exc","Excelsa",IF(I838="Ara","Arabica",IF(I838="Lib","Liberica",""))))</f>
        <v/>
      </c>
      <c r="O838">
        <f>IF(J838="M","Medium",IF(J838="L","Light",IF(J838="D","Dark","")))</f>
        <v/>
      </c>
      <c r="P838">
        <f>_xlfn.XLOOKUP(Orders[[#This Row],[Customer ID]],customers!$A$1:$A$1001,customers!$I$1:$I$1001,,0)</f>
        <v/>
      </c>
    </row>
    <row r="839">
      <c r="A839" s="2" t="inlineStr">
        <is>
          <t>O3745</t>
        </is>
      </c>
      <c r="B839" s="3" t="inlineStr">
        <is>
          <t>2023-01-10</t>
        </is>
      </c>
      <c r="C839" s="2" t="inlineStr">
        <is>
          <t>O6564</t>
        </is>
      </c>
      <c r="D839" t="inlineStr">
        <is>
          <t>O5908</t>
        </is>
      </c>
      <c r="E839" s="2" t="n">
        <v>167</v>
      </c>
      <c r="F839" s="2">
        <f>_xlfn.XLOOKUP(C839,customers!$A$1:$A$1001,customers!$B$1:$B$1001,,0)</f>
        <v/>
      </c>
      <c r="G839" s="2">
        <f>IF(_xlfn.XLOOKUP(C839,customers!$A$1:$A$1001,customers!$C$1:$C$1001,,0)=0,"",_xlfn.XLOOKUP(C839,customers!$A$1:$A$1001,customers!$C$1:$C$1001,,0))</f>
        <v/>
      </c>
      <c r="H839" s="2">
        <f>_xlfn.XLOOKUP(C839,customers!$A$1:$A$1001,customers!$G$1:$G$1001,,0)</f>
        <v/>
      </c>
      <c r="I839">
        <f>INDEX(products!$A$1:$G$49,MATCH(orders!$D839,products!$A$1:$A$49,0),MATCH(orders!I$1,products!$A$1:$G$1,0))</f>
        <v/>
      </c>
      <c r="J839">
        <f>INDEX(products!$A$1:$G$49,MATCH(orders!$D839,products!$A$1:$A$49,0),MATCH(orders!J$1,products!$A$1:$G$1,0))</f>
        <v/>
      </c>
      <c r="K839" s="4">
        <f>INDEX(products!$A$1:$G$49,MATCH(orders!$D839,products!$A$1:$A$49,0),MATCH(orders!K$1,products!$A$1:$G$1,0))</f>
        <v/>
      </c>
      <c r="L839" s="5">
        <f>INDEX(products!$A$1:$G$49,MATCH(orders!$D839,products!$A$1:$A$49,0),MATCH(orders!L$1,products!$A$1:$G$1,0))</f>
        <v/>
      </c>
      <c r="M839" s="5">
        <f>L839*E839</f>
        <v/>
      </c>
      <c r="N839">
        <f>IF(I839="Rob","Robusta",IF(I839="Exc","Excelsa",IF(I839="Ara","Arabica",IF(I839="Lib","Liberica",""))))</f>
        <v/>
      </c>
      <c r="O839">
        <f>IF(J839="M","Medium",IF(J839="L","Light",IF(J839="D","Dark","")))</f>
        <v/>
      </c>
      <c r="P839">
        <f>_xlfn.XLOOKUP(Orders[[#This Row],[Customer ID]],customers!$A$1:$A$1001,customers!$I$1:$I$1001,,0)</f>
        <v/>
      </c>
    </row>
    <row r="840">
      <c r="A840" s="2" t="inlineStr">
        <is>
          <t>O2960</t>
        </is>
      </c>
      <c r="B840" s="3" t="inlineStr">
        <is>
          <t>2022-09-07</t>
        </is>
      </c>
      <c r="C840" s="2" t="inlineStr">
        <is>
          <t>O3620</t>
        </is>
      </c>
      <c r="D840" t="inlineStr">
        <is>
          <t>O6041</t>
        </is>
      </c>
      <c r="E840" s="2" t="n">
        <v>385</v>
      </c>
      <c r="F840" s="2">
        <f>_xlfn.XLOOKUP(C840,customers!$A$1:$A$1001,customers!$B$1:$B$1001,,0)</f>
        <v/>
      </c>
      <c r="G840" s="2">
        <f>IF(_xlfn.XLOOKUP(C840,customers!$A$1:$A$1001,customers!$C$1:$C$1001,,0)=0,"",_xlfn.XLOOKUP(C840,customers!$A$1:$A$1001,customers!$C$1:$C$1001,,0))</f>
        <v/>
      </c>
      <c r="H840" s="2">
        <f>_xlfn.XLOOKUP(C840,customers!$A$1:$A$1001,customers!$G$1:$G$1001,,0)</f>
        <v/>
      </c>
      <c r="I840">
        <f>INDEX(products!$A$1:$G$49,MATCH(orders!$D840,products!$A$1:$A$49,0),MATCH(orders!I$1,products!$A$1:$G$1,0))</f>
        <v/>
      </c>
      <c r="J840">
        <f>INDEX(products!$A$1:$G$49,MATCH(orders!$D840,products!$A$1:$A$49,0),MATCH(orders!J$1,products!$A$1:$G$1,0))</f>
        <v/>
      </c>
      <c r="K840" s="4">
        <f>INDEX(products!$A$1:$G$49,MATCH(orders!$D840,products!$A$1:$A$49,0),MATCH(orders!K$1,products!$A$1:$G$1,0))</f>
        <v/>
      </c>
      <c r="L840" s="5">
        <f>INDEX(products!$A$1:$G$49,MATCH(orders!$D840,products!$A$1:$A$49,0),MATCH(orders!L$1,products!$A$1:$G$1,0))</f>
        <v/>
      </c>
      <c r="M840" s="5">
        <f>L840*E840</f>
        <v/>
      </c>
      <c r="N840">
        <f>IF(I840="Rob","Robusta",IF(I840="Exc","Excelsa",IF(I840="Ara","Arabica",IF(I840="Lib","Liberica",""))))</f>
        <v/>
      </c>
      <c r="O840">
        <f>IF(J840="M","Medium",IF(J840="L","Light",IF(J840="D","Dark","")))</f>
        <v/>
      </c>
      <c r="P840">
        <f>_xlfn.XLOOKUP(Orders[[#This Row],[Customer ID]],customers!$A$1:$A$1001,customers!$I$1:$I$1001,,0)</f>
        <v/>
      </c>
    </row>
    <row r="841">
      <c r="A841" s="2" t="inlineStr">
        <is>
          <t>O3598</t>
        </is>
      </c>
      <c r="B841" s="3" t="inlineStr">
        <is>
          <t>2024-12-10</t>
        </is>
      </c>
      <c r="C841" s="2" t="inlineStr">
        <is>
          <t>O3007</t>
        </is>
      </c>
      <c r="D841" t="inlineStr">
        <is>
          <t>O3345</t>
        </is>
      </c>
      <c r="E841" s="2" t="n">
        <v>462</v>
      </c>
      <c r="F841" s="2">
        <f>_xlfn.XLOOKUP(C841,customers!$A$1:$A$1001,customers!$B$1:$B$1001,,0)</f>
        <v/>
      </c>
      <c r="G841" s="2">
        <f>IF(_xlfn.XLOOKUP(C841,customers!$A$1:$A$1001,customers!$C$1:$C$1001,,0)=0,"",_xlfn.XLOOKUP(C841,customers!$A$1:$A$1001,customers!$C$1:$C$1001,,0))</f>
        <v/>
      </c>
      <c r="H841" s="2">
        <f>_xlfn.XLOOKUP(C841,customers!$A$1:$A$1001,customers!$G$1:$G$1001,,0)</f>
        <v/>
      </c>
      <c r="I841">
        <f>INDEX(products!$A$1:$G$49,MATCH(orders!$D841,products!$A$1:$A$49,0),MATCH(orders!I$1,products!$A$1:$G$1,0))</f>
        <v/>
      </c>
      <c r="J841">
        <f>INDEX(products!$A$1:$G$49,MATCH(orders!$D841,products!$A$1:$A$49,0),MATCH(orders!J$1,products!$A$1:$G$1,0))</f>
        <v/>
      </c>
      <c r="K841" s="4">
        <f>INDEX(products!$A$1:$G$49,MATCH(orders!$D841,products!$A$1:$A$49,0),MATCH(orders!K$1,products!$A$1:$G$1,0))</f>
        <v/>
      </c>
      <c r="L841" s="5">
        <f>INDEX(products!$A$1:$G$49,MATCH(orders!$D841,products!$A$1:$A$49,0),MATCH(orders!L$1,products!$A$1:$G$1,0))</f>
        <v/>
      </c>
      <c r="M841" s="5">
        <f>L841*E841</f>
        <v/>
      </c>
      <c r="N841">
        <f>IF(I841="Rob","Robusta",IF(I841="Exc","Excelsa",IF(I841="Ara","Arabica",IF(I841="Lib","Liberica",""))))</f>
        <v/>
      </c>
      <c r="O841">
        <f>IF(J841="M","Medium",IF(J841="L","Light",IF(J841="D","Dark","")))</f>
        <v/>
      </c>
      <c r="P841">
        <f>_xlfn.XLOOKUP(Orders[[#This Row],[Customer ID]],customers!$A$1:$A$1001,customers!$I$1:$I$1001,,0)</f>
        <v/>
      </c>
    </row>
    <row r="842">
      <c r="A842" s="2" t="inlineStr">
        <is>
          <t>O7388</t>
        </is>
      </c>
      <c r="B842" s="3" t="inlineStr">
        <is>
          <t>2025-04-09</t>
        </is>
      </c>
      <c r="C842" s="2" t="inlineStr">
        <is>
          <t>O8603</t>
        </is>
      </c>
      <c r="D842" t="inlineStr">
        <is>
          <t>O8270</t>
        </is>
      </c>
      <c r="E842" s="2" t="n">
        <v>465</v>
      </c>
      <c r="F842" s="2">
        <f>_xlfn.XLOOKUP(C842,customers!$A$1:$A$1001,customers!$B$1:$B$1001,,0)</f>
        <v/>
      </c>
      <c r="G842" s="2">
        <f>IF(_xlfn.XLOOKUP(C842,customers!$A$1:$A$1001,customers!$C$1:$C$1001,,0)=0,"",_xlfn.XLOOKUP(C842,customers!$A$1:$A$1001,customers!$C$1:$C$1001,,0))</f>
        <v/>
      </c>
      <c r="H842" s="2">
        <f>_xlfn.XLOOKUP(C842,customers!$A$1:$A$1001,customers!$G$1:$G$1001,,0)</f>
        <v/>
      </c>
      <c r="I842">
        <f>INDEX(products!$A$1:$G$49,MATCH(orders!$D842,products!$A$1:$A$49,0),MATCH(orders!I$1,products!$A$1:$G$1,0))</f>
        <v/>
      </c>
      <c r="J842">
        <f>INDEX(products!$A$1:$G$49,MATCH(orders!$D842,products!$A$1:$A$49,0),MATCH(orders!J$1,products!$A$1:$G$1,0))</f>
        <v/>
      </c>
      <c r="K842" s="4">
        <f>INDEX(products!$A$1:$G$49,MATCH(orders!$D842,products!$A$1:$A$49,0),MATCH(orders!K$1,products!$A$1:$G$1,0))</f>
        <v/>
      </c>
      <c r="L842" s="5">
        <f>INDEX(products!$A$1:$G$49,MATCH(orders!$D842,products!$A$1:$A$49,0),MATCH(orders!L$1,products!$A$1:$G$1,0))</f>
        <v/>
      </c>
      <c r="M842" s="5">
        <f>L842*E842</f>
        <v/>
      </c>
      <c r="N842">
        <f>IF(I842="Rob","Robusta",IF(I842="Exc","Excelsa",IF(I842="Ara","Arabica",IF(I842="Lib","Liberica",""))))</f>
        <v/>
      </c>
      <c r="O842">
        <f>IF(J842="M","Medium",IF(J842="L","Light",IF(J842="D","Dark","")))</f>
        <v/>
      </c>
      <c r="P842">
        <f>_xlfn.XLOOKUP(Orders[[#This Row],[Customer ID]],customers!$A$1:$A$1001,customers!$I$1:$I$1001,,0)</f>
        <v/>
      </c>
    </row>
    <row r="843">
      <c r="A843" s="2" t="inlineStr">
        <is>
          <t>O1232</t>
        </is>
      </c>
      <c r="B843" s="3" t="inlineStr">
        <is>
          <t>2024-09-25</t>
        </is>
      </c>
      <c r="C843" s="2" t="inlineStr">
        <is>
          <t>O6482</t>
        </is>
      </c>
      <c r="D843" t="inlineStr">
        <is>
          <t>O4773</t>
        </is>
      </c>
      <c r="E843" s="2" t="n">
        <v>452</v>
      </c>
      <c r="F843" s="2">
        <f>_xlfn.XLOOKUP(C843,customers!$A$1:$A$1001,customers!$B$1:$B$1001,,0)</f>
        <v/>
      </c>
      <c r="G843" s="2">
        <f>IF(_xlfn.XLOOKUP(C843,customers!$A$1:$A$1001,customers!$C$1:$C$1001,,0)=0,"",_xlfn.XLOOKUP(C843,customers!$A$1:$A$1001,customers!$C$1:$C$1001,,0))</f>
        <v/>
      </c>
      <c r="H843" s="2">
        <f>_xlfn.XLOOKUP(C843,customers!$A$1:$A$1001,customers!$G$1:$G$1001,,0)</f>
        <v/>
      </c>
      <c r="I843">
        <f>INDEX(products!$A$1:$G$49,MATCH(orders!$D843,products!$A$1:$A$49,0),MATCH(orders!I$1,products!$A$1:$G$1,0))</f>
        <v/>
      </c>
      <c r="J843">
        <f>INDEX(products!$A$1:$G$49,MATCH(orders!$D843,products!$A$1:$A$49,0),MATCH(orders!J$1,products!$A$1:$G$1,0))</f>
        <v/>
      </c>
      <c r="K843" s="4">
        <f>INDEX(products!$A$1:$G$49,MATCH(orders!$D843,products!$A$1:$A$49,0),MATCH(orders!K$1,products!$A$1:$G$1,0))</f>
        <v/>
      </c>
      <c r="L843" s="5">
        <f>INDEX(products!$A$1:$G$49,MATCH(orders!$D843,products!$A$1:$A$49,0),MATCH(orders!L$1,products!$A$1:$G$1,0))</f>
        <v/>
      </c>
      <c r="M843" s="5">
        <f>L843*E843</f>
        <v/>
      </c>
      <c r="N843">
        <f>IF(I843="Rob","Robusta",IF(I843="Exc","Excelsa",IF(I843="Ara","Arabica",IF(I843="Lib","Liberica",""))))</f>
        <v/>
      </c>
      <c r="O843">
        <f>IF(J843="M","Medium",IF(J843="L","Light",IF(J843="D","Dark","")))</f>
        <v/>
      </c>
      <c r="P843">
        <f>_xlfn.XLOOKUP(Orders[[#This Row],[Customer ID]],customers!$A$1:$A$1001,customers!$I$1:$I$1001,,0)</f>
        <v/>
      </c>
    </row>
    <row r="844">
      <c r="A844" s="2" t="inlineStr">
        <is>
          <t>O8910</t>
        </is>
      </c>
      <c r="B844" s="3" t="inlineStr">
        <is>
          <t>2022-07-14</t>
        </is>
      </c>
      <c r="C844" s="2" t="inlineStr">
        <is>
          <t>O2303</t>
        </is>
      </c>
      <c r="D844" t="inlineStr">
        <is>
          <t>O9231</t>
        </is>
      </c>
      <c r="E844" s="2" t="n">
        <v>329</v>
      </c>
      <c r="F844" s="2">
        <f>_xlfn.XLOOKUP(C844,customers!$A$1:$A$1001,customers!$B$1:$B$1001,,0)</f>
        <v/>
      </c>
      <c r="G844" s="2">
        <f>IF(_xlfn.XLOOKUP(C844,customers!$A$1:$A$1001,customers!$C$1:$C$1001,,0)=0,"",_xlfn.XLOOKUP(C844,customers!$A$1:$A$1001,customers!$C$1:$C$1001,,0))</f>
        <v/>
      </c>
      <c r="H844" s="2">
        <f>_xlfn.XLOOKUP(C844,customers!$A$1:$A$1001,customers!$G$1:$G$1001,,0)</f>
        <v/>
      </c>
      <c r="I844">
        <f>INDEX(products!$A$1:$G$49,MATCH(orders!$D844,products!$A$1:$A$49,0),MATCH(orders!I$1,products!$A$1:$G$1,0))</f>
        <v/>
      </c>
      <c r="J844">
        <f>INDEX(products!$A$1:$G$49,MATCH(orders!$D844,products!$A$1:$A$49,0),MATCH(orders!J$1,products!$A$1:$G$1,0))</f>
        <v/>
      </c>
      <c r="K844" s="4">
        <f>INDEX(products!$A$1:$G$49,MATCH(orders!$D844,products!$A$1:$A$49,0),MATCH(orders!K$1,products!$A$1:$G$1,0))</f>
        <v/>
      </c>
      <c r="L844" s="5">
        <f>INDEX(products!$A$1:$G$49,MATCH(orders!$D844,products!$A$1:$A$49,0),MATCH(orders!L$1,products!$A$1:$G$1,0))</f>
        <v/>
      </c>
      <c r="M844" s="5">
        <f>L844*E844</f>
        <v/>
      </c>
      <c r="N844">
        <f>IF(I844="Rob","Robusta",IF(I844="Exc","Excelsa",IF(I844="Ara","Arabica",IF(I844="Lib","Liberica",""))))</f>
        <v/>
      </c>
      <c r="O844">
        <f>IF(J844="M","Medium",IF(J844="L","Light",IF(J844="D","Dark","")))</f>
        <v/>
      </c>
      <c r="P844">
        <f>_xlfn.XLOOKUP(Orders[[#This Row],[Customer ID]],customers!$A$1:$A$1001,customers!$I$1:$I$1001,,0)</f>
        <v/>
      </c>
    </row>
    <row r="845">
      <c r="A845" s="2" t="inlineStr">
        <is>
          <t>O6927</t>
        </is>
      </c>
      <c r="B845" s="3" t="inlineStr">
        <is>
          <t>2024-11-11</t>
        </is>
      </c>
      <c r="C845" s="2" t="inlineStr">
        <is>
          <t>O6614</t>
        </is>
      </c>
      <c r="D845" t="inlineStr">
        <is>
          <t>O7852</t>
        </is>
      </c>
      <c r="E845" s="2" t="n">
        <v>465</v>
      </c>
      <c r="F845" s="2">
        <f>_xlfn.XLOOKUP(C845,customers!$A$1:$A$1001,customers!$B$1:$B$1001,,0)</f>
        <v/>
      </c>
      <c r="G845" s="2">
        <f>IF(_xlfn.XLOOKUP(C845,customers!$A$1:$A$1001,customers!$C$1:$C$1001,,0)=0,"",_xlfn.XLOOKUP(C845,customers!$A$1:$A$1001,customers!$C$1:$C$1001,,0))</f>
        <v/>
      </c>
      <c r="H845" s="2">
        <f>_xlfn.XLOOKUP(C845,customers!$A$1:$A$1001,customers!$G$1:$G$1001,,0)</f>
        <v/>
      </c>
      <c r="I845">
        <f>INDEX(products!$A$1:$G$49,MATCH(orders!$D845,products!$A$1:$A$49,0),MATCH(orders!I$1,products!$A$1:$G$1,0))</f>
        <v/>
      </c>
      <c r="J845">
        <f>INDEX(products!$A$1:$G$49,MATCH(orders!$D845,products!$A$1:$A$49,0),MATCH(orders!J$1,products!$A$1:$G$1,0))</f>
        <v/>
      </c>
      <c r="K845" s="4">
        <f>INDEX(products!$A$1:$G$49,MATCH(orders!$D845,products!$A$1:$A$49,0),MATCH(orders!K$1,products!$A$1:$G$1,0))</f>
        <v/>
      </c>
      <c r="L845" s="5">
        <f>INDEX(products!$A$1:$G$49,MATCH(orders!$D845,products!$A$1:$A$49,0),MATCH(orders!L$1,products!$A$1:$G$1,0))</f>
        <v/>
      </c>
      <c r="M845" s="5">
        <f>L845*E845</f>
        <v/>
      </c>
      <c r="N845">
        <f>IF(I845="Rob","Robusta",IF(I845="Exc","Excelsa",IF(I845="Ara","Arabica",IF(I845="Lib","Liberica",""))))</f>
        <v/>
      </c>
      <c r="O845">
        <f>IF(J845="M","Medium",IF(J845="L","Light",IF(J845="D","Dark","")))</f>
        <v/>
      </c>
      <c r="P845">
        <f>_xlfn.XLOOKUP(Orders[[#This Row],[Customer ID]],customers!$A$1:$A$1001,customers!$I$1:$I$1001,,0)</f>
        <v/>
      </c>
    </row>
    <row r="846">
      <c r="A846" s="2" t="inlineStr">
        <is>
          <t>O4084</t>
        </is>
      </c>
      <c r="B846" s="3" t="inlineStr">
        <is>
          <t>2022-11-10</t>
        </is>
      </c>
      <c r="C846" s="2" t="inlineStr">
        <is>
          <t>O1743</t>
        </is>
      </c>
      <c r="D846" t="inlineStr">
        <is>
          <t>O2139</t>
        </is>
      </c>
      <c r="E846" s="2" t="n">
        <v>296</v>
      </c>
      <c r="F846" s="2">
        <f>_xlfn.XLOOKUP(C846,customers!$A$1:$A$1001,customers!$B$1:$B$1001,,0)</f>
        <v/>
      </c>
      <c r="G846" s="2">
        <f>IF(_xlfn.XLOOKUP(C846,customers!$A$1:$A$1001,customers!$C$1:$C$1001,,0)=0,"",_xlfn.XLOOKUP(C846,customers!$A$1:$A$1001,customers!$C$1:$C$1001,,0))</f>
        <v/>
      </c>
      <c r="H846" s="2">
        <f>_xlfn.XLOOKUP(C846,customers!$A$1:$A$1001,customers!$G$1:$G$1001,,0)</f>
        <v/>
      </c>
      <c r="I846">
        <f>INDEX(products!$A$1:$G$49,MATCH(orders!$D846,products!$A$1:$A$49,0),MATCH(orders!I$1,products!$A$1:$G$1,0))</f>
        <v/>
      </c>
      <c r="J846">
        <f>INDEX(products!$A$1:$G$49,MATCH(orders!$D846,products!$A$1:$A$49,0),MATCH(orders!J$1,products!$A$1:$G$1,0))</f>
        <v/>
      </c>
      <c r="K846" s="4">
        <f>INDEX(products!$A$1:$G$49,MATCH(orders!$D846,products!$A$1:$A$49,0),MATCH(orders!K$1,products!$A$1:$G$1,0))</f>
        <v/>
      </c>
      <c r="L846" s="5">
        <f>INDEX(products!$A$1:$G$49,MATCH(orders!$D846,products!$A$1:$A$49,0),MATCH(orders!L$1,products!$A$1:$G$1,0))</f>
        <v/>
      </c>
      <c r="M846" s="5">
        <f>L846*E846</f>
        <v/>
      </c>
      <c r="N846">
        <f>IF(I846="Rob","Robusta",IF(I846="Exc","Excelsa",IF(I846="Ara","Arabica",IF(I846="Lib","Liberica",""))))</f>
        <v/>
      </c>
      <c r="O846">
        <f>IF(J846="M","Medium",IF(J846="L","Light",IF(J846="D","Dark","")))</f>
        <v/>
      </c>
      <c r="P846">
        <f>_xlfn.XLOOKUP(Orders[[#This Row],[Customer ID]],customers!$A$1:$A$1001,customers!$I$1:$I$1001,,0)</f>
        <v/>
      </c>
    </row>
    <row r="847">
      <c r="A847" s="2" t="inlineStr">
        <is>
          <t>O9610</t>
        </is>
      </c>
      <c r="B847" s="3" t="inlineStr">
        <is>
          <t>2024-03-07</t>
        </is>
      </c>
      <c r="C847" s="2" t="inlineStr">
        <is>
          <t>O3709</t>
        </is>
      </c>
      <c r="D847" t="inlineStr">
        <is>
          <t>O2484</t>
        </is>
      </c>
      <c r="E847" s="2" t="n">
        <v>425</v>
      </c>
      <c r="F847" s="2">
        <f>_xlfn.XLOOKUP(C847,customers!$A$1:$A$1001,customers!$B$1:$B$1001,,0)</f>
        <v/>
      </c>
      <c r="G847" s="2">
        <f>IF(_xlfn.XLOOKUP(C847,customers!$A$1:$A$1001,customers!$C$1:$C$1001,,0)=0,"",_xlfn.XLOOKUP(C847,customers!$A$1:$A$1001,customers!$C$1:$C$1001,,0))</f>
        <v/>
      </c>
      <c r="H847" s="2">
        <f>_xlfn.XLOOKUP(C847,customers!$A$1:$A$1001,customers!$G$1:$G$1001,,0)</f>
        <v/>
      </c>
      <c r="I847">
        <f>INDEX(products!$A$1:$G$49,MATCH(orders!$D847,products!$A$1:$A$49,0),MATCH(orders!I$1,products!$A$1:$G$1,0))</f>
        <v/>
      </c>
      <c r="J847">
        <f>INDEX(products!$A$1:$G$49,MATCH(orders!$D847,products!$A$1:$A$49,0),MATCH(orders!J$1,products!$A$1:$G$1,0))</f>
        <v/>
      </c>
      <c r="K847" s="4">
        <f>INDEX(products!$A$1:$G$49,MATCH(orders!$D847,products!$A$1:$A$49,0),MATCH(orders!K$1,products!$A$1:$G$1,0))</f>
        <v/>
      </c>
      <c r="L847" s="5">
        <f>INDEX(products!$A$1:$G$49,MATCH(orders!$D847,products!$A$1:$A$49,0),MATCH(orders!L$1,products!$A$1:$G$1,0))</f>
        <v/>
      </c>
      <c r="M847" s="5">
        <f>L847*E847</f>
        <v/>
      </c>
      <c r="N847">
        <f>IF(I847="Rob","Robusta",IF(I847="Exc","Excelsa",IF(I847="Ara","Arabica",IF(I847="Lib","Liberica",""))))</f>
        <v/>
      </c>
      <c r="O847">
        <f>IF(J847="M","Medium",IF(J847="L","Light",IF(J847="D","Dark","")))</f>
        <v/>
      </c>
      <c r="P847">
        <f>_xlfn.XLOOKUP(Orders[[#This Row],[Customer ID]],customers!$A$1:$A$1001,customers!$I$1:$I$1001,,0)</f>
        <v/>
      </c>
    </row>
    <row r="848">
      <c r="A848" s="2" t="inlineStr">
        <is>
          <t>O1098</t>
        </is>
      </c>
      <c r="B848" s="3" t="inlineStr">
        <is>
          <t>2023-08-10</t>
        </is>
      </c>
      <c r="C848" s="2" t="inlineStr">
        <is>
          <t>O8349</t>
        </is>
      </c>
      <c r="D848" t="inlineStr">
        <is>
          <t>O6350</t>
        </is>
      </c>
      <c r="E848" s="2" t="n">
        <v>348</v>
      </c>
      <c r="F848" s="2">
        <f>_xlfn.XLOOKUP(C848,customers!$A$1:$A$1001,customers!$B$1:$B$1001,,0)</f>
        <v/>
      </c>
      <c r="G848" s="2">
        <f>IF(_xlfn.XLOOKUP(C848,customers!$A$1:$A$1001,customers!$C$1:$C$1001,,0)=0,"",_xlfn.XLOOKUP(C848,customers!$A$1:$A$1001,customers!$C$1:$C$1001,,0))</f>
        <v/>
      </c>
      <c r="H848" s="2">
        <f>_xlfn.XLOOKUP(C848,customers!$A$1:$A$1001,customers!$G$1:$G$1001,,0)</f>
        <v/>
      </c>
      <c r="I848">
        <f>INDEX(products!$A$1:$G$49,MATCH(orders!$D848,products!$A$1:$A$49,0),MATCH(orders!I$1,products!$A$1:$G$1,0))</f>
        <v/>
      </c>
      <c r="J848">
        <f>INDEX(products!$A$1:$G$49,MATCH(orders!$D848,products!$A$1:$A$49,0),MATCH(orders!J$1,products!$A$1:$G$1,0))</f>
        <v/>
      </c>
      <c r="K848" s="4">
        <f>INDEX(products!$A$1:$G$49,MATCH(orders!$D848,products!$A$1:$A$49,0),MATCH(orders!K$1,products!$A$1:$G$1,0))</f>
        <v/>
      </c>
      <c r="L848" s="5">
        <f>INDEX(products!$A$1:$G$49,MATCH(orders!$D848,products!$A$1:$A$49,0),MATCH(orders!L$1,products!$A$1:$G$1,0))</f>
        <v/>
      </c>
      <c r="M848" s="5">
        <f>L848*E848</f>
        <v/>
      </c>
      <c r="N848">
        <f>IF(I848="Rob","Robusta",IF(I848="Exc","Excelsa",IF(I848="Ara","Arabica",IF(I848="Lib","Liberica",""))))</f>
        <v/>
      </c>
      <c r="O848">
        <f>IF(J848="M","Medium",IF(J848="L","Light",IF(J848="D","Dark","")))</f>
        <v/>
      </c>
      <c r="P848">
        <f>_xlfn.XLOOKUP(Orders[[#This Row],[Customer ID]],customers!$A$1:$A$1001,customers!$I$1:$I$1001,,0)</f>
        <v/>
      </c>
    </row>
    <row r="849">
      <c r="A849" s="2" t="inlineStr">
        <is>
          <t>O8878</t>
        </is>
      </c>
      <c r="B849" s="3" t="inlineStr">
        <is>
          <t>2022-06-22</t>
        </is>
      </c>
      <c r="C849" s="2" t="inlineStr">
        <is>
          <t>O2964</t>
        </is>
      </c>
      <c r="D849" t="inlineStr">
        <is>
          <t>O9529</t>
        </is>
      </c>
      <c r="E849" s="2" t="n">
        <v>99</v>
      </c>
      <c r="F849" s="2">
        <f>_xlfn.XLOOKUP(C849,customers!$A$1:$A$1001,customers!$B$1:$B$1001,,0)</f>
        <v/>
      </c>
      <c r="G849" s="2">
        <f>IF(_xlfn.XLOOKUP(C849,customers!$A$1:$A$1001,customers!$C$1:$C$1001,,0)=0,"",_xlfn.XLOOKUP(C849,customers!$A$1:$A$1001,customers!$C$1:$C$1001,,0))</f>
        <v/>
      </c>
      <c r="H849" s="2">
        <f>_xlfn.XLOOKUP(C849,customers!$A$1:$A$1001,customers!$G$1:$G$1001,,0)</f>
        <v/>
      </c>
      <c r="I849">
        <f>INDEX(products!$A$1:$G$49,MATCH(orders!$D849,products!$A$1:$A$49,0),MATCH(orders!I$1,products!$A$1:$G$1,0))</f>
        <v/>
      </c>
      <c r="J849">
        <f>INDEX(products!$A$1:$G$49,MATCH(orders!$D849,products!$A$1:$A$49,0),MATCH(orders!J$1,products!$A$1:$G$1,0))</f>
        <v/>
      </c>
      <c r="K849" s="4">
        <f>INDEX(products!$A$1:$G$49,MATCH(orders!$D849,products!$A$1:$A$49,0),MATCH(orders!K$1,products!$A$1:$G$1,0))</f>
        <v/>
      </c>
      <c r="L849" s="5">
        <f>INDEX(products!$A$1:$G$49,MATCH(orders!$D849,products!$A$1:$A$49,0),MATCH(orders!L$1,products!$A$1:$G$1,0))</f>
        <v/>
      </c>
      <c r="M849" s="5">
        <f>L849*E849</f>
        <v/>
      </c>
      <c r="N849">
        <f>IF(I849="Rob","Robusta",IF(I849="Exc","Excelsa",IF(I849="Ara","Arabica",IF(I849="Lib","Liberica",""))))</f>
        <v/>
      </c>
      <c r="O849">
        <f>IF(J849="M","Medium",IF(J849="L","Light",IF(J849="D","Dark","")))</f>
        <v/>
      </c>
      <c r="P849">
        <f>_xlfn.XLOOKUP(Orders[[#This Row],[Customer ID]],customers!$A$1:$A$1001,customers!$I$1:$I$1001,,0)</f>
        <v/>
      </c>
    </row>
    <row r="850">
      <c r="A850" s="2" t="inlineStr">
        <is>
          <t>O9324</t>
        </is>
      </c>
      <c r="B850" s="3" t="inlineStr">
        <is>
          <t>2022-12-20</t>
        </is>
      </c>
      <c r="C850" s="2" t="inlineStr">
        <is>
          <t>O8468</t>
        </is>
      </c>
      <c r="D850" t="inlineStr">
        <is>
          <t>O7420</t>
        </is>
      </c>
      <c r="E850" s="2" t="n">
        <v>393</v>
      </c>
      <c r="F850" s="2">
        <f>_xlfn.XLOOKUP(C850,customers!$A$1:$A$1001,customers!$B$1:$B$1001,,0)</f>
        <v/>
      </c>
      <c r="G850" s="2">
        <f>IF(_xlfn.XLOOKUP(C850,customers!$A$1:$A$1001,customers!$C$1:$C$1001,,0)=0,"",_xlfn.XLOOKUP(C850,customers!$A$1:$A$1001,customers!$C$1:$C$1001,,0))</f>
        <v/>
      </c>
      <c r="H850" s="2">
        <f>_xlfn.XLOOKUP(C850,customers!$A$1:$A$1001,customers!$G$1:$G$1001,,0)</f>
        <v/>
      </c>
      <c r="I850">
        <f>INDEX(products!$A$1:$G$49,MATCH(orders!$D850,products!$A$1:$A$49,0),MATCH(orders!I$1,products!$A$1:$G$1,0))</f>
        <v/>
      </c>
      <c r="J850">
        <f>INDEX(products!$A$1:$G$49,MATCH(orders!$D850,products!$A$1:$A$49,0),MATCH(orders!J$1,products!$A$1:$G$1,0))</f>
        <v/>
      </c>
      <c r="K850" s="4">
        <f>INDEX(products!$A$1:$G$49,MATCH(orders!$D850,products!$A$1:$A$49,0),MATCH(orders!K$1,products!$A$1:$G$1,0))</f>
        <v/>
      </c>
      <c r="L850" s="5">
        <f>INDEX(products!$A$1:$G$49,MATCH(orders!$D850,products!$A$1:$A$49,0),MATCH(orders!L$1,products!$A$1:$G$1,0))</f>
        <v/>
      </c>
      <c r="M850" s="5">
        <f>L850*E850</f>
        <v/>
      </c>
      <c r="N850">
        <f>IF(I850="Rob","Robusta",IF(I850="Exc","Excelsa",IF(I850="Ara","Arabica",IF(I850="Lib","Liberica",""))))</f>
        <v/>
      </c>
      <c r="O850">
        <f>IF(J850="M","Medium",IF(J850="L","Light",IF(J850="D","Dark","")))</f>
        <v/>
      </c>
      <c r="P850">
        <f>_xlfn.XLOOKUP(Orders[[#This Row],[Customer ID]],customers!$A$1:$A$1001,customers!$I$1:$I$1001,,0)</f>
        <v/>
      </c>
    </row>
    <row r="851">
      <c r="A851" s="2" t="inlineStr">
        <is>
          <t>O2206</t>
        </is>
      </c>
      <c r="B851" s="3" t="inlineStr">
        <is>
          <t>2021-01-08</t>
        </is>
      </c>
      <c r="C851" s="2" t="inlineStr">
        <is>
          <t>O8260</t>
        </is>
      </c>
      <c r="D851" t="inlineStr">
        <is>
          <t>O1419</t>
        </is>
      </c>
      <c r="E851" s="2" t="n">
        <v>419</v>
      </c>
      <c r="F851" s="2">
        <f>_xlfn.XLOOKUP(C851,customers!$A$1:$A$1001,customers!$B$1:$B$1001,,0)</f>
        <v/>
      </c>
      <c r="G851" s="2">
        <f>IF(_xlfn.XLOOKUP(C851,customers!$A$1:$A$1001,customers!$C$1:$C$1001,,0)=0,"",_xlfn.XLOOKUP(C851,customers!$A$1:$A$1001,customers!$C$1:$C$1001,,0))</f>
        <v/>
      </c>
      <c r="H851" s="2">
        <f>_xlfn.XLOOKUP(C851,customers!$A$1:$A$1001,customers!$G$1:$G$1001,,0)</f>
        <v/>
      </c>
      <c r="I851">
        <f>INDEX(products!$A$1:$G$49,MATCH(orders!$D851,products!$A$1:$A$49,0),MATCH(orders!I$1,products!$A$1:$G$1,0))</f>
        <v/>
      </c>
      <c r="J851">
        <f>INDEX(products!$A$1:$G$49,MATCH(orders!$D851,products!$A$1:$A$49,0),MATCH(orders!J$1,products!$A$1:$G$1,0))</f>
        <v/>
      </c>
      <c r="K851" s="4">
        <f>INDEX(products!$A$1:$G$49,MATCH(orders!$D851,products!$A$1:$A$49,0),MATCH(orders!K$1,products!$A$1:$G$1,0))</f>
        <v/>
      </c>
      <c r="L851" s="5">
        <f>INDEX(products!$A$1:$G$49,MATCH(orders!$D851,products!$A$1:$A$49,0),MATCH(orders!L$1,products!$A$1:$G$1,0))</f>
        <v/>
      </c>
      <c r="M851" s="5">
        <f>L851*E851</f>
        <v/>
      </c>
      <c r="N851">
        <f>IF(I851="Rob","Robusta",IF(I851="Exc","Excelsa",IF(I851="Ara","Arabica",IF(I851="Lib","Liberica",""))))</f>
        <v/>
      </c>
      <c r="O851">
        <f>IF(J851="M","Medium",IF(J851="L","Light",IF(J851="D","Dark","")))</f>
        <v/>
      </c>
      <c r="P851">
        <f>_xlfn.XLOOKUP(Orders[[#This Row],[Customer ID]],customers!$A$1:$A$1001,customers!$I$1:$I$1001,,0)</f>
        <v/>
      </c>
    </row>
    <row r="852">
      <c r="A852" s="2" t="inlineStr">
        <is>
          <t>O5554</t>
        </is>
      </c>
      <c r="B852" s="3" t="inlineStr">
        <is>
          <t>2024-04-26</t>
        </is>
      </c>
      <c r="C852" s="2" t="inlineStr">
        <is>
          <t>O5943</t>
        </is>
      </c>
      <c r="D852" t="inlineStr">
        <is>
          <t>O1002</t>
        </is>
      </c>
      <c r="E852" s="2" t="n">
        <v>275</v>
      </c>
      <c r="F852" s="2">
        <f>_xlfn.XLOOKUP(C852,customers!$A$1:$A$1001,customers!$B$1:$B$1001,,0)</f>
        <v/>
      </c>
      <c r="G852" s="2">
        <f>IF(_xlfn.XLOOKUP(C852,customers!$A$1:$A$1001,customers!$C$1:$C$1001,,0)=0,"",_xlfn.XLOOKUP(C852,customers!$A$1:$A$1001,customers!$C$1:$C$1001,,0))</f>
        <v/>
      </c>
      <c r="H852" s="2">
        <f>_xlfn.XLOOKUP(C852,customers!$A$1:$A$1001,customers!$G$1:$G$1001,,0)</f>
        <v/>
      </c>
      <c r="I852">
        <f>INDEX(products!$A$1:$G$49,MATCH(orders!$D852,products!$A$1:$A$49,0),MATCH(orders!I$1,products!$A$1:$G$1,0))</f>
        <v/>
      </c>
      <c r="J852">
        <f>INDEX(products!$A$1:$G$49,MATCH(orders!$D852,products!$A$1:$A$49,0),MATCH(orders!J$1,products!$A$1:$G$1,0))</f>
        <v/>
      </c>
      <c r="K852" s="4">
        <f>INDEX(products!$A$1:$G$49,MATCH(orders!$D852,products!$A$1:$A$49,0),MATCH(orders!K$1,products!$A$1:$G$1,0))</f>
        <v/>
      </c>
      <c r="L852" s="5">
        <f>INDEX(products!$A$1:$G$49,MATCH(orders!$D852,products!$A$1:$A$49,0),MATCH(orders!L$1,products!$A$1:$G$1,0))</f>
        <v/>
      </c>
      <c r="M852" s="5">
        <f>L852*E852</f>
        <v/>
      </c>
      <c r="N852">
        <f>IF(I852="Rob","Robusta",IF(I852="Exc","Excelsa",IF(I852="Ara","Arabica",IF(I852="Lib","Liberica",""))))</f>
        <v/>
      </c>
      <c r="O852">
        <f>IF(J852="M","Medium",IF(J852="L","Light",IF(J852="D","Dark","")))</f>
        <v/>
      </c>
      <c r="P852">
        <f>_xlfn.XLOOKUP(Orders[[#This Row],[Customer ID]],customers!$A$1:$A$1001,customers!$I$1:$I$1001,,0)</f>
        <v/>
      </c>
    </row>
    <row r="853">
      <c r="A853" s="2" t="inlineStr">
        <is>
          <t>O8745</t>
        </is>
      </c>
      <c r="B853" s="3" t="inlineStr">
        <is>
          <t>2025-06-13</t>
        </is>
      </c>
      <c r="C853" s="2" t="inlineStr">
        <is>
          <t>O1169</t>
        </is>
      </c>
      <c r="D853" t="inlineStr">
        <is>
          <t>O9062</t>
        </is>
      </c>
      <c r="E853" s="2" t="n">
        <v>67</v>
      </c>
      <c r="F853" s="2">
        <f>_xlfn.XLOOKUP(C853,customers!$A$1:$A$1001,customers!$B$1:$B$1001,,0)</f>
        <v/>
      </c>
      <c r="G853" s="2">
        <f>IF(_xlfn.XLOOKUP(C853,customers!$A$1:$A$1001,customers!$C$1:$C$1001,,0)=0,"",_xlfn.XLOOKUP(C853,customers!$A$1:$A$1001,customers!$C$1:$C$1001,,0))</f>
        <v/>
      </c>
      <c r="H853" s="2">
        <f>_xlfn.XLOOKUP(C853,customers!$A$1:$A$1001,customers!$G$1:$G$1001,,0)</f>
        <v/>
      </c>
      <c r="I853">
        <f>INDEX(products!$A$1:$G$49,MATCH(orders!$D853,products!$A$1:$A$49,0),MATCH(orders!I$1,products!$A$1:$G$1,0))</f>
        <v/>
      </c>
      <c r="J853">
        <f>INDEX(products!$A$1:$G$49,MATCH(orders!$D853,products!$A$1:$A$49,0),MATCH(orders!J$1,products!$A$1:$G$1,0))</f>
        <v/>
      </c>
      <c r="K853" s="4">
        <f>INDEX(products!$A$1:$G$49,MATCH(orders!$D853,products!$A$1:$A$49,0),MATCH(orders!K$1,products!$A$1:$G$1,0))</f>
        <v/>
      </c>
      <c r="L853" s="5">
        <f>INDEX(products!$A$1:$G$49,MATCH(orders!$D853,products!$A$1:$A$49,0),MATCH(orders!L$1,products!$A$1:$G$1,0))</f>
        <v/>
      </c>
      <c r="M853" s="5">
        <f>L853*E853</f>
        <v/>
      </c>
      <c r="N853">
        <f>IF(I853="Rob","Robusta",IF(I853="Exc","Excelsa",IF(I853="Ara","Arabica",IF(I853="Lib","Liberica",""))))</f>
        <v/>
      </c>
      <c r="O853">
        <f>IF(J853="M","Medium",IF(J853="L","Light",IF(J853="D","Dark","")))</f>
        <v/>
      </c>
      <c r="P853">
        <f>_xlfn.XLOOKUP(Orders[[#This Row],[Customer ID]],customers!$A$1:$A$1001,customers!$I$1:$I$1001,,0)</f>
        <v/>
      </c>
    </row>
    <row r="854">
      <c r="A854" s="2" t="inlineStr">
        <is>
          <t>O3438</t>
        </is>
      </c>
      <c r="B854" s="3" t="inlineStr">
        <is>
          <t>2025-03-26</t>
        </is>
      </c>
      <c r="C854" s="2" t="inlineStr">
        <is>
          <t>O5050</t>
        </is>
      </c>
      <c r="D854" t="inlineStr">
        <is>
          <t>O7357</t>
        </is>
      </c>
      <c r="E854" s="2" t="n">
        <v>368</v>
      </c>
      <c r="F854" s="2">
        <f>_xlfn.XLOOKUP(C854,customers!$A$1:$A$1001,customers!$B$1:$B$1001,,0)</f>
        <v/>
      </c>
      <c r="G854" s="2">
        <f>IF(_xlfn.XLOOKUP(C854,customers!$A$1:$A$1001,customers!$C$1:$C$1001,,0)=0,"",_xlfn.XLOOKUP(C854,customers!$A$1:$A$1001,customers!$C$1:$C$1001,,0))</f>
        <v/>
      </c>
      <c r="H854" s="2">
        <f>_xlfn.XLOOKUP(C854,customers!$A$1:$A$1001,customers!$G$1:$G$1001,,0)</f>
        <v/>
      </c>
      <c r="I854">
        <f>INDEX(products!$A$1:$G$49,MATCH(orders!$D854,products!$A$1:$A$49,0),MATCH(orders!I$1,products!$A$1:$G$1,0))</f>
        <v/>
      </c>
      <c r="J854">
        <f>INDEX(products!$A$1:$G$49,MATCH(orders!$D854,products!$A$1:$A$49,0),MATCH(orders!J$1,products!$A$1:$G$1,0))</f>
        <v/>
      </c>
      <c r="K854" s="4">
        <f>INDEX(products!$A$1:$G$49,MATCH(orders!$D854,products!$A$1:$A$49,0),MATCH(orders!K$1,products!$A$1:$G$1,0))</f>
        <v/>
      </c>
      <c r="L854" s="5">
        <f>INDEX(products!$A$1:$G$49,MATCH(orders!$D854,products!$A$1:$A$49,0),MATCH(orders!L$1,products!$A$1:$G$1,0))</f>
        <v/>
      </c>
      <c r="M854" s="5">
        <f>L854*E854</f>
        <v/>
      </c>
      <c r="N854">
        <f>IF(I854="Rob","Robusta",IF(I854="Exc","Excelsa",IF(I854="Ara","Arabica",IF(I854="Lib","Liberica",""))))</f>
        <v/>
      </c>
      <c r="O854">
        <f>IF(J854="M","Medium",IF(J854="L","Light",IF(J854="D","Dark","")))</f>
        <v/>
      </c>
      <c r="P854">
        <f>_xlfn.XLOOKUP(Orders[[#This Row],[Customer ID]],customers!$A$1:$A$1001,customers!$I$1:$I$1001,,0)</f>
        <v/>
      </c>
    </row>
    <row r="855">
      <c r="A855" s="2" t="inlineStr">
        <is>
          <t>O7006</t>
        </is>
      </c>
      <c r="B855" s="3" t="inlineStr">
        <is>
          <t>2020-07-21</t>
        </is>
      </c>
      <c r="C855" s="2" t="inlineStr">
        <is>
          <t>O1366</t>
        </is>
      </c>
      <c r="D855" t="inlineStr">
        <is>
          <t>O5953</t>
        </is>
      </c>
      <c r="E855" s="2" t="n">
        <v>241</v>
      </c>
      <c r="F855" s="2">
        <f>_xlfn.XLOOKUP(C855,customers!$A$1:$A$1001,customers!$B$1:$B$1001,,0)</f>
        <v/>
      </c>
      <c r="G855" s="2">
        <f>IF(_xlfn.XLOOKUP(C855,customers!$A$1:$A$1001,customers!$C$1:$C$1001,,0)=0,"",_xlfn.XLOOKUP(C855,customers!$A$1:$A$1001,customers!$C$1:$C$1001,,0))</f>
        <v/>
      </c>
      <c r="H855" s="2">
        <f>_xlfn.XLOOKUP(C855,customers!$A$1:$A$1001,customers!$G$1:$G$1001,,0)</f>
        <v/>
      </c>
      <c r="I855">
        <f>INDEX(products!$A$1:$G$49,MATCH(orders!$D855,products!$A$1:$A$49,0),MATCH(orders!I$1,products!$A$1:$G$1,0))</f>
        <v/>
      </c>
      <c r="J855">
        <f>INDEX(products!$A$1:$G$49,MATCH(orders!$D855,products!$A$1:$A$49,0),MATCH(orders!J$1,products!$A$1:$G$1,0))</f>
        <v/>
      </c>
      <c r="K855" s="4">
        <f>INDEX(products!$A$1:$G$49,MATCH(orders!$D855,products!$A$1:$A$49,0),MATCH(orders!K$1,products!$A$1:$G$1,0))</f>
        <v/>
      </c>
      <c r="L855" s="5">
        <f>INDEX(products!$A$1:$G$49,MATCH(orders!$D855,products!$A$1:$A$49,0),MATCH(orders!L$1,products!$A$1:$G$1,0))</f>
        <v/>
      </c>
      <c r="M855" s="5">
        <f>L855*E855</f>
        <v/>
      </c>
      <c r="N855">
        <f>IF(I855="Rob","Robusta",IF(I855="Exc","Excelsa",IF(I855="Ara","Arabica",IF(I855="Lib","Liberica",""))))</f>
        <v/>
      </c>
      <c r="O855">
        <f>IF(J855="M","Medium",IF(J855="L","Light",IF(J855="D","Dark","")))</f>
        <v/>
      </c>
      <c r="P855">
        <f>_xlfn.XLOOKUP(Orders[[#This Row],[Customer ID]],customers!$A$1:$A$1001,customers!$I$1:$I$1001,,0)</f>
        <v/>
      </c>
    </row>
    <row r="856">
      <c r="A856" s="2" t="inlineStr">
        <is>
          <t>O8057</t>
        </is>
      </c>
      <c r="B856" s="3" t="inlineStr">
        <is>
          <t>2021-01-28</t>
        </is>
      </c>
      <c r="C856" s="2" t="inlineStr">
        <is>
          <t>O7182</t>
        </is>
      </c>
      <c r="D856" t="inlineStr">
        <is>
          <t>O9276</t>
        </is>
      </c>
      <c r="E856" s="2" t="n">
        <v>196</v>
      </c>
      <c r="F856" s="2">
        <f>_xlfn.XLOOKUP(C856,customers!$A$1:$A$1001,customers!$B$1:$B$1001,,0)</f>
        <v/>
      </c>
      <c r="G856" s="2">
        <f>IF(_xlfn.XLOOKUP(C856,customers!$A$1:$A$1001,customers!$C$1:$C$1001,,0)=0,"",_xlfn.XLOOKUP(C856,customers!$A$1:$A$1001,customers!$C$1:$C$1001,,0))</f>
        <v/>
      </c>
      <c r="H856" s="2">
        <f>_xlfn.XLOOKUP(C856,customers!$A$1:$A$1001,customers!$G$1:$G$1001,,0)</f>
        <v/>
      </c>
      <c r="I856">
        <f>INDEX(products!$A$1:$G$49,MATCH(orders!$D856,products!$A$1:$A$49,0),MATCH(orders!I$1,products!$A$1:$G$1,0))</f>
        <v/>
      </c>
      <c r="J856">
        <f>INDEX(products!$A$1:$G$49,MATCH(orders!$D856,products!$A$1:$A$49,0),MATCH(orders!J$1,products!$A$1:$G$1,0))</f>
        <v/>
      </c>
      <c r="K856" s="4">
        <f>INDEX(products!$A$1:$G$49,MATCH(orders!$D856,products!$A$1:$A$49,0),MATCH(orders!K$1,products!$A$1:$G$1,0))</f>
        <v/>
      </c>
      <c r="L856" s="5">
        <f>INDEX(products!$A$1:$G$49,MATCH(orders!$D856,products!$A$1:$A$49,0),MATCH(orders!L$1,products!$A$1:$G$1,0))</f>
        <v/>
      </c>
      <c r="M856" s="5">
        <f>L856*E856</f>
        <v/>
      </c>
      <c r="N856">
        <f>IF(I856="Rob","Robusta",IF(I856="Exc","Excelsa",IF(I856="Ara","Arabica",IF(I856="Lib","Liberica",""))))</f>
        <v/>
      </c>
      <c r="O856">
        <f>IF(J856="M","Medium",IF(J856="L","Light",IF(J856="D","Dark","")))</f>
        <v/>
      </c>
      <c r="P856">
        <f>_xlfn.XLOOKUP(Orders[[#This Row],[Customer ID]],customers!$A$1:$A$1001,customers!$I$1:$I$1001,,0)</f>
        <v/>
      </c>
    </row>
    <row r="857">
      <c r="A857" s="2" t="inlineStr">
        <is>
          <t>O5726</t>
        </is>
      </c>
      <c r="B857" s="3" t="inlineStr">
        <is>
          <t>2021-03-20</t>
        </is>
      </c>
      <c r="C857" s="2" t="inlineStr">
        <is>
          <t>O7533</t>
        </is>
      </c>
      <c r="D857" t="inlineStr">
        <is>
          <t>O7347</t>
        </is>
      </c>
      <c r="E857" s="2" t="n">
        <v>377</v>
      </c>
      <c r="F857" s="2">
        <f>_xlfn.XLOOKUP(C857,customers!$A$1:$A$1001,customers!$B$1:$B$1001,,0)</f>
        <v/>
      </c>
      <c r="G857" s="2">
        <f>IF(_xlfn.XLOOKUP(C857,customers!$A$1:$A$1001,customers!$C$1:$C$1001,,0)=0,"",_xlfn.XLOOKUP(C857,customers!$A$1:$A$1001,customers!$C$1:$C$1001,,0))</f>
        <v/>
      </c>
      <c r="H857" s="2">
        <f>_xlfn.XLOOKUP(C857,customers!$A$1:$A$1001,customers!$G$1:$G$1001,,0)</f>
        <v/>
      </c>
      <c r="I857">
        <f>INDEX(products!$A$1:$G$49,MATCH(orders!$D857,products!$A$1:$A$49,0),MATCH(orders!I$1,products!$A$1:$G$1,0))</f>
        <v/>
      </c>
      <c r="J857">
        <f>INDEX(products!$A$1:$G$49,MATCH(orders!$D857,products!$A$1:$A$49,0),MATCH(orders!J$1,products!$A$1:$G$1,0))</f>
        <v/>
      </c>
      <c r="K857" s="4">
        <f>INDEX(products!$A$1:$G$49,MATCH(orders!$D857,products!$A$1:$A$49,0),MATCH(orders!K$1,products!$A$1:$G$1,0))</f>
        <v/>
      </c>
      <c r="L857" s="5">
        <f>INDEX(products!$A$1:$G$49,MATCH(orders!$D857,products!$A$1:$A$49,0),MATCH(orders!L$1,products!$A$1:$G$1,0))</f>
        <v/>
      </c>
      <c r="M857" s="5">
        <f>L857*E857</f>
        <v/>
      </c>
      <c r="N857">
        <f>IF(I857="Rob","Robusta",IF(I857="Exc","Excelsa",IF(I857="Ara","Arabica",IF(I857="Lib","Liberica",""))))</f>
        <v/>
      </c>
      <c r="O857">
        <f>IF(J857="M","Medium",IF(J857="L","Light",IF(J857="D","Dark","")))</f>
        <v/>
      </c>
      <c r="P857">
        <f>_xlfn.XLOOKUP(Orders[[#This Row],[Customer ID]],customers!$A$1:$A$1001,customers!$I$1:$I$1001,,0)</f>
        <v/>
      </c>
    </row>
    <row r="858">
      <c r="A858" s="2" t="inlineStr">
        <is>
          <t>O5938</t>
        </is>
      </c>
      <c r="B858" s="3" t="inlineStr">
        <is>
          <t>2023-12-05</t>
        </is>
      </c>
      <c r="C858" s="2" t="inlineStr">
        <is>
          <t>O7398</t>
        </is>
      </c>
      <c r="D858" t="inlineStr">
        <is>
          <t>O7082</t>
        </is>
      </c>
      <c r="E858" s="2" t="n">
        <v>161</v>
      </c>
      <c r="F858" s="2">
        <f>_xlfn.XLOOKUP(C858,customers!$A$1:$A$1001,customers!$B$1:$B$1001,,0)</f>
        <v/>
      </c>
      <c r="G858" s="2">
        <f>IF(_xlfn.XLOOKUP(C858,customers!$A$1:$A$1001,customers!$C$1:$C$1001,,0)=0,"",_xlfn.XLOOKUP(C858,customers!$A$1:$A$1001,customers!$C$1:$C$1001,,0))</f>
        <v/>
      </c>
      <c r="H858" s="2">
        <f>_xlfn.XLOOKUP(C858,customers!$A$1:$A$1001,customers!$G$1:$G$1001,,0)</f>
        <v/>
      </c>
      <c r="I858">
        <f>INDEX(products!$A$1:$G$49,MATCH(orders!$D858,products!$A$1:$A$49,0),MATCH(orders!I$1,products!$A$1:$G$1,0))</f>
        <v/>
      </c>
      <c r="J858">
        <f>INDEX(products!$A$1:$G$49,MATCH(orders!$D858,products!$A$1:$A$49,0),MATCH(orders!J$1,products!$A$1:$G$1,0))</f>
        <v/>
      </c>
      <c r="K858" s="4">
        <f>INDEX(products!$A$1:$G$49,MATCH(orders!$D858,products!$A$1:$A$49,0),MATCH(orders!K$1,products!$A$1:$G$1,0))</f>
        <v/>
      </c>
      <c r="L858" s="5">
        <f>INDEX(products!$A$1:$G$49,MATCH(orders!$D858,products!$A$1:$A$49,0),MATCH(orders!L$1,products!$A$1:$G$1,0))</f>
        <v/>
      </c>
      <c r="M858" s="5">
        <f>L858*E858</f>
        <v/>
      </c>
      <c r="N858">
        <f>IF(I858="Rob","Robusta",IF(I858="Exc","Excelsa",IF(I858="Ara","Arabica",IF(I858="Lib","Liberica",""))))</f>
        <v/>
      </c>
      <c r="O858">
        <f>IF(J858="M","Medium",IF(J858="L","Light",IF(J858="D","Dark","")))</f>
        <v/>
      </c>
      <c r="P858">
        <f>_xlfn.XLOOKUP(Orders[[#This Row],[Customer ID]],customers!$A$1:$A$1001,customers!$I$1:$I$1001,,0)</f>
        <v/>
      </c>
    </row>
    <row r="859">
      <c r="A859" s="2" t="inlineStr">
        <is>
          <t>O5607</t>
        </is>
      </c>
      <c r="B859" s="3" t="inlineStr">
        <is>
          <t>2020-01-22</t>
        </is>
      </c>
      <c r="C859" s="2" t="inlineStr">
        <is>
          <t>O2866</t>
        </is>
      </c>
      <c r="D859" t="inlineStr">
        <is>
          <t>O1542</t>
        </is>
      </c>
      <c r="E859" s="2" t="n">
        <v>211</v>
      </c>
      <c r="F859" s="2">
        <f>_xlfn.XLOOKUP(C859,customers!$A$1:$A$1001,customers!$B$1:$B$1001,,0)</f>
        <v/>
      </c>
      <c r="G859" s="2">
        <f>IF(_xlfn.XLOOKUP(C859,customers!$A$1:$A$1001,customers!$C$1:$C$1001,,0)=0,"",_xlfn.XLOOKUP(C859,customers!$A$1:$A$1001,customers!$C$1:$C$1001,,0))</f>
        <v/>
      </c>
      <c r="H859" s="2">
        <f>_xlfn.XLOOKUP(C859,customers!$A$1:$A$1001,customers!$G$1:$G$1001,,0)</f>
        <v/>
      </c>
      <c r="I859">
        <f>INDEX(products!$A$1:$G$49,MATCH(orders!$D859,products!$A$1:$A$49,0),MATCH(orders!I$1,products!$A$1:$G$1,0))</f>
        <v/>
      </c>
      <c r="J859">
        <f>INDEX(products!$A$1:$G$49,MATCH(orders!$D859,products!$A$1:$A$49,0),MATCH(orders!J$1,products!$A$1:$G$1,0))</f>
        <v/>
      </c>
      <c r="K859" s="4">
        <f>INDEX(products!$A$1:$G$49,MATCH(orders!$D859,products!$A$1:$A$49,0),MATCH(orders!K$1,products!$A$1:$G$1,0))</f>
        <v/>
      </c>
      <c r="L859" s="5">
        <f>INDEX(products!$A$1:$G$49,MATCH(orders!$D859,products!$A$1:$A$49,0),MATCH(orders!L$1,products!$A$1:$G$1,0))</f>
        <v/>
      </c>
      <c r="M859" s="5">
        <f>L859*E859</f>
        <v/>
      </c>
      <c r="N859">
        <f>IF(I859="Rob","Robusta",IF(I859="Exc","Excelsa",IF(I859="Ara","Arabica",IF(I859="Lib","Liberica",""))))</f>
        <v/>
      </c>
      <c r="O859">
        <f>IF(J859="M","Medium",IF(J859="L","Light",IF(J859="D","Dark","")))</f>
        <v/>
      </c>
      <c r="P859">
        <f>_xlfn.XLOOKUP(Orders[[#This Row],[Customer ID]],customers!$A$1:$A$1001,customers!$I$1:$I$1001,,0)</f>
        <v/>
      </c>
    </row>
    <row r="860">
      <c r="A860" s="2" t="inlineStr">
        <is>
          <t>O4951</t>
        </is>
      </c>
      <c r="B860" s="3" t="inlineStr">
        <is>
          <t>2023-03-19</t>
        </is>
      </c>
      <c r="C860" s="2" t="inlineStr">
        <is>
          <t>O8410</t>
        </is>
      </c>
      <c r="D860" t="inlineStr">
        <is>
          <t>O6387</t>
        </is>
      </c>
      <c r="E860" s="2" t="n">
        <v>487</v>
      </c>
      <c r="F860" s="2">
        <f>_xlfn.XLOOKUP(C860,customers!$A$1:$A$1001,customers!$B$1:$B$1001,,0)</f>
        <v/>
      </c>
      <c r="G860" s="2">
        <f>IF(_xlfn.XLOOKUP(C860,customers!$A$1:$A$1001,customers!$C$1:$C$1001,,0)=0,"",_xlfn.XLOOKUP(C860,customers!$A$1:$A$1001,customers!$C$1:$C$1001,,0))</f>
        <v/>
      </c>
      <c r="H860" s="2">
        <f>_xlfn.XLOOKUP(C860,customers!$A$1:$A$1001,customers!$G$1:$G$1001,,0)</f>
        <v/>
      </c>
      <c r="I860">
        <f>INDEX(products!$A$1:$G$49,MATCH(orders!$D860,products!$A$1:$A$49,0),MATCH(orders!I$1,products!$A$1:$G$1,0))</f>
        <v/>
      </c>
      <c r="J860">
        <f>INDEX(products!$A$1:$G$49,MATCH(orders!$D860,products!$A$1:$A$49,0),MATCH(orders!J$1,products!$A$1:$G$1,0))</f>
        <v/>
      </c>
      <c r="K860" s="4">
        <f>INDEX(products!$A$1:$G$49,MATCH(orders!$D860,products!$A$1:$A$49,0),MATCH(orders!K$1,products!$A$1:$G$1,0))</f>
        <v/>
      </c>
      <c r="L860" s="5">
        <f>INDEX(products!$A$1:$G$49,MATCH(orders!$D860,products!$A$1:$A$49,0),MATCH(orders!L$1,products!$A$1:$G$1,0))</f>
        <v/>
      </c>
      <c r="M860" s="5">
        <f>L860*E860</f>
        <v/>
      </c>
      <c r="N860">
        <f>IF(I860="Rob","Robusta",IF(I860="Exc","Excelsa",IF(I860="Ara","Arabica",IF(I860="Lib","Liberica",""))))</f>
        <v/>
      </c>
      <c r="O860">
        <f>IF(J860="M","Medium",IF(J860="L","Light",IF(J860="D","Dark","")))</f>
        <v/>
      </c>
      <c r="P860">
        <f>_xlfn.XLOOKUP(Orders[[#This Row],[Customer ID]],customers!$A$1:$A$1001,customers!$I$1:$I$1001,,0)</f>
        <v/>
      </c>
    </row>
    <row r="861">
      <c r="A861" s="2" t="inlineStr">
        <is>
          <t>O1950</t>
        </is>
      </c>
      <c r="B861" s="3" t="inlineStr">
        <is>
          <t>2024-04-14</t>
        </is>
      </c>
      <c r="C861" s="2" t="inlineStr">
        <is>
          <t>O7613</t>
        </is>
      </c>
      <c r="D861" t="inlineStr">
        <is>
          <t>O8186</t>
        </is>
      </c>
      <c r="E861" s="2" t="n">
        <v>178</v>
      </c>
      <c r="F861" s="2">
        <f>_xlfn.XLOOKUP(C861,customers!$A$1:$A$1001,customers!$B$1:$B$1001,,0)</f>
        <v/>
      </c>
      <c r="G861" s="2">
        <f>IF(_xlfn.XLOOKUP(C861,customers!$A$1:$A$1001,customers!$C$1:$C$1001,,0)=0,"",_xlfn.XLOOKUP(C861,customers!$A$1:$A$1001,customers!$C$1:$C$1001,,0))</f>
        <v/>
      </c>
      <c r="H861" s="2">
        <f>_xlfn.XLOOKUP(C861,customers!$A$1:$A$1001,customers!$G$1:$G$1001,,0)</f>
        <v/>
      </c>
      <c r="I861">
        <f>INDEX(products!$A$1:$G$49,MATCH(orders!$D861,products!$A$1:$A$49,0),MATCH(orders!I$1,products!$A$1:$G$1,0))</f>
        <v/>
      </c>
      <c r="J861">
        <f>INDEX(products!$A$1:$G$49,MATCH(orders!$D861,products!$A$1:$A$49,0),MATCH(orders!J$1,products!$A$1:$G$1,0))</f>
        <v/>
      </c>
      <c r="K861" s="4">
        <f>INDEX(products!$A$1:$G$49,MATCH(orders!$D861,products!$A$1:$A$49,0),MATCH(orders!K$1,products!$A$1:$G$1,0))</f>
        <v/>
      </c>
      <c r="L861" s="5">
        <f>INDEX(products!$A$1:$G$49,MATCH(orders!$D861,products!$A$1:$A$49,0),MATCH(orders!L$1,products!$A$1:$G$1,0))</f>
        <v/>
      </c>
      <c r="M861" s="5">
        <f>L861*E861</f>
        <v/>
      </c>
      <c r="N861">
        <f>IF(I861="Rob","Robusta",IF(I861="Exc","Excelsa",IF(I861="Ara","Arabica",IF(I861="Lib","Liberica",""))))</f>
        <v/>
      </c>
      <c r="O861">
        <f>IF(J861="M","Medium",IF(J861="L","Light",IF(J861="D","Dark","")))</f>
        <v/>
      </c>
      <c r="P861">
        <f>_xlfn.XLOOKUP(Orders[[#This Row],[Customer ID]],customers!$A$1:$A$1001,customers!$I$1:$I$1001,,0)</f>
        <v/>
      </c>
    </row>
    <row r="862">
      <c r="A862" s="2" t="inlineStr">
        <is>
          <t>O8941</t>
        </is>
      </c>
      <c r="B862" s="3" t="inlineStr">
        <is>
          <t>2024-03-29</t>
        </is>
      </c>
      <c r="C862" s="2" t="inlineStr">
        <is>
          <t>O8044</t>
        </is>
      </c>
      <c r="D862" t="inlineStr">
        <is>
          <t>O1024</t>
        </is>
      </c>
      <c r="E862" s="2" t="n">
        <v>95</v>
      </c>
      <c r="F862" s="2">
        <f>_xlfn.XLOOKUP(C862,customers!$A$1:$A$1001,customers!$B$1:$B$1001,,0)</f>
        <v/>
      </c>
      <c r="G862" s="2">
        <f>IF(_xlfn.XLOOKUP(C862,customers!$A$1:$A$1001,customers!$C$1:$C$1001,,0)=0,"",_xlfn.XLOOKUP(C862,customers!$A$1:$A$1001,customers!$C$1:$C$1001,,0))</f>
        <v/>
      </c>
      <c r="H862" s="2">
        <f>_xlfn.XLOOKUP(C862,customers!$A$1:$A$1001,customers!$G$1:$G$1001,,0)</f>
        <v/>
      </c>
      <c r="I862">
        <f>INDEX(products!$A$1:$G$49,MATCH(orders!$D862,products!$A$1:$A$49,0),MATCH(orders!I$1,products!$A$1:$G$1,0))</f>
        <v/>
      </c>
      <c r="J862">
        <f>INDEX(products!$A$1:$G$49,MATCH(orders!$D862,products!$A$1:$A$49,0),MATCH(orders!J$1,products!$A$1:$G$1,0))</f>
        <v/>
      </c>
      <c r="K862" s="4">
        <f>INDEX(products!$A$1:$G$49,MATCH(orders!$D862,products!$A$1:$A$49,0),MATCH(orders!K$1,products!$A$1:$G$1,0))</f>
        <v/>
      </c>
      <c r="L862" s="5">
        <f>INDEX(products!$A$1:$G$49,MATCH(orders!$D862,products!$A$1:$A$49,0),MATCH(orders!L$1,products!$A$1:$G$1,0))</f>
        <v/>
      </c>
      <c r="M862" s="5">
        <f>L862*E862</f>
        <v/>
      </c>
      <c r="N862">
        <f>IF(I862="Rob","Robusta",IF(I862="Exc","Excelsa",IF(I862="Ara","Arabica",IF(I862="Lib","Liberica",""))))</f>
        <v/>
      </c>
      <c r="O862">
        <f>IF(J862="M","Medium",IF(J862="L","Light",IF(J862="D","Dark","")))</f>
        <v/>
      </c>
      <c r="P862">
        <f>_xlfn.XLOOKUP(Orders[[#This Row],[Customer ID]],customers!$A$1:$A$1001,customers!$I$1:$I$1001,,0)</f>
        <v/>
      </c>
    </row>
    <row r="863">
      <c r="A863" s="2" t="inlineStr">
        <is>
          <t>O3755</t>
        </is>
      </c>
      <c r="B863" s="3" t="inlineStr">
        <is>
          <t>2023-03-27</t>
        </is>
      </c>
      <c r="C863" s="2" t="inlineStr">
        <is>
          <t>O8428</t>
        </is>
      </c>
      <c r="D863" t="inlineStr">
        <is>
          <t>O5130</t>
        </is>
      </c>
      <c r="E863" s="2" t="n">
        <v>70</v>
      </c>
      <c r="F863" s="2">
        <f>_xlfn.XLOOKUP(C863,customers!$A$1:$A$1001,customers!$B$1:$B$1001,,0)</f>
        <v/>
      </c>
      <c r="G863" s="2">
        <f>IF(_xlfn.XLOOKUP(C863,customers!$A$1:$A$1001,customers!$C$1:$C$1001,,0)=0,"",_xlfn.XLOOKUP(C863,customers!$A$1:$A$1001,customers!$C$1:$C$1001,,0))</f>
        <v/>
      </c>
      <c r="H863" s="2">
        <f>_xlfn.XLOOKUP(C863,customers!$A$1:$A$1001,customers!$G$1:$G$1001,,0)</f>
        <v/>
      </c>
      <c r="I863">
        <f>INDEX(products!$A$1:$G$49,MATCH(orders!$D863,products!$A$1:$A$49,0),MATCH(orders!I$1,products!$A$1:$G$1,0))</f>
        <v/>
      </c>
      <c r="J863">
        <f>INDEX(products!$A$1:$G$49,MATCH(orders!$D863,products!$A$1:$A$49,0),MATCH(orders!J$1,products!$A$1:$G$1,0))</f>
        <v/>
      </c>
      <c r="K863" s="4">
        <f>INDEX(products!$A$1:$G$49,MATCH(orders!$D863,products!$A$1:$A$49,0),MATCH(orders!K$1,products!$A$1:$G$1,0))</f>
        <v/>
      </c>
      <c r="L863" s="5">
        <f>INDEX(products!$A$1:$G$49,MATCH(orders!$D863,products!$A$1:$A$49,0),MATCH(orders!L$1,products!$A$1:$G$1,0))</f>
        <v/>
      </c>
      <c r="M863" s="5">
        <f>L863*E863</f>
        <v/>
      </c>
      <c r="N863">
        <f>IF(I863="Rob","Robusta",IF(I863="Exc","Excelsa",IF(I863="Ara","Arabica",IF(I863="Lib","Liberica",""))))</f>
        <v/>
      </c>
      <c r="O863">
        <f>IF(J863="M","Medium",IF(J863="L","Light",IF(J863="D","Dark","")))</f>
        <v/>
      </c>
      <c r="P863">
        <f>_xlfn.XLOOKUP(Orders[[#This Row],[Customer ID]],customers!$A$1:$A$1001,customers!$I$1:$I$1001,,0)</f>
        <v/>
      </c>
    </row>
    <row r="864">
      <c r="A864" s="2" t="inlineStr">
        <is>
          <t>O4587</t>
        </is>
      </c>
      <c r="B864" s="3" t="inlineStr">
        <is>
          <t>2023-01-14</t>
        </is>
      </c>
      <c r="C864" s="2" t="inlineStr">
        <is>
          <t>O5193</t>
        </is>
      </c>
      <c r="D864" t="inlineStr">
        <is>
          <t>O4915</t>
        </is>
      </c>
      <c r="E864" s="2" t="n">
        <v>23</v>
      </c>
      <c r="F864" s="2">
        <f>_xlfn.XLOOKUP(C864,customers!$A$1:$A$1001,customers!$B$1:$B$1001,,0)</f>
        <v/>
      </c>
      <c r="G864" s="2">
        <f>IF(_xlfn.XLOOKUP(C864,customers!$A$1:$A$1001,customers!$C$1:$C$1001,,0)=0,"",_xlfn.XLOOKUP(C864,customers!$A$1:$A$1001,customers!$C$1:$C$1001,,0))</f>
        <v/>
      </c>
      <c r="H864" s="2">
        <f>_xlfn.XLOOKUP(C864,customers!$A$1:$A$1001,customers!$G$1:$G$1001,,0)</f>
        <v/>
      </c>
      <c r="I864">
        <f>INDEX(products!$A$1:$G$49,MATCH(orders!$D864,products!$A$1:$A$49,0),MATCH(orders!I$1,products!$A$1:$G$1,0))</f>
        <v/>
      </c>
      <c r="J864">
        <f>INDEX(products!$A$1:$G$49,MATCH(orders!$D864,products!$A$1:$A$49,0),MATCH(orders!J$1,products!$A$1:$G$1,0))</f>
        <v/>
      </c>
      <c r="K864" s="4">
        <f>INDEX(products!$A$1:$G$49,MATCH(orders!$D864,products!$A$1:$A$49,0),MATCH(orders!K$1,products!$A$1:$G$1,0))</f>
        <v/>
      </c>
      <c r="L864" s="5">
        <f>INDEX(products!$A$1:$G$49,MATCH(orders!$D864,products!$A$1:$A$49,0),MATCH(orders!L$1,products!$A$1:$G$1,0))</f>
        <v/>
      </c>
      <c r="M864" s="5">
        <f>L864*E864</f>
        <v/>
      </c>
      <c r="N864">
        <f>IF(I864="Rob","Robusta",IF(I864="Exc","Excelsa",IF(I864="Ara","Arabica",IF(I864="Lib","Liberica",""))))</f>
        <v/>
      </c>
      <c r="O864">
        <f>IF(J864="M","Medium",IF(J864="L","Light",IF(J864="D","Dark","")))</f>
        <v/>
      </c>
      <c r="P864">
        <f>_xlfn.XLOOKUP(Orders[[#This Row],[Customer ID]],customers!$A$1:$A$1001,customers!$I$1:$I$1001,,0)</f>
        <v/>
      </c>
    </row>
    <row r="865">
      <c r="A865" s="2" t="inlineStr">
        <is>
          <t>O2614</t>
        </is>
      </c>
      <c r="B865" s="3" t="inlineStr">
        <is>
          <t>2025-07-11</t>
        </is>
      </c>
      <c r="C865" s="2" t="inlineStr">
        <is>
          <t>O9006</t>
        </is>
      </c>
      <c r="D865" t="inlineStr">
        <is>
          <t>O7499</t>
        </is>
      </c>
      <c r="E865" s="2" t="n">
        <v>115</v>
      </c>
      <c r="F865" s="2">
        <f>_xlfn.XLOOKUP(C865,customers!$A$1:$A$1001,customers!$B$1:$B$1001,,0)</f>
        <v/>
      </c>
      <c r="G865" s="2">
        <f>IF(_xlfn.XLOOKUP(C865,customers!$A$1:$A$1001,customers!$C$1:$C$1001,,0)=0,"",_xlfn.XLOOKUP(C865,customers!$A$1:$A$1001,customers!$C$1:$C$1001,,0))</f>
        <v/>
      </c>
      <c r="H865" s="2">
        <f>_xlfn.XLOOKUP(C865,customers!$A$1:$A$1001,customers!$G$1:$G$1001,,0)</f>
        <v/>
      </c>
      <c r="I865">
        <f>INDEX(products!$A$1:$G$49,MATCH(orders!$D865,products!$A$1:$A$49,0),MATCH(orders!I$1,products!$A$1:$G$1,0))</f>
        <v/>
      </c>
      <c r="J865">
        <f>INDEX(products!$A$1:$G$49,MATCH(orders!$D865,products!$A$1:$A$49,0),MATCH(orders!J$1,products!$A$1:$G$1,0))</f>
        <v/>
      </c>
      <c r="K865" s="4">
        <f>INDEX(products!$A$1:$G$49,MATCH(orders!$D865,products!$A$1:$A$49,0),MATCH(orders!K$1,products!$A$1:$G$1,0))</f>
        <v/>
      </c>
      <c r="L865" s="5">
        <f>INDEX(products!$A$1:$G$49,MATCH(orders!$D865,products!$A$1:$A$49,0),MATCH(orders!L$1,products!$A$1:$G$1,0))</f>
        <v/>
      </c>
      <c r="M865" s="5">
        <f>L865*E865</f>
        <v/>
      </c>
      <c r="N865">
        <f>IF(I865="Rob","Robusta",IF(I865="Exc","Excelsa",IF(I865="Ara","Arabica",IF(I865="Lib","Liberica",""))))</f>
        <v/>
      </c>
      <c r="O865">
        <f>IF(J865="M","Medium",IF(J865="L","Light",IF(J865="D","Dark","")))</f>
        <v/>
      </c>
      <c r="P865">
        <f>_xlfn.XLOOKUP(Orders[[#This Row],[Customer ID]],customers!$A$1:$A$1001,customers!$I$1:$I$1001,,0)</f>
        <v/>
      </c>
    </row>
    <row r="866">
      <c r="A866" s="2" t="inlineStr">
        <is>
          <t>O8051</t>
        </is>
      </c>
      <c r="B866" s="3" t="inlineStr">
        <is>
          <t>2020-04-22</t>
        </is>
      </c>
      <c r="C866" s="2" t="inlineStr">
        <is>
          <t>O2910</t>
        </is>
      </c>
      <c r="D866" t="inlineStr">
        <is>
          <t>O8615</t>
        </is>
      </c>
      <c r="E866" s="2" t="n">
        <v>305</v>
      </c>
      <c r="F866" s="2">
        <f>_xlfn.XLOOKUP(C866,customers!$A$1:$A$1001,customers!$B$1:$B$1001,,0)</f>
        <v/>
      </c>
      <c r="G866" s="2">
        <f>IF(_xlfn.XLOOKUP(C866,customers!$A$1:$A$1001,customers!$C$1:$C$1001,,0)=0,"",_xlfn.XLOOKUP(C866,customers!$A$1:$A$1001,customers!$C$1:$C$1001,,0))</f>
        <v/>
      </c>
      <c r="H866" s="2">
        <f>_xlfn.XLOOKUP(C866,customers!$A$1:$A$1001,customers!$G$1:$G$1001,,0)</f>
        <v/>
      </c>
      <c r="I866">
        <f>INDEX(products!$A$1:$G$49,MATCH(orders!$D866,products!$A$1:$A$49,0),MATCH(orders!I$1,products!$A$1:$G$1,0))</f>
        <v/>
      </c>
      <c r="J866">
        <f>INDEX(products!$A$1:$G$49,MATCH(orders!$D866,products!$A$1:$A$49,0),MATCH(orders!J$1,products!$A$1:$G$1,0))</f>
        <v/>
      </c>
      <c r="K866" s="4">
        <f>INDEX(products!$A$1:$G$49,MATCH(orders!$D866,products!$A$1:$A$49,0),MATCH(orders!K$1,products!$A$1:$G$1,0))</f>
        <v/>
      </c>
      <c r="L866" s="5">
        <f>INDEX(products!$A$1:$G$49,MATCH(orders!$D866,products!$A$1:$A$49,0),MATCH(orders!L$1,products!$A$1:$G$1,0))</f>
        <v/>
      </c>
      <c r="M866" s="5">
        <f>L866*E866</f>
        <v/>
      </c>
      <c r="N866">
        <f>IF(I866="Rob","Robusta",IF(I866="Exc","Excelsa",IF(I866="Ara","Arabica",IF(I866="Lib","Liberica",""))))</f>
        <v/>
      </c>
      <c r="O866">
        <f>IF(J866="M","Medium",IF(J866="L","Light",IF(J866="D","Dark","")))</f>
        <v/>
      </c>
      <c r="P866">
        <f>_xlfn.XLOOKUP(Orders[[#This Row],[Customer ID]],customers!$A$1:$A$1001,customers!$I$1:$I$1001,,0)</f>
        <v/>
      </c>
    </row>
    <row r="867">
      <c r="A867" s="2" t="inlineStr">
        <is>
          <t>O2768</t>
        </is>
      </c>
      <c r="B867" s="3" t="inlineStr">
        <is>
          <t>2020-04-11</t>
        </is>
      </c>
      <c r="C867" s="2" t="inlineStr">
        <is>
          <t>O4511</t>
        </is>
      </c>
      <c r="D867" t="inlineStr">
        <is>
          <t>O3130</t>
        </is>
      </c>
      <c r="E867" s="2" t="n">
        <v>318</v>
      </c>
      <c r="F867" s="2">
        <f>_xlfn.XLOOKUP(C867,customers!$A$1:$A$1001,customers!$B$1:$B$1001,,0)</f>
        <v/>
      </c>
      <c r="G867" s="2">
        <f>IF(_xlfn.XLOOKUP(C867,customers!$A$1:$A$1001,customers!$C$1:$C$1001,,0)=0,"",_xlfn.XLOOKUP(C867,customers!$A$1:$A$1001,customers!$C$1:$C$1001,,0))</f>
        <v/>
      </c>
      <c r="H867" s="2">
        <f>_xlfn.XLOOKUP(C867,customers!$A$1:$A$1001,customers!$G$1:$G$1001,,0)</f>
        <v/>
      </c>
      <c r="I867">
        <f>INDEX(products!$A$1:$G$49,MATCH(orders!$D867,products!$A$1:$A$49,0),MATCH(orders!I$1,products!$A$1:$G$1,0))</f>
        <v/>
      </c>
      <c r="J867">
        <f>INDEX(products!$A$1:$G$49,MATCH(orders!$D867,products!$A$1:$A$49,0),MATCH(orders!J$1,products!$A$1:$G$1,0))</f>
        <v/>
      </c>
      <c r="K867" s="4">
        <f>INDEX(products!$A$1:$G$49,MATCH(orders!$D867,products!$A$1:$A$49,0),MATCH(orders!K$1,products!$A$1:$G$1,0))</f>
        <v/>
      </c>
      <c r="L867" s="5">
        <f>INDEX(products!$A$1:$G$49,MATCH(orders!$D867,products!$A$1:$A$49,0),MATCH(orders!L$1,products!$A$1:$G$1,0))</f>
        <v/>
      </c>
      <c r="M867" s="5">
        <f>L867*E867</f>
        <v/>
      </c>
      <c r="N867">
        <f>IF(I867="Rob","Robusta",IF(I867="Exc","Excelsa",IF(I867="Ara","Arabica",IF(I867="Lib","Liberica",""))))</f>
        <v/>
      </c>
      <c r="O867">
        <f>IF(J867="M","Medium",IF(J867="L","Light",IF(J867="D","Dark","")))</f>
        <v/>
      </c>
      <c r="P867">
        <f>_xlfn.XLOOKUP(Orders[[#This Row],[Customer ID]],customers!$A$1:$A$1001,customers!$I$1:$I$1001,,0)</f>
        <v/>
      </c>
    </row>
    <row r="868">
      <c r="A868" s="2" t="inlineStr">
        <is>
          <t>O9340</t>
        </is>
      </c>
      <c r="B868" s="3" t="inlineStr">
        <is>
          <t>2025-07-11</t>
        </is>
      </c>
      <c r="C868" s="2" t="inlineStr">
        <is>
          <t>O3342</t>
        </is>
      </c>
      <c r="D868" t="inlineStr">
        <is>
          <t>O8973</t>
        </is>
      </c>
      <c r="E868" s="2" t="n">
        <v>20</v>
      </c>
      <c r="F868" s="2">
        <f>_xlfn.XLOOKUP(C868,customers!$A$1:$A$1001,customers!$B$1:$B$1001,,0)</f>
        <v/>
      </c>
      <c r="G868" s="2">
        <f>IF(_xlfn.XLOOKUP(C868,customers!$A$1:$A$1001,customers!$C$1:$C$1001,,0)=0,"",_xlfn.XLOOKUP(C868,customers!$A$1:$A$1001,customers!$C$1:$C$1001,,0))</f>
        <v/>
      </c>
      <c r="H868" s="2">
        <f>_xlfn.XLOOKUP(C868,customers!$A$1:$A$1001,customers!$G$1:$G$1001,,0)</f>
        <v/>
      </c>
      <c r="I868">
        <f>INDEX(products!$A$1:$G$49,MATCH(orders!$D868,products!$A$1:$A$49,0),MATCH(orders!I$1,products!$A$1:$G$1,0))</f>
        <v/>
      </c>
      <c r="J868">
        <f>INDEX(products!$A$1:$G$49,MATCH(orders!$D868,products!$A$1:$A$49,0),MATCH(orders!J$1,products!$A$1:$G$1,0))</f>
        <v/>
      </c>
      <c r="K868" s="4">
        <f>INDEX(products!$A$1:$G$49,MATCH(orders!$D868,products!$A$1:$A$49,0),MATCH(orders!K$1,products!$A$1:$G$1,0))</f>
        <v/>
      </c>
      <c r="L868" s="5">
        <f>INDEX(products!$A$1:$G$49,MATCH(orders!$D868,products!$A$1:$A$49,0),MATCH(orders!L$1,products!$A$1:$G$1,0))</f>
        <v/>
      </c>
      <c r="M868" s="5">
        <f>L868*E868</f>
        <v/>
      </c>
      <c r="N868">
        <f>IF(I868="Rob","Robusta",IF(I868="Exc","Excelsa",IF(I868="Ara","Arabica",IF(I868="Lib","Liberica",""))))</f>
        <v/>
      </c>
      <c r="O868">
        <f>IF(J868="M","Medium",IF(J868="L","Light",IF(J868="D","Dark","")))</f>
        <v/>
      </c>
      <c r="P868">
        <f>_xlfn.XLOOKUP(Orders[[#This Row],[Customer ID]],customers!$A$1:$A$1001,customers!$I$1:$I$1001,,0)</f>
        <v/>
      </c>
    </row>
    <row r="869">
      <c r="A869" s="2" t="inlineStr">
        <is>
          <t>O1433</t>
        </is>
      </c>
      <c r="B869" s="3" t="inlineStr">
        <is>
          <t>2025-09-14</t>
        </is>
      </c>
      <c r="C869" s="2" t="inlineStr">
        <is>
          <t>O2354</t>
        </is>
      </c>
      <c r="D869" t="inlineStr">
        <is>
          <t>O2188</t>
        </is>
      </c>
      <c r="E869" s="2" t="n">
        <v>32</v>
      </c>
      <c r="F869" s="2">
        <f>_xlfn.XLOOKUP(C869,customers!$A$1:$A$1001,customers!$B$1:$B$1001,,0)</f>
        <v/>
      </c>
      <c r="G869" s="2">
        <f>IF(_xlfn.XLOOKUP(C869,customers!$A$1:$A$1001,customers!$C$1:$C$1001,,0)=0,"",_xlfn.XLOOKUP(C869,customers!$A$1:$A$1001,customers!$C$1:$C$1001,,0))</f>
        <v/>
      </c>
      <c r="H869" s="2">
        <f>_xlfn.XLOOKUP(C869,customers!$A$1:$A$1001,customers!$G$1:$G$1001,,0)</f>
        <v/>
      </c>
      <c r="I869">
        <f>INDEX(products!$A$1:$G$49,MATCH(orders!$D869,products!$A$1:$A$49,0),MATCH(orders!I$1,products!$A$1:$G$1,0))</f>
        <v/>
      </c>
      <c r="J869">
        <f>INDEX(products!$A$1:$G$49,MATCH(orders!$D869,products!$A$1:$A$49,0),MATCH(orders!J$1,products!$A$1:$G$1,0))</f>
        <v/>
      </c>
      <c r="K869" s="4">
        <f>INDEX(products!$A$1:$G$49,MATCH(orders!$D869,products!$A$1:$A$49,0),MATCH(orders!K$1,products!$A$1:$G$1,0))</f>
        <v/>
      </c>
      <c r="L869" s="5">
        <f>INDEX(products!$A$1:$G$49,MATCH(orders!$D869,products!$A$1:$A$49,0),MATCH(orders!L$1,products!$A$1:$G$1,0))</f>
        <v/>
      </c>
      <c r="M869" s="5">
        <f>L869*E869</f>
        <v/>
      </c>
      <c r="N869">
        <f>IF(I869="Rob","Robusta",IF(I869="Exc","Excelsa",IF(I869="Ara","Arabica",IF(I869="Lib","Liberica",""))))</f>
        <v/>
      </c>
      <c r="O869">
        <f>IF(J869="M","Medium",IF(J869="L","Light",IF(J869="D","Dark","")))</f>
        <v/>
      </c>
      <c r="P869">
        <f>_xlfn.XLOOKUP(Orders[[#This Row],[Customer ID]],customers!$A$1:$A$1001,customers!$I$1:$I$1001,,0)</f>
        <v/>
      </c>
    </row>
    <row r="870">
      <c r="A870" s="2" t="inlineStr">
        <is>
          <t>O6786</t>
        </is>
      </c>
      <c r="B870" s="3" t="inlineStr">
        <is>
          <t>2024-06-17</t>
        </is>
      </c>
      <c r="C870" s="2" t="inlineStr">
        <is>
          <t>O6109</t>
        </is>
      </c>
      <c r="D870" t="inlineStr">
        <is>
          <t>O6030</t>
        </is>
      </c>
      <c r="E870" s="2" t="n">
        <v>254</v>
      </c>
      <c r="F870" s="2">
        <f>_xlfn.XLOOKUP(C870,customers!$A$1:$A$1001,customers!$B$1:$B$1001,,0)</f>
        <v/>
      </c>
      <c r="G870" s="2">
        <f>IF(_xlfn.XLOOKUP(C870,customers!$A$1:$A$1001,customers!$C$1:$C$1001,,0)=0,"",_xlfn.XLOOKUP(C870,customers!$A$1:$A$1001,customers!$C$1:$C$1001,,0))</f>
        <v/>
      </c>
      <c r="H870" s="2">
        <f>_xlfn.XLOOKUP(C870,customers!$A$1:$A$1001,customers!$G$1:$G$1001,,0)</f>
        <v/>
      </c>
      <c r="I870">
        <f>INDEX(products!$A$1:$G$49,MATCH(orders!$D870,products!$A$1:$A$49,0),MATCH(orders!I$1,products!$A$1:$G$1,0))</f>
        <v/>
      </c>
      <c r="J870">
        <f>INDEX(products!$A$1:$G$49,MATCH(orders!$D870,products!$A$1:$A$49,0),MATCH(orders!J$1,products!$A$1:$G$1,0))</f>
        <v/>
      </c>
      <c r="K870" s="4">
        <f>INDEX(products!$A$1:$G$49,MATCH(orders!$D870,products!$A$1:$A$49,0),MATCH(orders!K$1,products!$A$1:$G$1,0))</f>
        <v/>
      </c>
      <c r="L870" s="5">
        <f>INDEX(products!$A$1:$G$49,MATCH(orders!$D870,products!$A$1:$A$49,0),MATCH(orders!L$1,products!$A$1:$G$1,0))</f>
        <v/>
      </c>
      <c r="M870" s="5">
        <f>L870*E870</f>
        <v/>
      </c>
      <c r="N870">
        <f>IF(I870="Rob","Robusta",IF(I870="Exc","Excelsa",IF(I870="Ara","Arabica",IF(I870="Lib","Liberica",""))))</f>
        <v/>
      </c>
      <c r="O870">
        <f>IF(J870="M","Medium",IF(J870="L","Light",IF(J870="D","Dark","")))</f>
        <v/>
      </c>
      <c r="P870">
        <f>_xlfn.XLOOKUP(Orders[[#This Row],[Customer ID]],customers!$A$1:$A$1001,customers!$I$1:$I$1001,,0)</f>
        <v/>
      </c>
    </row>
    <row r="871">
      <c r="A871" s="2" t="inlineStr">
        <is>
          <t>O6749</t>
        </is>
      </c>
      <c r="B871" s="3" t="inlineStr">
        <is>
          <t>2025-03-04</t>
        </is>
      </c>
      <c r="C871" s="2" t="inlineStr">
        <is>
          <t>O2170</t>
        </is>
      </c>
      <c r="D871" t="inlineStr">
        <is>
          <t>O9917</t>
        </is>
      </c>
      <c r="E871" s="2" t="n">
        <v>32</v>
      </c>
      <c r="F871" s="2">
        <f>_xlfn.XLOOKUP(C871,customers!$A$1:$A$1001,customers!$B$1:$B$1001,,0)</f>
        <v/>
      </c>
      <c r="G871" s="2">
        <f>IF(_xlfn.XLOOKUP(C871,customers!$A$1:$A$1001,customers!$C$1:$C$1001,,0)=0,"",_xlfn.XLOOKUP(C871,customers!$A$1:$A$1001,customers!$C$1:$C$1001,,0))</f>
        <v/>
      </c>
      <c r="H871" s="2">
        <f>_xlfn.XLOOKUP(C871,customers!$A$1:$A$1001,customers!$G$1:$G$1001,,0)</f>
        <v/>
      </c>
      <c r="I871">
        <f>INDEX(products!$A$1:$G$49,MATCH(orders!$D871,products!$A$1:$A$49,0),MATCH(orders!I$1,products!$A$1:$G$1,0))</f>
        <v/>
      </c>
      <c r="J871">
        <f>INDEX(products!$A$1:$G$49,MATCH(orders!$D871,products!$A$1:$A$49,0),MATCH(orders!J$1,products!$A$1:$G$1,0))</f>
        <v/>
      </c>
      <c r="K871" s="4">
        <f>INDEX(products!$A$1:$G$49,MATCH(orders!$D871,products!$A$1:$A$49,0),MATCH(orders!K$1,products!$A$1:$G$1,0))</f>
        <v/>
      </c>
      <c r="L871" s="5">
        <f>INDEX(products!$A$1:$G$49,MATCH(orders!$D871,products!$A$1:$A$49,0),MATCH(orders!L$1,products!$A$1:$G$1,0))</f>
        <v/>
      </c>
      <c r="M871" s="5">
        <f>L871*E871</f>
        <v/>
      </c>
      <c r="N871">
        <f>IF(I871="Rob","Robusta",IF(I871="Exc","Excelsa",IF(I871="Ara","Arabica",IF(I871="Lib","Liberica",""))))</f>
        <v/>
      </c>
      <c r="O871">
        <f>IF(J871="M","Medium",IF(J871="L","Light",IF(J871="D","Dark","")))</f>
        <v/>
      </c>
      <c r="P871">
        <f>_xlfn.XLOOKUP(Orders[[#This Row],[Customer ID]],customers!$A$1:$A$1001,customers!$I$1:$I$1001,,0)</f>
        <v/>
      </c>
    </row>
    <row r="872">
      <c r="A872" s="2" t="inlineStr">
        <is>
          <t>O9052</t>
        </is>
      </c>
      <c r="B872" s="3" t="inlineStr">
        <is>
          <t>2025-04-04</t>
        </is>
      </c>
      <c r="C872" s="2" t="inlineStr">
        <is>
          <t>O1798</t>
        </is>
      </c>
      <c r="D872" t="inlineStr">
        <is>
          <t>O8266</t>
        </is>
      </c>
      <c r="E872" s="2" t="n">
        <v>81</v>
      </c>
      <c r="F872" s="2">
        <f>_xlfn.XLOOKUP(C872,customers!$A$1:$A$1001,customers!$B$1:$B$1001,,0)</f>
        <v/>
      </c>
      <c r="G872" s="2">
        <f>IF(_xlfn.XLOOKUP(C872,customers!$A$1:$A$1001,customers!$C$1:$C$1001,,0)=0,"",_xlfn.XLOOKUP(C872,customers!$A$1:$A$1001,customers!$C$1:$C$1001,,0))</f>
        <v/>
      </c>
      <c r="H872" s="2">
        <f>_xlfn.XLOOKUP(C872,customers!$A$1:$A$1001,customers!$G$1:$G$1001,,0)</f>
        <v/>
      </c>
      <c r="I872">
        <f>INDEX(products!$A$1:$G$49,MATCH(orders!$D872,products!$A$1:$A$49,0),MATCH(orders!I$1,products!$A$1:$G$1,0))</f>
        <v/>
      </c>
      <c r="J872">
        <f>INDEX(products!$A$1:$G$49,MATCH(orders!$D872,products!$A$1:$A$49,0),MATCH(orders!J$1,products!$A$1:$G$1,0))</f>
        <v/>
      </c>
      <c r="K872" s="4">
        <f>INDEX(products!$A$1:$G$49,MATCH(orders!$D872,products!$A$1:$A$49,0),MATCH(orders!K$1,products!$A$1:$G$1,0))</f>
        <v/>
      </c>
      <c r="L872" s="5">
        <f>INDEX(products!$A$1:$G$49,MATCH(orders!$D872,products!$A$1:$A$49,0),MATCH(orders!L$1,products!$A$1:$G$1,0))</f>
        <v/>
      </c>
      <c r="M872" s="5">
        <f>L872*E872</f>
        <v/>
      </c>
      <c r="N872">
        <f>IF(I872="Rob","Robusta",IF(I872="Exc","Excelsa",IF(I872="Ara","Arabica",IF(I872="Lib","Liberica",""))))</f>
        <v/>
      </c>
      <c r="O872">
        <f>IF(J872="M","Medium",IF(J872="L","Light",IF(J872="D","Dark","")))</f>
        <v/>
      </c>
      <c r="P872">
        <f>_xlfn.XLOOKUP(Orders[[#This Row],[Customer ID]],customers!$A$1:$A$1001,customers!$I$1:$I$1001,,0)</f>
        <v/>
      </c>
    </row>
    <row r="873">
      <c r="A873" s="2" t="inlineStr">
        <is>
          <t>O9774</t>
        </is>
      </c>
      <c r="B873" s="3" t="inlineStr">
        <is>
          <t>2020-01-20</t>
        </is>
      </c>
      <c r="C873" s="2" t="inlineStr">
        <is>
          <t>O6697</t>
        </is>
      </c>
      <c r="D873" t="inlineStr">
        <is>
          <t>O7671</t>
        </is>
      </c>
      <c r="E873" s="2" t="n">
        <v>109</v>
      </c>
      <c r="F873" s="2">
        <f>_xlfn.XLOOKUP(C873,customers!$A$1:$A$1001,customers!$B$1:$B$1001,,0)</f>
        <v/>
      </c>
      <c r="G873" s="2">
        <f>IF(_xlfn.XLOOKUP(C873,customers!$A$1:$A$1001,customers!$C$1:$C$1001,,0)=0,"",_xlfn.XLOOKUP(C873,customers!$A$1:$A$1001,customers!$C$1:$C$1001,,0))</f>
        <v/>
      </c>
      <c r="H873" s="2">
        <f>_xlfn.XLOOKUP(C873,customers!$A$1:$A$1001,customers!$G$1:$G$1001,,0)</f>
        <v/>
      </c>
      <c r="I873">
        <f>INDEX(products!$A$1:$G$49,MATCH(orders!$D873,products!$A$1:$A$49,0),MATCH(orders!I$1,products!$A$1:$G$1,0))</f>
        <v/>
      </c>
      <c r="J873">
        <f>INDEX(products!$A$1:$G$49,MATCH(orders!$D873,products!$A$1:$A$49,0),MATCH(orders!J$1,products!$A$1:$G$1,0))</f>
        <v/>
      </c>
      <c r="K873" s="4">
        <f>INDEX(products!$A$1:$G$49,MATCH(orders!$D873,products!$A$1:$A$49,0),MATCH(orders!K$1,products!$A$1:$G$1,0))</f>
        <v/>
      </c>
      <c r="L873" s="5">
        <f>INDEX(products!$A$1:$G$49,MATCH(orders!$D873,products!$A$1:$A$49,0),MATCH(orders!L$1,products!$A$1:$G$1,0))</f>
        <v/>
      </c>
      <c r="M873" s="5">
        <f>L873*E873</f>
        <v/>
      </c>
      <c r="N873">
        <f>IF(I873="Rob","Robusta",IF(I873="Exc","Excelsa",IF(I873="Ara","Arabica",IF(I873="Lib","Liberica",""))))</f>
        <v/>
      </c>
      <c r="O873">
        <f>IF(J873="M","Medium",IF(J873="L","Light",IF(J873="D","Dark","")))</f>
        <v/>
      </c>
      <c r="P873">
        <f>_xlfn.XLOOKUP(Orders[[#This Row],[Customer ID]],customers!$A$1:$A$1001,customers!$I$1:$I$1001,,0)</f>
        <v/>
      </c>
    </row>
    <row r="874">
      <c r="A874" s="2" t="inlineStr">
        <is>
          <t>O8196</t>
        </is>
      </c>
      <c r="B874" s="3" t="inlineStr">
        <is>
          <t>2022-11-20</t>
        </is>
      </c>
      <c r="C874" s="2" t="inlineStr">
        <is>
          <t>O3581</t>
        </is>
      </c>
      <c r="D874" t="inlineStr">
        <is>
          <t>O8056</t>
        </is>
      </c>
      <c r="E874" s="2" t="n">
        <v>179</v>
      </c>
      <c r="F874" s="2">
        <f>_xlfn.XLOOKUP(C874,customers!$A$1:$A$1001,customers!$B$1:$B$1001,,0)</f>
        <v/>
      </c>
      <c r="G874" s="2">
        <f>IF(_xlfn.XLOOKUP(C874,customers!$A$1:$A$1001,customers!$C$1:$C$1001,,0)=0,"",_xlfn.XLOOKUP(C874,customers!$A$1:$A$1001,customers!$C$1:$C$1001,,0))</f>
        <v/>
      </c>
      <c r="H874" s="2">
        <f>_xlfn.XLOOKUP(C874,customers!$A$1:$A$1001,customers!$G$1:$G$1001,,0)</f>
        <v/>
      </c>
      <c r="I874">
        <f>INDEX(products!$A$1:$G$49,MATCH(orders!$D874,products!$A$1:$A$49,0),MATCH(orders!I$1,products!$A$1:$G$1,0))</f>
        <v/>
      </c>
      <c r="J874">
        <f>INDEX(products!$A$1:$G$49,MATCH(orders!$D874,products!$A$1:$A$49,0),MATCH(orders!J$1,products!$A$1:$G$1,0))</f>
        <v/>
      </c>
      <c r="K874" s="4">
        <f>INDEX(products!$A$1:$G$49,MATCH(orders!$D874,products!$A$1:$A$49,0),MATCH(orders!K$1,products!$A$1:$G$1,0))</f>
        <v/>
      </c>
      <c r="L874" s="5">
        <f>INDEX(products!$A$1:$G$49,MATCH(orders!$D874,products!$A$1:$A$49,0),MATCH(orders!L$1,products!$A$1:$G$1,0))</f>
        <v/>
      </c>
      <c r="M874" s="5">
        <f>L874*E874</f>
        <v/>
      </c>
      <c r="N874">
        <f>IF(I874="Rob","Robusta",IF(I874="Exc","Excelsa",IF(I874="Ara","Arabica",IF(I874="Lib","Liberica",""))))</f>
        <v/>
      </c>
      <c r="O874">
        <f>IF(J874="M","Medium",IF(J874="L","Light",IF(J874="D","Dark","")))</f>
        <v/>
      </c>
      <c r="P874">
        <f>_xlfn.XLOOKUP(Orders[[#This Row],[Customer ID]],customers!$A$1:$A$1001,customers!$I$1:$I$1001,,0)</f>
        <v/>
      </c>
    </row>
    <row r="875">
      <c r="A875" s="2" t="inlineStr">
        <is>
          <t>O2270</t>
        </is>
      </c>
      <c r="B875" s="3" t="inlineStr">
        <is>
          <t>2022-09-15</t>
        </is>
      </c>
      <c r="C875" s="2" t="inlineStr">
        <is>
          <t>O7684</t>
        </is>
      </c>
      <c r="D875" t="inlineStr">
        <is>
          <t>O7307</t>
        </is>
      </c>
      <c r="E875" s="2" t="n">
        <v>35</v>
      </c>
      <c r="F875" s="2">
        <f>_xlfn.XLOOKUP(C875,customers!$A$1:$A$1001,customers!$B$1:$B$1001,,0)</f>
        <v/>
      </c>
      <c r="G875" s="2">
        <f>IF(_xlfn.XLOOKUP(C875,customers!$A$1:$A$1001,customers!$C$1:$C$1001,,0)=0,"",_xlfn.XLOOKUP(C875,customers!$A$1:$A$1001,customers!$C$1:$C$1001,,0))</f>
        <v/>
      </c>
      <c r="H875" s="2">
        <f>_xlfn.XLOOKUP(C875,customers!$A$1:$A$1001,customers!$G$1:$G$1001,,0)</f>
        <v/>
      </c>
      <c r="I875">
        <f>INDEX(products!$A$1:$G$49,MATCH(orders!$D875,products!$A$1:$A$49,0),MATCH(orders!I$1,products!$A$1:$G$1,0))</f>
        <v/>
      </c>
      <c r="J875">
        <f>INDEX(products!$A$1:$G$49,MATCH(orders!$D875,products!$A$1:$A$49,0),MATCH(orders!J$1,products!$A$1:$G$1,0))</f>
        <v/>
      </c>
      <c r="K875" s="4">
        <f>INDEX(products!$A$1:$G$49,MATCH(orders!$D875,products!$A$1:$A$49,0),MATCH(orders!K$1,products!$A$1:$G$1,0))</f>
        <v/>
      </c>
      <c r="L875" s="5">
        <f>INDEX(products!$A$1:$G$49,MATCH(orders!$D875,products!$A$1:$A$49,0),MATCH(orders!L$1,products!$A$1:$G$1,0))</f>
        <v/>
      </c>
      <c r="M875" s="5">
        <f>L875*E875</f>
        <v/>
      </c>
      <c r="N875">
        <f>IF(I875="Rob","Robusta",IF(I875="Exc","Excelsa",IF(I875="Ara","Arabica",IF(I875="Lib","Liberica",""))))</f>
        <v/>
      </c>
      <c r="O875">
        <f>IF(J875="M","Medium",IF(J875="L","Light",IF(J875="D","Dark","")))</f>
        <v/>
      </c>
      <c r="P875">
        <f>_xlfn.XLOOKUP(Orders[[#This Row],[Customer ID]],customers!$A$1:$A$1001,customers!$I$1:$I$1001,,0)</f>
        <v/>
      </c>
    </row>
    <row r="876">
      <c r="A876" s="2" t="inlineStr">
        <is>
          <t>O1931</t>
        </is>
      </c>
      <c r="B876" s="3" t="inlineStr">
        <is>
          <t>2020-03-08</t>
        </is>
      </c>
      <c r="C876" s="2" t="inlineStr">
        <is>
          <t>O5167</t>
        </is>
      </c>
      <c r="D876" t="inlineStr">
        <is>
          <t>O6765</t>
        </is>
      </c>
      <c r="E876" s="2" t="n">
        <v>401</v>
      </c>
      <c r="F876" s="2">
        <f>_xlfn.XLOOKUP(C876,customers!$A$1:$A$1001,customers!$B$1:$B$1001,,0)</f>
        <v/>
      </c>
      <c r="G876" s="2">
        <f>IF(_xlfn.XLOOKUP(C876,customers!$A$1:$A$1001,customers!$C$1:$C$1001,,0)=0,"",_xlfn.XLOOKUP(C876,customers!$A$1:$A$1001,customers!$C$1:$C$1001,,0))</f>
        <v/>
      </c>
      <c r="H876" s="2">
        <f>_xlfn.XLOOKUP(C876,customers!$A$1:$A$1001,customers!$G$1:$G$1001,,0)</f>
        <v/>
      </c>
      <c r="I876">
        <f>INDEX(products!$A$1:$G$49,MATCH(orders!$D876,products!$A$1:$A$49,0),MATCH(orders!I$1,products!$A$1:$G$1,0))</f>
        <v/>
      </c>
      <c r="J876">
        <f>INDEX(products!$A$1:$G$49,MATCH(orders!$D876,products!$A$1:$A$49,0),MATCH(orders!J$1,products!$A$1:$G$1,0))</f>
        <v/>
      </c>
      <c r="K876" s="4">
        <f>INDEX(products!$A$1:$G$49,MATCH(orders!$D876,products!$A$1:$A$49,0),MATCH(orders!K$1,products!$A$1:$G$1,0))</f>
        <v/>
      </c>
      <c r="L876" s="5">
        <f>INDEX(products!$A$1:$G$49,MATCH(orders!$D876,products!$A$1:$A$49,0),MATCH(orders!L$1,products!$A$1:$G$1,0))</f>
        <v/>
      </c>
      <c r="M876" s="5">
        <f>L876*E876</f>
        <v/>
      </c>
      <c r="N876">
        <f>IF(I876="Rob","Robusta",IF(I876="Exc","Excelsa",IF(I876="Ara","Arabica",IF(I876="Lib","Liberica",""))))</f>
        <v/>
      </c>
      <c r="O876">
        <f>IF(J876="M","Medium",IF(J876="L","Light",IF(J876="D","Dark","")))</f>
        <v/>
      </c>
      <c r="P876">
        <f>_xlfn.XLOOKUP(Orders[[#This Row],[Customer ID]],customers!$A$1:$A$1001,customers!$I$1:$I$1001,,0)</f>
        <v/>
      </c>
    </row>
    <row r="877">
      <c r="A877" s="2" t="inlineStr">
        <is>
          <t>O3101</t>
        </is>
      </c>
      <c r="B877" s="3" t="inlineStr">
        <is>
          <t>2022-10-01</t>
        </is>
      </c>
      <c r="C877" s="2" t="inlineStr">
        <is>
          <t>O5471</t>
        </is>
      </c>
      <c r="D877" t="inlineStr">
        <is>
          <t>O8310</t>
        </is>
      </c>
      <c r="E877" s="2" t="n">
        <v>220</v>
      </c>
      <c r="F877" s="2">
        <f>_xlfn.XLOOKUP(C877,customers!$A$1:$A$1001,customers!$B$1:$B$1001,,0)</f>
        <v/>
      </c>
      <c r="G877" s="2">
        <f>IF(_xlfn.XLOOKUP(C877,customers!$A$1:$A$1001,customers!$C$1:$C$1001,,0)=0,"",_xlfn.XLOOKUP(C877,customers!$A$1:$A$1001,customers!$C$1:$C$1001,,0))</f>
        <v/>
      </c>
      <c r="H877" s="2">
        <f>_xlfn.XLOOKUP(C877,customers!$A$1:$A$1001,customers!$G$1:$G$1001,,0)</f>
        <v/>
      </c>
      <c r="I877">
        <f>INDEX(products!$A$1:$G$49,MATCH(orders!$D877,products!$A$1:$A$49,0),MATCH(orders!I$1,products!$A$1:$G$1,0))</f>
        <v/>
      </c>
      <c r="J877">
        <f>INDEX(products!$A$1:$G$49,MATCH(orders!$D877,products!$A$1:$A$49,0),MATCH(orders!J$1,products!$A$1:$G$1,0))</f>
        <v/>
      </c>
      <c r="K877" s="4">
        <f>INDEX(products!$A$1:$G$49,MATCH(orders!$D877,products!$A$1:$A$49,0),MATCH(orders!K$1,products!$A$1:$G$1,0))</f>
        <v/>
      </c>
      <c r="L877" s="5">
        <f>INDEX(products!$A$1:$G$49,MATCH(orders!$D877,products!$A$1:$A$49,0),MATCH(orders!L$1,products!$A$1:$G$1,0))</f>
        <v/>
      </c>
      <c r="M877" s="5">
        <f>L877*E877</f>
        <v/>
      </c>
      <c r="N877">
        <f>IF(I877="Rob","Robusta",IF(I877="Exc","Excelsa",IF(I877="Ara","Arabica",IF(I877="Lib","Liberica",""))))</f>
        <v/>
      </c>
      <c r="O877">
        <f>IF(J877="M","Medium",IF(J877="L","Light",IF(J877="D","Dark","")))</f>
        <v/>
      </c>
      <c r="P877">
        <f>_xlfn.XLOOKUP(Orders[[#This Row],[Customer ID]],customers!$A$1:$A$1001,customers!$I$1:$I$1001,,0)</f>
        <v/>
      </c>
    </row>
    <row r="878">
      <c r="A878" s="2" t="inlineStr">
        <is>
          <t>O5229</t>
        </is>
      </c>
      <c r="B878" s="3" t="inlineStr">
        <is>
          <t>2024-05-28</t>
        </is>
      </c>
      <c r="C878" s="2" t="inlineStr">
        <is>
          <t>O7951</t>
        </is>
      </c>
      <c r="D878" t="inlineStr">
        <is>
          <t>O1651</t>
        </is>
      </c>
      <c r="E878" s="2" t="n">
        <v>315</v>
      </c>
      <c r="F878" s="2">
        <f>_xlfn.XLOOKUP(C878,customers!$A$1:$A$1001,customers!$B$1:$B$1001,,0)</f>
        <v/>
      </c>
      <c r="G878" s="2">
        <f>IF(_xlfn.XLOOKUP(C878,customers!$A$1:$A$1001,customers!$C$1:$C$1001,,0)=0,"",_xlfn.XLOOKUP(C878,customers!$A$1:$A$1001,customers!$C$1:$C$1001,,0))</f>
        <v/>
      </c>
      <c r="H878" s="2">
        <f>_xlfn.XLOOKUP(C878,customers!$A$1:$A$1001,customers!$G$1:$G$1001,,0)</f>
        <v/>
      </c>
      <c r="I878">
        <f>INDEX(products!$A$1:$G$49,MATCH(orders!$D878,products!$A$1:$A$49,0),MATCH(orders!I$1,products!$A$1:$G$1,0))</f>
        <v/>
      </c>
      <c r="J878">
        <f>INDEX(products!$A$1:$G$49,MATCH(orders!$D878,products!$A$1:$A$49,0),MATCH(orders!J$1,products!$A$1:$G$1,0))</f>
        <v/>
      </c>
      <c r="K878" s="4">
        <f>INDEX(products!$A$1:$G$49,MATCH(orders!$D878,products!$A$1:$A$49,0),MATCH(orders!K$1,products!$A$1:$G$1,0))</f>
        <v/>
      </c>
      <c r="L878" s="5">
        <f>INDEX(products!$A$1:$G$49,MATCH(orders!$D878,products!$A$1:$A$49,0),MATCH(orders!L$1,products!$A$1:$G$1,0))</f>
        <v/>
      </c>
      <c r="M878" s="5">
        <f>L878*E878</f>
        <v/>
      </c>
      <c r="N878">
        <f>IF(I878="Rob","Robusta",IF(I878="Exc","Excelsa",IF(I878="Ara","Arabica",IF(I878="Lib","Liberica",""))))</f>
        <v/>
      </c>
      <c r="O878">
        <f>IF(J878="M","Medium",IF(J878="L","Light",IF(J878="D","Dark","")))</f>
        <v/>
      </c>
      <c r="P878">
        <f>_xlfn.XLOOKUP(Orders[[#This Row],[Customer ID]],customers!$A$1:$A$1001,customers!$I$1:$I$1001,,0)</f>
        <v/>
      </c>
    </row>
    <row r="879">
      <c r="A879" s="2" t="inlineStr">
        <is>
          <t>O5894</t>
        </is>
      </c>
      <c r="B879" s="3" t="inlineStr">
        <is>
          <t>2022-08-16</t>
        </is>
      </c>
      <c r="C879" s="2" t="inlineStr">
        <is>
          <t>O3689</t>
        </is>
      </c>
      <c r="D879" t="inlineStr">
        <is>
          <t>O9401</t>
        </is>
      </c>
      <c r="E879" s="2" t="n">
        <v>228</v>
      </c>
      <c r="F879" s="2">
        <f>_xlfn.XLOOKUP(C879,customers!$A$1:$A$1001,customers!$B$1:$B$1001,,0)</f>
        <v/>
      </c>
      <c r="G879" s="2">
        <f>IF(_xlfn.XLOOKUP(C879,customers!$A$1:$A$1001,customers!$C$1:$C$1001,,0)=0,"",_xlfn.XLOOKUP(C879,customers!$A$1:$A$1001,customers!$C$1:$C$1001,,0))</f>
        <v/>
      </c>
      <c r="H879" s="2">
        <f>_xlfn.XLOOKUP(C879,customers!$A$1:$A$1001,customers!$G$1:$G$1001,,0)</f>
        <v/>
      </c>
      <c r="I879">
        <f>INDEX(products!$A$1:$G$49,MATCH(orders!$D879,products!$A$1:$A$49,0),MATCH(orders!I$1,products!$A$1:$G$1,0))</f>
        <v/>
      </c>
      <c r="J879">
        <f>INDEX(products!$A$1:$G$49,MATCH(orders!$D879,products!$A$1:$A$49,0),MATCH(orders!J$1,products!$A$1:$G$1,0))</f>
        <v/>
      </c>
      <c r="K879" s="4">
        <f>INDEX(products!$A$1:$G$49,MATCH(orders!$D879,products!$A$1:$A$49,0),MATCH(orders!K$1,products!$A$1:$G$1,0))</f>
        <v/>
      </c>
      <c r="L879" s="5">
        <f>INDEX(products!$A$1:$G$49,MATCH(orders!$D879,products!$A$1:$A$49,0),MATCH(orders!L$1,products!$A$1:$G$1,0))</f>
        <v/>
      </c>
      <c r="M879" s="5">
        <f>L879*E879</f>
        <v/>
      </c>
      <c r="N879">
        <f>IF(I879="Rob","Robusta",IF(I879="Exc","Excelsa",IF(I879="Ara","Arabica",IF(I879="Lib","Liberica",""))))</f>
        <v/>
      </c>
      <c r="O879">
        <f>IF(J879="M","Medium",IF(J879="L","Light",IF(J879="D","Dark","")))</f>
        <v/>
      </c>
      <c r="P879">
        <f>_xlfn.XLOOKUP(Orders[[#This Row],[Customer ID]],customers!$A$1:$A$1001,customers!$I$1:$I$1001,,0)</f>
        <v/>
      </c>
    </row>
    <row r="880">
      <c r="A880" s="2" t="inlineStr">
        <is>
          <t>O2707</t>
        </is>
      </c>
      <c r="B880" s="3" t="inlineStr">
        <is>
          <t>2021-11-06</t>
        </is>
      </c>
      <c r="C880" s="2" t="inlineStr">
        <is>
          <t>O3978</t>
        </is>
      </c>
      <c r="D880" t="inlineStr">
        <is>
          <t>O3487</t>
        </is>
      </c>
      <c r="E880" s="2" t="n">
        <v>228</v>
      </c>
      <c r="F880" s="2">
        <f>_xlfn.XLOOKUP(C880,customers!$A$1:$A$1001,customers!$B$1:$B$1001,,0)</f>
        <v/>
      </c>
      <c r="G880" s="2">
        <f>IF(_xlfn.XLOOKUP(C880,customers!$A$1:$A$1001,customers!$C$1:$C$1001,,0)=0,"",_xlfn.XLOOKUP(C880,customers!$A$1:$A$1001,customers!$C$1:$C$1001,,0))</f>
        <v/>
      </c>
      <c r="H880" s="2">
        <f>_xlfn.XLOOKUP(C880,customers!$A$1:$A$1001,customers!$G$1:$G$1001,,0)</f>
        <v/>
      </c>
      <c r="I880">
        <f>INDEX(products!$A$1:$G$49,MATCH(orders!$D880,products!$A$1:$A$49,0),MATCH(orders!I$1,products!$A$1:$G$1,0))</f>
        <v/>
      </c>
      <c r="J880">
        <f>INDEX(products!$A$1:$G$49,MATCH(orders!$D880,products!$A$1:$A$49,0),MATCH(orders!J$1,products!$A$1:$G$1,0))</f>
        <v/>
      </c>
      <c r="K880" s="4">
        <f>INDEX(products!$A$1:$G$49,MATCH(orders!$D880,products!$A$1:$A$49,0),MATCH(orders!K$1,products!$A$1:$G$1,0))</f>
        <v/>
      </c>
      <c r="L880" s="5">
        <f>INDEX(products!$A$1:$G$49,MATCH(orders!$D880,products!$A$1:$A$49,0),MATCH(orders!L$1,products!$A$1:$G$1,0))</f>
        <v/>
      </c>
      <c r="M880" s="5">
        <f>L880*E880</f>
        <v/>
      </c>
      <c r="N880">
        <f>IF(I880="Rob","Robusta",IF(I880="Exc","Excelsa",IF(I880="Ara","Arabica",IF(I880="Lib","Liberica",""))))</f>
        <v/>
      </c>
      <c r="O880">
        <f>IF(J880="M","Medium",IF(J880="L","Light",IF(J880="D","Dark","")))</f>
        <v/>
      </c>
      <c r="P880">
        <f>_xlfn.XLOOKUP(Orders[[#This Row],[Customer ID]],customers!$A$1:$A$1001,customers!$I$1:$I$1001,,0)</f>
        <v/>
      </c>
    </row>
    <row r="881">
      <c r="A881" s="2" t="inlineStr">
        <is>
          <t>O7072</t>
        </is>
      </c>
      <c r="B881" s="3" t="inlineStr">
        <is>
          <t>2024-02-20</t>
        </is>
      </c>
      <c r="C881" s="2" t="inlineStr">
        <is>
          <t>O4295</t>
        </is>
      </c>
      <c r="D881" t="inlineStr">
        <is>
          <t>O8117</t>
        </is>
      </c>
      <c r="E881" s="2" t="n">
        <v>60</v>
      </c>
      <c r="F881" s="2">
        <f>_xlfn.XLOOKUP(C881,customers!$A$1:$A$1001,customers!$B$1:$B$1001,,0)</f>
        <v/>
      </c>
      <c r="G881" s="2">
        <f>IF(_xlfn.XLOOKUP(C881,customers!$A$1:$A$1001,customers!$C$1:$C$1001,,0)=0,"",_xlfn.XLOOKUP(C881,customers!$A$1:$A$1001,customers!$C$1:$C$1001,,0))</f>
        <v/>
      </c>
      <c r="H881" s="2">
        <f>_xlfn.XLOOKUP(C881,customers!$A$1:$A$1001,customers!$G$1:$G$1001,,0)</f>
        <v/>
      </c>
      <c r="I881">
        <f>INDEX(products!$A$1:$G$49,MATCH(orders!$D881,products!$A$1:$A$49,0),MATCH(orders!I$1,products!$A$1:$G$1,0))</f>
        <v/>
      </c>
      <c r="J881">
        <f>INDEX(products!$A$1:$G$49,MATCH(orders!$D881,products!$A$1:$A$49,0),MATCH(orders!J$1,products!$A$1:$G$1,0))</f>
        <v/>
      </c>
      <c r="K881" s="4">
        <f>INDEX(products!$A$1:$G$49,MATCH(orders!$D881,products!$A$1:$A$49,0),MATCH(orders!K$1,products!$A$1:$G$1,0))</f>
        <v/>
      </c>
      <c r="L881" s="5">
        <f>INDEX(products!$A$1:$G$49,MATCH(orders!$D881,products!$A$1:$A$49,0),MATCH(orders!L$1,products!$A$1:$G$1,0))</f>
        <v/>
      </c>
      <c r="M881" s="5">
        <f>L881*E881</f>
        <v/>
      </c>
      <c r="N881">
        <f>IF(I881="Rob","Robusta",IF(I881="Exc","Excelsa",IF(I881="Ara","Arabica",IF(I881="Lib","Liberica",""))))</f>
        <v/>
      </c>
      <c r="O881">
        <f>IF(J881="M","Medium",IF(J881="L","Light",IF(J881="D","Dark","")))</f>
        <v/>
      </c>
      <c r="P881">
        <f>_xlfn.XLOOKUP(Orders[[#This Row],[Customer ID]],customers!$A$1:$A$1001,customers!$I$1:$I$1001,,0)</f>
        <v/>
      </c>
    </row>
    <row r="882">
      <c r="A882" s="2" t="inlineStr">
        <is>
          <t>O2199</t>
        </is>
      </c>
      <c r="B882" s="3" t="inlineStr">
        <is>
          <t>2024-05-15</t>
        </is>
      </c>
      <c r="C882" s="2" t="inlineStr">
        <is>
          <t>O7131</t>
        </is>
      </c>
      <c r="D882" t="inlineStr">
        <is>
          <t>O9689</t>
        </is>
      </c>
      <c r="E882" s="2" t="n">
        <v>437</v>
      </c>
      <c r="F882" s="2">
        <f>_xlfn.XLOOKUP(C882,customers!$A$1:$A$1001,customers!$B$1:$B$1001,,0)</f>
        <v/>
      </c>
      <c r="G882" s="2">
        <f>IF(_xlfn.XLOOKUP(C882,customers!$A$1:$A$1001,customers!$C$1:$C$1001,,0)=0,"",_xlfn.XLOOKUP(C882,customers!$A$1:$A$1001,customers!$C$1:$C$1001,,0))</f>
        <v/>
      </c>
      <c r="H882" s="2">
        <f>_xlfn.XLOOKUP(C882,customers!$A$1:$A$1001,customers!$G$1:$G$1001,,0)</f>
        <v/>
      </c>
      <c r="I882">
        <f>INDEX(products!$A$1:$G$49,MATCH(orders!$D882,products!$A$1:$A$49,0),MATCH(orders!I$1,products!$A$1:$G$1,0))</f>
        <v/>
      </c>
      <c r="J882">
        <f>INDEX(products!$A$1:$G$49,MATCH(orders!$D882,products!$A$1:$A$49,0),MATCH(orders!J$1,products!$A$1:$G$1,0))</f>
        <v/>
      </c>
      <c r="K882" s="4">
        <f>INDEX(products!$A$1:$G$49,MATCH(orders!$D882,products!$A$1:$A$49,0),MATCH(orders!K$1,products!$A$1:$G$1,0))</f>
        <v/>
      </c>
      <c r="L882" s="5">
        <f>INDEX(products!$A$1:$G$49,MATCH(orders!$D882,products!$A$1:$A$49,0),MATCH(orders!L$1,products!$A$1:$G$1,0))</f>
        <v/>
      </c>
      <c r="M882" s="5">
        <f>L882*E882</f>
        <v/>
      </c>
      <c r="N882">
        <f>IF(I882="Rob","Robusta",IF(I882="Exc","Excelsa",IF(I882="Ara","Arabica",IF(I882="Lib","Liberica",""))))</f>
        <v/>
      </c>
      <c r="O882">
        <f>IF(J882="M","Medium",IF(J882="L","Light",IF(J882="D","Dark","")))</f>
        <v/>
      </c>
      <c r="P882">
        <f>_xlfn.XLOOKUP(Orders[[#This Row],[Customer ID]],customers!$A$1:$A$1001,customers!$I$1:$I$1001,,0)</f>
        <v/>
      </c>
    </row>
    <row r="883">
      <c r="A883" s="2" t="inlineStr">
        <is>
          <t>O8294</t>
        </is>
      </c>
      <c r="B883" s="3" t="inlineStr">
        <is>
          <t>2023-09-05</t>
        </is>
      </c>
      <c r="C883" s="2" t="inlineStr">
        <is>
          <t>O2528</t>
        </is>
      </c>
      <c r="D883" t="inlineStr">
        <is>
          <t>O5368</t>
        </is>
      </c>
      <c r="E883" s="2" t="n">
        <v>116</v>
      </c>
      <c r="F883" s="2">
        <f>_xlfn.XLOOKUP(C883,customers!$A$1:$A$1001,customers!$B$1:$B$1001,,0)</f>
        <v/>
      </c>
      <c r="G883" s="2">
        <f>IF(_xlfn.XLOOKUP(C883,customers!$A$1:$A$1001,customers!$C$1:$C$1001,,0)=0,"",_xlfn.XLOOKUP(C883,customers!$A$1:$A$1001,customers!$C$1:$C$1001,,0))</f>
        <v/>
      </c>
      <c r="H883" s="2">
        <f>_xlfn.XLOOKUP(C883,customers!$A$1:$A$1001,customers!$G$1:$G$1001,,0)</f>
        <v/>
      </c>
      <c r="I883">
        <f>INDEX(products!$A$1:$G$49,MATCH(orders!$D883,products!$A$1:$A$49,0),MATCH(orders!I$1,products!$A$1:$G$1,0))</f>
        <v/>
      </c>
      <c r="J883">
        <f>INDEX(products!$A$1:$G$49,MATCH(orders!$D883,products!$A$1:$A$49,0),MATCH(orders!J$1,products!$A$1:$G$1,0))</f>
        <v/>
      </c>
      <c r="K883" s="4">
        <f>INDEX(products!$A$1:$G$49,MATCH(orders!$D883,products!$A$1:$A$49,0),MATCH(orders!K$1,products!$A$1:$G$1,0))</f>
        <v/>
      </c>
      <c r="L883" s="5">
        <f>INDEX(products!$A$1:$G$49,MATCH(orders!$D883,products!$A$1:$A$49,0),MATCH(orders!L$1,products!$A$1:$G$1,0))</f>
        <v/>
      </c>
      <c r="M883" s="5">
        <f>L883*E883</f>
        <v/>
      </c>
      <c r="N883">
        <f>IF(I883="Rob","Robusta",IF(I883="Exc","Excelsa",IF(I883="Ara","Arabica",IF(I883="Lib","Liberica",""))))</f>
        <v/>
      </c>
      <c r="O883">
        <f>IF(J883="M","Medium",IF(J883="L","Light",IF(J883="D","Dark","")))</f>
        <v/>
      </c>
      <c r="P883">
        <f>_xlfn.XLOOKUP(Orders[[#This Row],[Customer ID]],customers!$A$1:$A$1001,customers!$I$1:$I$1001,,0)</f>
        <v/>
      </c>
    </row>
    <row r="884">
      <c r="A884" s="2" t="inlineStr">
        <is>
          <t>O4674</t>
        </is>
      </c>
      <c r="B884" s="3" t="inlineStr">
        <is>
          <t>2024-10-08</t>
        </is>
      </c>
      <c r="C884" s="2" t="inlineStr">
        <is>
          <t>O9167</t>
        </is>
      </c>
      <c r="D884" t="inlineStr">
        <is>
          <t>O3164</t>
        </is>
      </c>
      <c r="E884" s="2" t="n">
        <v>129</v>
      </c>
      <c r="F884" s="2">
        <f>_xlfn.XLOOKUP(C884,customers!$A$1:$A$1001,customers!$B$1:$B$1001,,0)</f>
        <v/>
      </c>
      <c r="G884" s="2">
        <f>IF(_xlfn.XLOOKUP(C884,customers!$A$1:$A$1001,customers!$C$1:$C$1001,,0)=0,"",_xlfn.XLOOKUP(C884,customers!$A$1:$A$1001,customers!$C$1:$C$1001,,0))</f>
        <v/>
      </c>
      <c r="H884" s="2">
        <f>_xlfn.XLOOKUP(C884,customers!$A$1:$A$1001,customers!$G$1:$G$1001,,0)</f>
        <v/>
      </c>
      <c r="I884">
        <f>INDEX(products!$A$1:$G$49,MATCH(orders!$D884,products!$A$1:$A$49,0),MATCH(orders!I$1,products!$A$1:$G$1,0))</f>
        <v/>
      </c>
      <c r="J884">
        <f>INDEX(products!$A$1:$G$49,MATCH(orders!$D884,products!$A$1:$A$49,0),MATCH(orders!J$1,products!$A$1:$G$1,0))</f>
        <v/>
      </c>
      <c r="K884" s="4">
        <f>INDEX(products!$A$1:$G$49,MATCH(orders!$D884,products!$A$1:$A$49,0),MATCH(orders!K$1,products!$A$1:$G$1,0))</f>
        <v/>
      </c>
      <c r="L884" s="5">
        <f>INDEX(products!$A$1:$G$49,MATCH(orders!$D884,products!$A$1:$A$49,0),MATCH(orders!L$1,products!$A$1:$G$1,0))</f>
        <v/>
      </c>
      <c r="M884" s="5">
        <f>L884*E884</f>
        <v/>
      </c>
      <c r="N884">
        <f>IF(I884="Rob","Robusta",IF(I884="Exc","Excelsa",IF(I884="Ara","Arabica",IF(I884="Lib","Liberica",""))))</f>
        <v/>
      </c>
      <c r="O884">
        <f>IF(J884="M","Medium",IF(J884="L","Light",IF(J884="D","Dark","")))</f>
        <v/>
      </c>
      <c r="P884">
        <f>_xlfn.XLOOKUP(Orders[[#This Row],[Customer ID]],customers!$A$1:$A$1001,customers!$I$1:$I$1001,,0)</f>
        <v/>
      </c>
    </row>
    <row r="885">
      <c r="A885" s="2" t="inlineStr">
        <is>
          <t>O8288</t>
        </is>
      </c>
      <c r="B885" s="3" t="inlineStr">
        <is>
          <t>2020-10-29</t>
        </is>
      </c>
      <c r="C885" s="2" t="inlineStr">
        <is>
          <t>O4747</t>
        </is>
      </c>
      <c r="D885" t="inlineStr">
        <is>
          <t>O1743</t>
        </is>
      </c>
      <c r="E885" s="2" t="n">
        <v>146</v>
      </c>
      <c r="F885" s="2">
        <f>_xlfn.XLOOKUP(C885,customers!$A$1:$A$1001,customers!$B$1:$B$1001,,0)</f>
        <v/>
      </c>
      <c r="G885" s="2">
        <f>IF(_xlfn.XLOOKUP(C885,customers!$A$1:$A$1001,customers!$C$1:$C$1001,,0)=0,"",_xlfn.XLOOKUP(C885,customers!$A$1:$A$1001,customers!$C$1:$C$1001,,0))</f>
        <v/>
      </c>
      <c r="H885" s="2">
        <f>_xlfn.XLOOKUP(C885,customers!$A$1:$A$1001,customers!$G$1:$G$1001,,0)</f>
        <v/>
      </c>
      <c r="I885">
        <f>INDEX(products!$A$1:$G$49,MATCH(orders!$D885,products!$A$1:$A$49,0),MATCH(orders!I$1,products!$A$1:$G$1,0))</f>
        <v/>
      </c>
      <c r="J885">
        <f>INDEX(products!$A$1:$G$49,MATCH(orders!$D885,products!$A$1:$A$49,0),MATCH(orders!J$1,products!$A$1:$G$1,0))</f>
        <v/>
      </c>
      <c r="K885" s="4">
        <f>INDEX(products!$A$1:$G$49,MATCH(orders!$D885,products!$A$1:$A$49,0),MATCH(orders!K$1,products!$A$1:$G$1,0))</f>
        <v/>
      </c>
      <c r="L885" s="5">
        <f>INDEX(products!$A$1:$G$49,MATCH(orders!$D885,products!$A$1:$A$49,0),MATCH(orders!L$1,products!$A$1:$G$1,0))</f>
        <v/>
      </c>
      <c r="M885" s="5">
        <f>L885*E885</f>
        <v/>
      </c>
      <c r="N885">
        <f>IF(I885="Rob","Robusta",IF(I885="Exc","Excelsa",IF(I885="Ara","Arabica",IF(I885="Lib","Liberica",""))))</f>
        <v/>
      </c>
      <c r="O885">
        <f>IF(J885="M","Medium",IF(J885="L","Light",IF(J885="D","Dark","")))</f>
        <v/>
      </c>
      <c r="P885">
        <f>_xlfn.XLOOKUP(Orders[[#This Row],[Customer ID]],customers!$A$1:$A$1001,customers!$I$1:$I$1001,,0)</f>
        <v/>
      </c>
    </row>
    <row r="886">
      <c r="A886" s="2" t="inlineStr">
        <is>
          <t>O6901</t>
        </is>
      </c>
      <c r="B886" s="3" t="inlineStr">
        <is>
          <t>2020-10-15</t>
        </is>
      </c>
      <c r="C886" s="2" t="inlineStr">
        <is>
          <t>O6645</t>
        </is>
      </c>
      <c r="D886" t="inlineStr">
        <is>
          <t>O6543</t>
        </is>
      </c>
      <c r="E886" s="2" t="n">
        <v>74</v>
      </c>
      <c r="F886" s="2">
        <f>_xlfn.XLOOKUP(C886,customers!$A$1:$A$1001,customers!$B$1:$B$1001,,0)</f>
        <v/>
      </c>
      <c r="G886" s="2">
        <f>IF(_xlfn.XLOOKUP(C886,customers!$A$1:$A$1001,customers!$C$1:$C$1001,,0)=0,"",_xlfn.XLOOKUP(C886,customers!$A$1:$A$1001,customers!$C$1:$C$1001,,0))</f>
        <v/>
      </c>
      <c r="H886" s="2">
        <f>_xlfn.XLOOKUP(C886,customers!$A$1:$A$1001,customers!$G$1:$G$1001,,0)</f>
        <v/>
      </c>
      <c r="I886">
        <f>INDEX(products!$A$1:$G$49,MATCH(orders!$D886,products!$A$1:$A$49,0),MATCH(orders!I$1,products!$A$1:$G$1,0))</f>
        <v/>
      </c>
      <c r="J886">
        <f>INDEX(products!$A$1:$G$49,MATCH(orders!$D886,products!$A$1:$A$49,0),MATCH(orders!J$1,products!$A$1:$G$1,0))</f>
        <v/>
      </c>
      <c r="K886" s="4">
        <f>INDEX(products!$A$1:$G$49,MATCH(orders!$D886,products!$A$1:$A$49,0),MATCH(orders!K$1,products!$A$1:$G$1,0))</f>
        <v/>
      </c>
      <c r="L886" s="5">
        <f>INDEX(products!$A$1:$G$49,MATCH(orders!$D886,products!$A$1:$A$49,0),MATCH(orders!L$1,products!$A$1:$G$1,0))</f>
        <v/>
      </c>
      <c r="M886" s="5">
        <f>L886*E886</f>
        <v/>
      </c>
      <c r="N886">
        <f>IF(I886="Rob","Robusta",IF(I886="Exc","Excelsa",IF(I886="Ara","Arabica",IF(I886="Lib","Liberica",""))))</f>
        <v/>
      </c>
      <c r="O886">
        <f>IF(J886="M","Medium",IF(J886="L","Light",IF(J886="D","Dark","")))</f>
        <v/>
      </c>
      <c r="P886">
        <f>_xlfn.XLOOKUP(Orders[[#This Row],[Customer ID]],customers!$A$1:$A$1001,customers!$I$1:$I$1001,,0)</f>
        <v/>
      </c>
    </row>
    <row r="887">
      <c r="A887" s="2" t="inlineStr">
        <is>
          <t>O6644</t>
        </is>
      </c>
      <c r="B887" s="3" t="inlineStr">
        <is>
          <t>2020-11-04</t>
        </is>
      </c>
      <c r="C887" s="2" t="inlineStr">
        <is>
          <t>O2540</t>
        </is>
      </c>
      <c r="D887" t="inlineStr">
        <is>
          <t>O8895</t>
        </is>
      </c>
      <c r="E887" s="2" t="n">
        <v>438</v>
      </c>
      <c r="F887" s="2">
        <f>_xlfn.XLOOKUP(C887,customers!$A$1:$A$1001,customers!$B$1:$B$1001,,0)</f>
        <v/>
      </c>
      <c r="G887" s="2">
        <f>IF(_xlfn.XLOOKUP(C887,customers!$A$1:$A$1001,customers!$C$1:$C$1001,,0)=0,"",_xlfn.XLOOKUP(C887,customers!$A$1:$A$1001,customers!$C$1:$C$1001,,0))</f>
        <v/>
      </c>
      <c r="H887" s="2">
        <f>_xlfn.XLOOKUP(C887,customers!$A$1:$A$1001,customers!$G$1:$G$1001,,0)</f>
        <v/>
      </c>
      <c r="I887">
        <f>INDEX(products!$A$1:$G$49,MATCH(orders!$D887,products!$A$1:$A$49,0),MATCH(orders!I$1,products!$A$1:$G$1,0))</f>
        <v/>
      </c>
      <c r="J887">
        <f>INDEX(products!$A$1:$G$49,MATCH(orders!$D887,products!$A$1:$A$49,0),MATCH(orders!J$1,products!$A$1:$G$1,0))</f>
        <v/>
      </c>
      <c r="K887" s="4">
        <f>INDEX(products!$A$1:$G$49,MATCH(orders!$D887,products!$A$1:$A$49,0),MATCH(orders!K$1,products!$A$1:$G$1,0))</f>
        <v/>
      </c>
      <c r="L887" s="5">
        <f>INDEX(products!$A$1:$G$49,MATCH(orders!$D887,products!$A$1:$A$49,0),MATCH(orders!L$1,products!$A$1:$G$1,0))</f>
        <v/>
      </c>
      <c r="M887" s="5">
        <f>L887*E887</f>
        <v/>
      </c>
      <c r="N887">
        <f>IF(I887="Rob","Robusta",IF(I887="Exc","Excelsa",IF(I887="Ara","Arabica",IF(I887="Lib","Liberica",""))))</f>
        <v/>
      </c>
      <c r="O887">
        <f>IF(J887="M","Medium",IF(J887="L","Light",IF(J887="D","Dark","")))</f>
        <v/>
      </c>
      <c r="P887">
        <f>_xlfn.XLOOKUP(Orders[[#This Row],[Customer ID]],customers!$A$1:$A$1001,customers!$I$1:$I$1001,,0)</f>
        <v/>
      </c>
    </row>
    <row r="888">
      <c r="A888" s="2" t="inlineStr">
        <is>
          <t>O8617</t>
        </is>
      </c>
      <c r="B888" s="3" t="inlineStr">
        <is>
          <t>2020-11-13</t>
        </is>
      </c>
      <c r="C888" s="2" t="inlineStr">
        <is>
          <t>O4343</t>
        </is>
      </c>
      <c r="D888" t="inlineStr">
        <is>
          <t>O4492</t>
        </is>
      </c>
      <c r="E888" s="2" t="n">
        <v>418</v>
      </c>
      <c r="F888" s="2">
        <f>_xlfn.XLOOKUP(C888,customers!$A$1:$A$1001,customers!$B$1:$B$1001,,0)</f>
        <v/>
      </c>
      <c r="G888" s="2">
        <f>IF(_xlfn.XLOOKUP(C888,customers!$A$1:$A$1001,customers!$C$1:$C$1001,,0)=0,"",_xlfn.XLOOKUP(C888,customers!$A$1:$A$1001,customers!$C$1:$C$1001,,0))</f>
        <v/>
      </c>
      <c r="H888" s="2">
        <f>_xlfn.XLOOKUP(C888,customers!$A$1:$A$1001,customers!$G$1:$G$1001,,0)</f>
        <v/>
      </c>
      <c r="I888">
        <f>INDEX(products!$A$1:$G$49,MATCH(orders!$D888,products!$A$1:$A$49,0),MATCH(orders!I$1,products!$A$1:$G$1,0))</f>
        <v/>
      </c>
      <c r="J888">
        <f>INDEX(products!$A$1:$G$49,MATCH(orders!$D888,products!$A$1:$A$49,0),MATCH(orders!J$1,products!$A$1:$G$1,0))</f>
        <v/>
      </c>
      <c r="K888" s="4">
        <f>INDEX(products!$A$1:$G$49,MATCH(orders!$D888,products!$A$1:$A$49,0),MATCH(orders!K$1,products!$A$1:$G$1,0))</f>
        <v/>
      </c>
      <c r="L888" s="5">
        <f>INDEX(products!$A$1:$G$49,MATCH(orders!$D888,products!$A$1:$A$49,0),MATCH(orders!L$1,products!$A$1:$G$1,0))</f>
        <v/>
      </c>
      <c r="M888" s="5">
        <f>L888*E888</f>
        <v/>
      </c>
      <c r="N888">
        <f>IF(I888="Rob","Robusta",IF(I888="Exc","Excelsa",IF(I888="Ara","Arabica",IF(I888="Lib","Liberica",""))))</f>
        <v/>
      </c>
      <c r="O888">
        <f>IF(J888="M","Medium",IF(J888="L","Light",IF(J888="D","Dark","")))</f>
        <v/>
      </c>
      <c r="P888">
        <f>_xlfn.XLOOKUP(Orders[[#This Row],[Customer ID]],customers!$A$1:$A$1001,customers!$I$1:$I$1001,,0)</f>
        <v/>
      </c>
    </row>
    <row r="889">
      <c r="A889" s="2" t="inlineStr">
        <is>
          <t>O8755</t>
        </is>
      </c>
      <c r="B889" s="3" t="inlineStr">
        <is>
          <t>2025-03-19</t>
        </is>
      </c>
      <c r="C889" s="2" t="inlineStr">
        <is>
          <t>O3187</t>
        </is>
      </c>
      <c r="D889" t="inlineStr">
        <is>
          <t>O7825</t>
        </is>
      </c>
      <c r="E889" s="2" t="n">
        <v>254</v>
      </c>
      <c r="F889" s="2">
        <f>_xlfn.XLOOKUP(C889,customers!$A$1:$A$1001,customers!$B$1:$B$1001,,0)</f>
        <v/>
      </c>
      <c r="G889" s="2">
        <f>IF(_xlfn.XLOOKUP(C889,customers!$A$1:$A$1001,customers!$C$1:$C$1001,,0)=0,"",_xlfn.XLOOKUP(C889,customers!$A$1:$A$1001,customers!$C$1:$C$1001,,0))</f>
        <v/>
      </c>
      <c r="H889" s="2">
        <f>_xlfn.XLOOKUP(C889,customers!$A$1:$A$1001,customers!$G$1:$G$1001,,0)</f>
        <v/>
      </c>
      <c r="I889">
        <f>INDEX(products!$A$1:$G$49,MATCH(orders!$D889,products!$A$1:$A$49,0),MATCH(orders!I$1,products!$A$1:$G$1,0))</f>
        <v/>
      </c>
      <c r="J889">
        <f>INDEX(products!$A$1:$G$49,MATCH(orders!$D889,products!$A$1:$A$49,0),MATCH(orders!J$1,products!$A$1:$G$1,0))</f>
        <v/>
      </c>
      <c r="K889" s="4">
        <f>INDEX(products!$A$1:$G$49,MATCH(orders!$D889,products!$A$1:$A$49,0),MATCH(orders!K$1,products!$A$1:$G$1,0))</f>
        <v/>
      </c>
      <c r="L889" s="5">
        <f>INDEX(products!$A$1:$G$49,MATCH(orders!$D889,products!$A$1:$A$49,0),MATCH(orders!L$1,products!$A$1:$G$1,0))</f>
        <v/>
      </c>
      <c r="M889" s="5">
        <f>L889*E889</f>
        <v/>
      </c>
      <c r="N889">
        <f>IF(I889="Rob","Robusta",IF(I889="Exc","Excelsa",IF(I889="Ara","Arabica",IF(I889="Lib","Liberica",""))))</f>
        <v/>
      </c>
      <c r="O889">
        <f>IF(J889="M","Medium",IF(J889="L","Light",IF(J889="D","Dark","")))</f>
        <v/>
      </c>
      <c r="P889">
        <f>_xlfn.XLOOKUP(Orders[[#This Row],[Customer ID]],customers!$A$1:$A$1001,customers!$I$1:$I$1001,,0)</f>
        <v/>
      </c>
    </row>
    <row r="890">
      <c r="A890" s="2" t="inlineStr">
        <is>
          <t>O9276</t>
        </is>
      </c>
      <c r="B890" s="3" t="inlineStr">
        <is>
          <t>2022-05-28</t>
        </is>
      </c>
      <c r="C890" s="2" t="inlineStr">
        <is>
          <t>O6880</t>
        </is>
      </c>
      <c r="D890" t="inlineStr">
        <is>
          <t>O4114</t>
        </is>
      </c>
      <c r="E890" s="2" t="n">
        <v>143</v>
      </c>
      <c r="F890" s="2">
        <f>_xlfn.XLOOKUP(C890,customers!$A$1:$A$1001,customers!$B$1:$B$1001,,0)</f>
        <v/>
      </c>
      <c r="G890" s="2">
        <f>IF(_xlfn.XLOOKUP(C890,customers!$A$1:$A$1001,customers!$C$1:$C$1001,,0)=0,"",_xlfn.XLOOKUP(C890,customers!$A$1:$A$1001,customers!$C$1:$C$1001,,0))</f>
        <v/>
      </c>
      <c r="H890" s="2">
        <f>_xlfn.XLOOKUP(C890,customers!$A$1:$A$1001,customers!$G$1:$G$1001,,0)</f>
        <v/>
      </c>
      <c r="I890">
        <f>INDEX(products!$A$1:$G$49,MATCH(orders!$D890,products!$A$1:$A$49,0),MATCH(orders!I$1,products!$A$1:$G$1,0))</f>
        <v/>
      </c>
      <c r="J890">
        <f>INDEX(products!$A$1:$G$49,MATCH(orders!$D890,products!$A$1:$A$49,0),MATCH(orders!J$1,products!$A$1:$G$1,0))</f>
        <v/>
      </c>
      <c r="K890" s="4">
        <f>INDEX(products!$A$1:$G$49,MATCH(orders!$D890,products!$A$1:$A$49,0),MATCH(orders!K$1,products!$A$1:$G$1,0))</f>
        <v/>
      </c>
      <c r="L890" s="5">
        <f>INDEX(products!$A$1:$G$49,MATCH(orders!$D890,products!$A$1:$A$49,0),MATCH(orders!L$1,products!$A$1:$G$1,0))</f>
        <v/>
      </c>
      <c r="M890" s="5">
        <f>L890*E890</f>
        <v/>
      </c>
      <c r="N890">
        <f>IF(I890="Rob","Robusta",IF(I890="Exc","Excelsa",IF(I890="Ara","Arabica",IF(I890="Lib","Liberica",""))))</f>
        <v/>
      </c>
      <c r="O890">
        <f>IF(J890="M","Medium",IF(J890="L","Light",IF(J890="D","Dark","")))</f>
        <v/>
      </c>
      <c r="P890">
        <f>_xlfn.XLOOKUP(Orders[[#This Row],[Customer ID]],customers!$A$1:$A$1001,customers!$I$1:$I$1001,,0)</f>
        <v/>
      </c>
    </row>
    <row r="891">
      <c r="A891" s="2" t="inlineStr">
        <is>
          <t>O2003</t>
        </is>
      </c>
      <c r="B891" s="3" t="inlineStr">
        <is>
          <t>2021-09-14</t>
        </is>
      </c>
      <c r="C891" s="2" t="inlineStr">
        <is>
          <t>O6673</t>
        </is>
      </c>
      <c r="D891" t="inlineStr">
        <is>
          <t>O1633</t>
        </is>
      </c>
      <c r="E891" s="2" t="n">
        <v>460</v>
      </c>
      <c r="F891" s="2">
        <f>_xlfn.XLOOKUP(C891,customers!$A$1:$A$1001,customers!$B$1:$B$1001,,0)</f>
        <v/>
      </c>
      <c r="G891" s="2">
        <f>IF(_xlfn.XLOOKUP(C891,customers!$A$1:$A$1001,customers!$C$1:$C$1001,,0)=0,"",_xlfn.XLOOKUP(C891,customers!$A$1:$A$1001,customers!$C$1:$C$1001,,0))</f>
        <v/>
      </c>
      <c r="H891" s="2">
        <f>_xlfn.XLOOKUP(C891,customers!$A$1:$A$1001,customers!$G$1:$G$1001,,0)</f>
        <v/>
      </c>
      <c r="I891">
        <f>INDEX(products!$A$1:$G$49,MATCH(orders!$D891,products!$A$1:$A$49,0),MATCH(orders!I$1,products!$A$1:$G$1,0))</f>
        <v/>
      </c>
      <c r="J891">
        <f>INDEX(products!$A$1:$G$49,MATCH(orders!$D891,products!$A$1:$A$49,0),MATCH(orders!J$1,products!$A$1:$G$1,0))</f>
        <v/>
      </c>
      <c r="K891" s="4">
        <f>INDEX(products!$A$1:$G$49,MATCH(orders!$D891,products!$A$1:$A$49,0),MATCH(orders!K$1,products!$A$1:$G$1,0))</f>
        <v/>
      </c>
      <c r="L891" s="5">
        <f>INDEX(products!$A$1:$G$49,MATCH(orders!$D891,products!$A$1:$A$49,0),MATCH(orders!L$1,products!$A$1:$G$1,0))</f>
        <v/>
      </c>
      <c r="M891" s="5">
        <f>L891*E891</f>
        <v/>
      </c>
      <c r="N891">
        <f>IF(I891="Rob","Robusta",IF(I891="Exc","Excelsa",IF(I891="Ara","Arabica",IF(I891="Lib","Liberica",""))))</f>
        <v/>
      </c>
      <c r="O891">
        <f>IF(J891="M","Medium",IF(J891="L","Light",IF(J891="D","Dark","")))</f>
        <v/>
      </c>
      <c r="P891">
        <f>_xlfn.XLOOKUP(Orders[[#This Row],[Customer ID]],customers!$A$1:$A$1001,customers!$I$1:$I$1001,,0)</f>
        <v/>
      </c>
    </row>
    <row r="892">
      <c r="A892" s="2" t="inlineStr">
        <is>
          <t>O9414</t>
        </is>
      </c>
      <c r="B892" s="3" t="inlineStr">
        <is>
          <t>2021-04-22</t>
        </is>
      </c>
      <c r="C892" s="2" t="inlineStr">
        <is>
          <t>O4848</t>
        </is>
      </c>
      <c r="D892" t="inlineStr">
        <is>
          <t>O8149</t>
        </is>
      </c>
      <c r="E892" s="2" t="n">
        <v>420</v>
      </c>
      <c r="F892" s="2">
        <f>_xlfn.XLOOKUP(C892,customers!$A$1:$A$1001,customers!$B$1:$B$1001,,0)</f>
        <v/>
      </c>
      <c r="G892" s="2">
        <f>IF(_xlfn.XLOOKUP(C892,customers!$A$1:$A$1001,customers!$C$1:$C$1001,,0)=0,"",_xlfn.XLOOKUP(C892,customers!$A$1:$A$1001,customers!$C$1:$C$1001,,0))</f>
        <v/>
      </c>
      <c r="H892" s="2">
        <f>_xlfn.XLOOKUP(C892,customers!$A$1:$A$1001,customers!$G$1:$G$1001,,0)</f>
        <v/>
      </c>
      <c r="I892">
        <f>INDEX(products!$A$1:$G$49,MATCH(orders!$D892,products!$A$1:$A$49,0),MATCH(orders!I$1,products!$A$1:$G$1,0))</f>
        <v/>
      </c>
      <c r="J892">
        <f>INDEX(products!$A$1:$G$49,MATCH(orders!$D892,products!$A$1:$A$49,0),MATCH(orders!J$1,products!$A$1:$G$1,0))</f>
        <v/>
      </c>
      <c r="K892" s="4">
        <f>INDEX(products!$A$1:$G$49,MATCH(orders!$D892,products!$A$1:$A$49,0),MATCH(orders!K$1,products!$A$1:$G$1,0))</f>
        <v/>
      </c>
      <c r="L892" s="5">
        <f>INDEX(products!$A$1:$G$49,MATCH(orders!$D892,products!$A$1:$A$49,0),MATCH(orders!L$1,products!$A$1:$G$1,0))</f>
        <v/>
      </c>
      <c r="M892" s="5">
        <f>L892*E892</f>
        <v/>
      </c>
      <c r="N892">
        <f>IF(I892="Rob","Robusta",IF(I892="Exc","Excelsa",IF(I892="Ara","Arabica",IF(I892="Lib","Liberica",""))))</f>
        <v/>
      </c>
      <c r="O892">
        <f>IF(J892="M","Medium",IF(J892="L","Light",IF(J892="D","Dark","")))</f>
        <v/>
      </c>
      <c r="P892">
        <f>_xlfn.XLOOKUP(Orders[[#This Row],[Customer ID]],customers!$A$1:$A$1001,customers!$I$1:$I$1001,,0)</f>
        <v/>
      </c>
    </row>
    <row r="893">
      <c r="A893" s="2" t="inlineStr">
        <is>
          <t>O9590</t>
        </is>
      </c>
      <c r="B893" s="3" t="inlineStr">
        <is>
          <t>2021-03-27</t>
        </is>
      </c>
      <c r="C893" s="2" t="inlineStr">
        <is>
          <t>O9097</t>
        </is>
      </c>
      <c r="D893" t="inlineStr">
        <is>
          <t>O7766</t>
        </is>
      </c>
      <c r="E893" s="2" t="n">
        <v>159</v>
      </c>
      <c r="F893" s="2">
        <f>_xlfn.XLOOKUP(C893,customers!$A$1:$A$1001,customers!$B$1:$B$1001,,0)</f>
        <v/>
      </c>
      <c r="G893" s="2">
        <f>IF(_xlfn.XLOOKUP(C893,customers!$A$1:$A$1001,customers!$C$1:$C$1001,,0)=0,"",_xlfn.XLOOKUP(C893,customers!$A$1:$A$1001,customers!$C$1:$C$1001,,0))</f>
        <v/>
      </c>
      <c r="H893" s="2">
        <f>_xlfn.XLOOKUP(C893,customers!$A$1:$A$1001,customers!$G$1:$G$1001,,0)</f>
        <v/>
      </c>
      <c r="I893">
        <f>INDEX(products!$A$1:$G$49,MATCH(orders!$D893,products!$A$1:$A$49,0),MATCH(orders!I$1,products!$A$1:$G$1,0))</f>
        <v/>
      </c>
      <c r="J893">
        <f>INDEX(products!$A$1:$G$49,MATCH(orders!$D893,products!$A$1:$A$49,0),MATCH(orders!J$1,products!$A$1:$G$1,0))</f>
        <v/>
      </c>
      <c r="K893" s="4">
        <f>INDEX(products!$A$1:$G$49,MATCH(orders!$D893,products!$A$1:$A$49,0),MATCH(orders!K$1,products!$A$1:$G$1,0))</f>
        <v/>
      </c>
      <c r="L893" s="5">
        <f>INDEX(products!$A$1:$G$49,MATCH(orders!$D893,products!$A$1:$A$49,0),MATCH(orders!L$1,products!$A$1:$G$1,0))</f>
        <v/>
      </c>
      <c r="M893" s="5">
        <f>L893*E893</f>
        <v/>
      </c>
      <c r="N893">
        <f>IF(I893="Rob","Robusta",IF(I893="Exc","Excelsa",IF(I893="Ara","Arabica",IF(I893="Lib","Liberica",""))))</f>
        <v/>
      </c>
      <c r="O893">
        <f>IF(J893="M","Medium",IF(J893="L","Light",IF(J893="D","Dark","")))</f>
        <v/>
      </c>
      <c r="P893">
        <f>_xlfn.XLOOKUP(Orders[[#This Row],[Customer ID]],customers!$A$1:$A$1001,customers!$I$1:$I$1001,,0)</f>
        <v/>
      </c>
    </row>
    <row r="894">
      <c r="A894" s="2" t="inlineStr">
        <is>
          <t>O3642</t>
        </is>
      </c>
      <c r="B894" s="3" t="inlineStr">
        <is>
          <t>2021-09-08</t>
        </is>
      </c>
      <c r="C894" s="2" t="inlineStr">
        <is>
          <t>O4019</t>
        </is>
      </c>
      <c r="D894" t="inlineStr">
        <is>
          <t>O3157</t>
        </is>
      </c>
      <c r="E894" s="2" t="n">
        <v>378</v>
      </c>
      <c r="F894" s="2">
        <f>_xlfn.XLOOKUP(C894,customers!$A$1:$A$1001,customers!$B$1:$B$1001,,0)</f>
        <v/>
      </c>
      <c r="G894" s="2">
        <f>IF(_xlfn.XLOOKUP(C894,customers!$A$1:$A$1001,customers!$C$1:$C$1001,,0)=0,"",_xlfn.XLOOKUP(C894,customers!$A$1:$A$1001,customers!$C$1:$C$1001,,0))</f>
        <v/>
      </c>
      <c r="H894" s="2">
        <f>_xlfn.XLOOKUP(C894,customers!$A$1:$A$1001,customers!$G$1:$G$1001,,0)</f>
        <v/>
      </c>
      <c r="I894">
        <f>INDEX(products!$A$1:$G$49,MATCH(orders!$D894,products!$A$1:$A$49,0),MATCH(orders!I$1,products!$A$1:$G$1,0))</f>
        <v/>
      </c>
      <c r="J894">
        <f>INDEX(products!$A$1:$G$49,MATCH(orders!$D894,products!$A$1:$A$49,0),MATCH(orders!J$1,products!$A$1:$G$1,0))</f>
        <v/>
      </c>
      <c r="K894" s="4">
        <f>INDEX(products!$A$1:$G$49,MATCH(orders!$D894,products!$A$1:$A$49,0),MATCH(orders!K$1,products!$A$1:$G$1,0))</f>
        <v/>
      </c>
      <c r="L894" s="5">
        <f>INDEX(products!$A$1:$G$49,MATCH(orders!$D894,products!$A$1:$A$49,0),MATCH(orders!L$1,products!$A$1:$G$1,0))</f>
        <v/>
      </c>
      <c r="M894" s="5">
        <f>L894*E894</f>
        <v/>
      </c>
      <c r="N894">
        <f>IF(I894="Rob","Robusta",IF(I894="Exc","Excelsa",IF(I894="Ara","Arabica",IF(I894="Lib","Liberica",""))))</f>
        <v/>
      </c>
      <c r="O894">
        <f>IF(J894="M","Medium",IF(J894="L","Light",IF(J894="D","Dark","")))</f>
        <v/>
      </c>
      <c r="P894">
        <f>_xlfn.XLOOKUP(Orders[[#This Row],[Customer ID]],customers!$A$1:$A$1001,customers!$I$1:$I$1001,,0)</f>
        <v/>
      </c>
    </row>
    <row r="895">
      <c r="A895" s="2" t="inlineStr">
        <is>
          <t>O5770</t>
        </is>
      </c>
      <c r="B895" s="3" t="inlineStr">
        <is>
          <t>2023-07-19</t>
        </is>
      </c>
      <c r="C895" s="2" t="inlineStr">
        <is>
          <t>O2387</t>
        </is>
      </c>
      <c r="D895" t="inlineStr">
        <is>
          <t>O3851</t>
        </is>
      </c>
      <c r="E895" s="2" t="n">
        <v>490</v>
      </c>
      <c r="F895" s="2">
        <f>_xlfn.XLOOKUP(C895,customers!$A$1:$A$1001,customers!$B$1:$B$1001,,0)</f>
        <v/>
      </c>
      <c r="G895" s="2">
        <f>IF(_xlfn.XLOOKUP(C895,customers!$A$1:$A$1001,customers!$C$1:$C$1001,,0)=0,"",_xlfn.XLOOKUP(C895,customers!$A$1:$A$1001,customers!$C$1:$C$1001,,0))</f>
        <v/>
      </c>
      <c r="H895" s="2">
        <f>_xlfn.XLOOKUP(C895,customers!$A$1:$A$1001,customers!$G$1:$G$1001,,0)</f>
        <v/>
      </c>
      <c r="I895">
        <f>INDEX(products!$A$1:$G$49,MATCH(orders!$D895,products!$A$1:$A$49,0),MATCH(orders!I$1,products!$A$1:$G$1,0))</f>
        <v/>
      </c>
      <c r="J895">
        <f>INDEX(products!$A$1:$G$49,MATCH(orders!$D895,products!$A$1:$A$49,0),MATCH(orders!J$1,products!$A$1:$G$1,0))</f>
        <v/>
      </c>
      <c r="K895" s="4">
        <f>INDEX(products!$A$1:$G$49,MATCH(orders!$D895,products!$A$1:$A$49,0),MATCH(orders!K$1,products!$A$1:$G$1,0))</f>
        <v/>
      </c>
      <c r="L895" s="5">
        <f>INDEX(products!$A$1:$G$49,MATCH(orders!$D895,products!$A$1:$A$49,0),MATCH(orders!L$1,products!$A$1:$G$1,0))</f>
        <v/>
      </c>
      <c r="M895" s="5">
        <f>L895*E895</f>
        <v/>
      </c>
      <c r="N895">
        <f>IF(I895="Rob","Robusta",IF(I895="Exc","Excelsa",IF(I895="Ara","Arabica",IF(I895="Lib","Liberica",""))))</f>
        <v/>
      </c>
      <c r="O895">
        <f>IF(J895="M","Medium",IF(J895="L","Light",IF(J895="D","Dark","")))</f>
        <v/>
      </c>
      <c r="P895">
        <f>_xlfn.XLOOKUP(Orders[[#This Row],[Customer ID]],customers!$A$1:$A$1001,customers!$I$1:$I$1001,,0)</f>
        <v/>
      </c>
    </row>
    <row r="896">
      <c r="A896" s="2" t="inlineStr">
        <is>
          <t>O5161</t>
        </is>
      </c>
      <c r="B896" s="3" t="inlineStr">
        <is>
          <t>2025-01-08</t>
        </is>
      </c>
      <c r="C896" s="2" t="inlineStr">
        <is>
          <t>O7324</t>
        </is>
      </c>
      <c r="D896" t="inlineStr">
        <is>
          <t>O6720</t>
        </is>
      </c>
      <c r="E896" s="2" t="n">
        <v>323</v>
      </c>
      <c r="F896" s="2">
        <f>_xlfn.XLOOKUP(C896,customers!$A$1:$A$1001,customers!$B$1:$B$1001,,0)</f>
        <v/>
      </c>
      <c r="G896" s="2">
        <f>IF(_xlfn.XLOOKUP(C896,customers!$A$1:$A$1001,customers!$C$1:$C$1001,,0)=0,"",_xlfn.XLOOKUP(C896,customers!$A$1:$A$1001,customers!$C$1:$C$1001,,0))</f>
        <v/>
      </c>
      <c r="H896" s="2">
        <f>_xlfn.XLOOKUP(C896,customers!$A$1:$A$1001,customers!$G$1:$G$1001,,0)</f>
        <v/>
      </c>
      <c r="I896">
        <f>INDEX(products!$A$1:$G$49,MATCH(orders!$D896,products!$A$1:$A$49,0),MATCH(orders!I$1,products!$A$1:$G$1,0))</f>
        <v/>
      </c>
      <c r="J896">
        <f>INDEX(products!$A$1:$G$49,MATCH(orders!$D896,products!$A$1:$A$49,0),MATCH(orders!J$1,products!$A$1:$G$1,0))</f>
        <v/>
      </c>
      <c r="K896" s="4">
        <f>INDEX(products!$A$1:$G$49,MATCH(orders!$D896,products!$A$1:$A$49,0),MATCH(orders!K$1,products!$A$1:$G$1,0))</f>
        <v/>
      </c>
      <c r="L896" s="5">
        <f>INDEX(products!$A$1:$G$49,MATCH(orders!$D896,products!$A$1:$A$49,0),MATCH(orders!L$1,products!$A$1:$G$1,0))</f>
        <v/>
      </c>
      <c r="M896" s="5">
        <f>L896*E896</f>
        <v/>
      </c>
      <c r="N896">
        <f>IF(I896="Rob","Robusta",IF(I896="Exc","Excelsa",IF(I896="Ara","Arabica",IF(I896="Lib","Liberica",""))))</f>
        <v/>
      </c>
      <c r="O896">
        <f>IF(J896="M","Medium",IF(J896="L","Light",IF(J896="D","Dark","")))</f>
        <v/>
      </c>
      <c r="P896">
        <f>_xlfn.XLOOKUP(Orders[[#This Row],[Customer ID]],customers!$A$1:$A$1001,customers!$I$1:$I$1001,,0)</f>
        <v/>
      </c>
    </row>
    <row r="897">
      <c r="A897" s="2" t="inlineStr">
        <is>
          <t>O6296</t>
        </is>
      </c>
      <c r="B897" s="3" t="inlineStr">
        <is>
          <t>2023-02-21</t>
        </is>
      </c>
      <c r="C897" s="2" t="inlineStr">
        <is>
          <t>O2400</t>
        </is>
      </c>
      <c r="D897" t="inlineStr">
        <is>
          <t>O7869</t>
        </is>
      </c>
      <c r="E897" s="2" t="n">
        <v>496</v>
      </c>
      <c r="F897" s="2">
        <f>_xlfn.XLOOKUP(C897,customers!$A$1:$A$1001,customers!$B$1:$B$1001,,0)</f>
        <v/>
      </c>
      <c r="G897" s="2">
        <f>IF(_xlfn.XLOOKUP(C897,customers!$A$1:$A$1001,customers!$C$1:$C$1001,,0)=0,"",_xlfn.XLOOKUP(C897,customers!$A$1:$A$1001,customers!$C$1:$C$1001,,0))</f>
        <v/>
      </c>
      <c r="H897" s="2">
        <f>_xlfn.XLOOKUP(C897,customers!$A$1:$A$1001,customers!$G$1:$G$1001,,0)</f>
        <v/>
      </c>
      <c r="I897">
        <f>INDEX(products!$A$1:$G$49,MATCH(orders!$D897,products!$A$1:$A$49,0),MATCH(orders!I$1,products!$A$1:$G$1,0))</f>
        <v/>
      </c>
      <c r="J897">
        <f>INDEX(products!$A$1:$G$49,MATCH(orders!$D897,products!$A$1:$A$49,0),MATCH(orders!J$1,products!$A$1:$G$1,0))</f>
        <v/>
      </c>
      <c r="K897" s="4">
        <f>INDEX(products!$A$1:$G$49,MATCH(orders!$D897,products!$A$1:$A$49,0),MATCH(orders!K$1,products!$A$1:$G$1,0))</f>
        <v/>
      </c>
      <c r="L897" s="5">
        <f>INDEX(products!$A$1:$G$49,MATCH(orders!$D897,products!$A$1:$A$49,0),MATCH(orders!L$1,products!$A$1:$G$1,0))</f>
        <v/>
      </c>
      <c r="M897" s="5">
        <f>L897*E897</f>
        <v/>
      </c>
      <c r="N897">
        <f>IF(I897="Rob","Robusta",IF(I897="Exc","Excelsa",IF(I897="Ara","Arabica",IF(I897="Lib","Liberica",""))))</f>
        <v/>
      </c>
      <c r="O897">
        <f>IF(J897="M","Medium",IF(J897="L","Light",IF(J897="D","Dark","")))</f>
        <v/>
      </c>
      <c r="P897">
        <f>_xlfn.XLOOKUP(Orders[[#This Row],[Customer ID]],customers!$A$1:$A$1001,customers!$I$1:$I$1001,,0)</f>
        <v/>
      </c>
    </row>
    <row r="898">
      <c r="A898" s="2" t="inlineStr">
        <is>
          <t>O8586</t>
        </is>
      </c>
      <c r="B898" s="3" t="inlineStr">
        <is>
          <t>2020-03-06</t>
        </is>
      </c>
      <c r="C898" s="2" t="inlineStr">
        <is>
          <t>O4158</t>
        </is>
      </c>
      <c r="D898" t="inlineStr">
        <is>
          <t>O6107</t>
        </is>
      </c>
      <c r="E898" s="2" t="n">
        <v>389</v>
      </c>
      <c r="F898" s="2">
        <f>_xlfn.XLOOKUP(C898,customers!$A$1:$A$1001,customers!$B$1:$B$1001,,0)</f>
        <v/>
      </c>
      <c r="G898" s="2">
        <f>IF(_xlfn.XLOOKUP(C898,customers!$A$1:$A$1001,customers!$C$1:$C$1001,,0)=0,"",_xlfn.XLOOKUP(C898,customers!$A$1:$A$1001,customers!$C$1:$C$1001,,0))</f>
        <v/>
      </c>
      <c r="H898" s="2">
        <f>_xlfn.XLOOKUP(C898,customers!$A$1:$A$1001,customers!$G$1:$G$1001,,0)</f>
        <v/>
      </c>
      <c r="I898">
        <f>INDEX(products!$A$1:$G$49,MATCH(orders!$D898,products!$A$1:$A$49,0),MATCH(orders!I$1,products!$A$1:$G$1,0))</f>
        <v/>
      </c>
      <c r="J898">
        <f>INDEX(products!$A$1:$G$49,MATCH(orders!$D898,products!$A$1:$A$49,0),MATCH(orders!J$1,products!$A$1:$G$1,0))</f>
        <v/>
      </c>
      <c r="K898" s="4">
        <f>INDEX(products!$A$1:$G$49,MATCH(orders!$D898,products!$A$1:$A$49,0),MATCH(orders!K$1,products!$A$1:$G$1,0))</f>
        <v/>
      </c>
      <c r="L898" s="5">
        <f>INDEX(products!$A$1:$G$49,MATCH(orders!$D898,products!$A$1:$A$49,0),MATCH(orders!L$1,products!$A$1:$G$1,0))</f>
        <v/>
      </c>
      <c r="M898" s="5">
        <f>L898*E898</f>
        <v/>
      </c>
      <c r="N898">
        <f>IF(I898="Rob","Robusta",IF(I898="Exc","Excelsa",IF(I898="Ara","Arabica",IF(I898="Lib","Liberica",""))))</f>
        <v/>
      </c>
      <c r="O898">
        <f>IF(J898="M","Medium",IF(J898="L","Light",IF(J898="D","Dark","")))</f>
        <v/>
      </c>
      <c r="P898">
        <f>_xlfn.XLOOKUP(Orders[[#This Row],[Customer ID]],customers!$A$1:$A$1001,customers!$I$1:$I$1001,,0)</f>
        <v/>
      </c>
    </row>
    <row r="899">
      <c r="A899" s="2" t="inlineStr">
        <is>
          <t>O2753</t>
        </is>
      </c>
      <c r="B899" s="3" t="inlineStr">
        <is>
          <t>2025-02-19</t>
        </is>
      </c>
      <c r="C899" s="2" t="inlineStr">
        <is>
          <t>O8930</t>
        </is>
      </c>
      <c r="D899" t="inlineStr">
        <is>
          <t>O8608</t>
        </is>
      </c>
      <c r="E899" s="2" t="n">
        <v>403</v>
      </c>
      <c r="F899" s="2">
        <f>_xlfn.XLOOKUP(C899,customers!$A$1:$A$1001,customers!$B$1:$B$1001,,0)</f>
        <v/>
      </c>
      <c r="G899" s="2">
        <f>IF(_xlfn.XLOOKUP(C899,customers!$A$1:$A$1001,customers!$C$1:$C$1001,,0)=0,"",_xlfn.XLOOKUP(C899,customers!$A$1:$A$1001,customers!$C$1:$C$1001,,0))</f>
        <v/>
      </c>
      <c r="H899" s="2">
        <f>_xlfn.XLOOKUP(C899,customers!$A$1:$A$1001,customers!$G$1:$G$1001,,0)</f>
        <v/>
      </c>
      <c r="I899">
        <f>INDEX(products!$A$1:$G$49,MATCH(orders!$D899,products!$A$1:$A$49,0),MATCH(orders!I$1,products!$A$1:$G$1,0))</f>
        <v/>
      </c>
      <c r="J899">
        <f>INDEX(products!$A$1:$G$49,MATCH(orders!$D899,products!$A$1:$A$49,0),MATCH(orders!J$1,products!$A$1:$G$1,0))</f>
        <v/>
      </c>
      <c r="K899" s="4">
        <f>INDEX(products!$A$1:$G$49,MATCH(orders!$D899,products!$A$1:$A$49,0),MATCH(orders!K$1,products!$A$1:$G$1,0))</f>
        <v/>
      </c>
      <c r="L899" s="5">
        <f>INDEX(products!$A$1:$G$49,MATCH(orders!$D899,products!$A$1:$A$49,0),MATCH(orders!L$1,products!$A$1:$G$1,0))</f>
        <v/>
      </c>
      <c r="M899" s="5">
        <f>L899*E899</f>
        <v/>
      </c>
      <c r="N899">
        <f>IF(I899="Rob","Robusta",IF(I899="Exc","Excelsa",IF(I899="Ara","Arabica",IF(I899="Lib","Liberica",""))))</f>
        <v/>
      </c>
      <c r="O899">
        <f>IF(J899="M","Medium",IF(J899="L","Light",IF(J899="D","Dark","")))</f>
        <v/>
      </c>
      <c r="P899">
        <f>_xlfn.XLOOKUP(Orders[[#This Row],[Customer ID]],customers!$A$1:$A$1001,customers!$I$1:$I$1001,,0)</f>
        <v/>
      </c>
    </row>
    <row r="900">
      <c r="A900" s="2" t="inlineStr">
        <is>
          <t>O8859</t>
        </is>
      </c>
      <c r="B900" s="3" t="inlineStr">
        <is>
          <t>2021-01-08</t>
        </is>
      </c>
      <c r="C900" s="2" t="inlineStr">
        <is>
          <t>O6652</t>
        </is>
      </c>
      <c r="D900" t="inlineStr">
        <is>
          <t>O8449</t>
        </is>
      </c>
      <c r="E900" s="2" t="n">
        <v>242</v>
      </c>
      <c r="F900" s="2">
        <f>_xlfn.XLOOKUP(C900,customers!$A$1:$A$1001,customers!$B$1:$B$1001,,0)</f>
        <v/>
      </c>
      <c r="G900" s="2">
        <f>IF(_xlfn.XLOOKUP(C900,customers!$A$1:$A$1001,customers!$C$1:$C$1001,,0)=0,"",_xlfn.XLOOKUP(C900,customers!$A$1:$A$1001,customers!$C$1:$C$1001,,0))</f>
        <v/>
      </c>
      <c r="H900" s="2">
        <f>_xlfn.XLOOKUP(C900,customers!$A$1:$A$1001,customers!$G$1:$G$1001,,0)</f>
        <v/>
      </c>
      <c r="I900">
        <f>INDEX(products!$A$1:$G$49,MATCH(orders!$D900,products!$A$1:$A$49,0),MATCH(orders!I$1,products!$A$1:$G$1,0))</f>
        <v/>
      </c>
      <c r="J900">
        <f>INDEX(products!$A$1:$G$49,MATCH(orders!$D900,products!$A$1:$A$49,0),MATCH(orders!J$1,products!$A$1:$G$1,0))</f>
        <v/>
      </c>
      <c r="K900" s="4">
        <f>INDEX(products!$A$1:$G$49,MATCH(orders!$D900,products!$A$1:$A$49,0),MATCH(orders!K$1,products!$A$1:$G$1,0))</f>
        <v/>
      </c>
      <c r="L900" s="5">
        <f>INDEX(products!$A$1:$G$49,MATCH(orders!$D900,products!$A$1:$A$49,0),MATCH(orders!L$1,products!$A$1:$G$1,0))</f>
        <v/>
      </c>
      <c r="M900" s="5">
        <f>L900*E900</f>
        <v/>
      </c>
      <c r="N900">
        <f>IF(I900="Rob","Robusta",IF(I900="Exc","Excelsa",IF(I900="Ara","Arabica",IF(I900="Lib","Liberica",""))))</f>
        <v/>
      </c>
      <c r="O900">
        <f>IF(J900="M","Medium",IF(J900="L","Light",IF(J900="D","Dark","")))</f>
        <v/>
      </c>
      <c r="P900">
        <f>_xlfn.XLOOKUP(Orders[[#This Row],[Customer ID]],customers!$A$1:$A$1001,customers!$I$1:$I$1001,,0)</f>
        <v/>
      </c>
    </row>
    <row r="901">
      <c r="A901" s="2" t="inlineStr">
        <is>
          <t>O5340</t>
        </is>
      </c>
      <c r="B901" s="3" t="inlineStr">
        <is>
          <t>2020-07-08</t>
        </is>
      </c>
      <c r="C901" s="2" t="inlineStr">
        <is>
          <t>O4983</t>
        </is>
      </c>
      <c r="D901" t="inlineStr">
        <is>
          <t>O2284</t>
        </is>
      </c>
      <c r="E901" s="2" t="n">
        <v>354</v>
      </c>
      <c r="F901" s="2">
        <f>_xlfn.XLOOKUP(C901,customers!$A$1:$A$1001,customers!$B$1:$B$1001,,0)</f>
        <v/>
      </c>
      <c r="G901" s="2">
        <f>IF(_xlfn.XLOOKUP(C901,customers!$A$1:$A$1001,customers!$C$1:$C$1001,,0)=0,"",_xlfn.XLOOKUP(C901,customers!$A$1:$A$1001,customers!$C$1:$C$1001,,0))</f>
        <v/>
      </c>
      <c r="H901" s="2">
        <f>_xlfn.XLOOKUP(C901,customers!$A$1:$A$1001,customers!$G$1:$G$1001,,0)</f>
        <v/>
      </c>
      <c r="I901">
        <f>INDEX(products!$A$1:$G$49,MATCH(orders!$D901,products!$A$1:$A$49,0),MATCH(orders!I$1,products!$A$1:$G$1,0))</f>
        <v/>
      </c>
      <c r="J901">
        <f>INDEX(products!$A$1:$G$49,MATCH(orders!$D901,products!$A$1:$A$49,0),MATCH(orders!J$1,products!$A$1:$G$1,0))</f>
        <v/>
      </c>
      <c r="K901" s="4">
        <f>INDEX(products!$A$1:$G$49,MATCH(orders!$D901,products!$A$1:$A$49,0),MATCH(orders!K$1,products!$A$1:$G$1,0))</f>
        <v/>
      </c>
      <c r="L901" s="5">
        <f>INDEX(products!$A$1:$G$49,MATCH(orders!$D901,products!$A$1:$A$49,0),MATCH(orders!L$1,products!$A$1:$G$1,0))</f>
        <v/>
      </c>
      <c r="M901" s="5">
        <f>L901*E901</f>
        <v/>
      </c>
      <c r="N901">
        <f>IF(I901="Rob","Robusta",IF(I901="Exc","Excelsa",IF(I901="Ara","Arabica",IF(I901="Lib","Liberica",""))))</f>
        <v/>
      </c>
      <c r="O901">
        <f>IF(J901="M","Medium",IF(J901="L","Light",IF(J901="D","Dark","")))</f>
        <v/>
      </c>
      <c r="P901">
        <f>_xlfn.XLOOKUP(Orders[[#This Row],[Customer ID]],customers!$A$1:$A$1001,customers!$I$1:$I$1001,,0)</f>
        <v/>
      </c>
    </row>
    <row r="902">
      <c r="A902" s="2" t="inlineStr">
        <is>
          <t>O9435</t>
        </is>
      </c>
      <c r="B902" s="3" t="inlineStr">
        <is>
          <t>2023-01-24</t>
        </is>
      </c>
      <c r="C902" s="2" t="inlineStr">
        <is>
          <t>O8145</t>
        </is>
      </c>
      <c r="D902" t="inlineStr">
        <is>
          <t>O4131</t>
        </is>
      </c>
      <c r="E902" s="2" t="n">
        <v>102</v>
      </c>
      <c r="F902" s="2">
        <f>_xlfn.XLOOKUP(C902,customers!$A$1:$A$1001,customers!$B$1:$B$1001,,0)</f>
        <v/>
      </c>
      <c r="G902" s="2">
        <f>IF(_xlfn.XLOOKUP(C902,customers!$A$1:$A$1001,customers!$C$1:$C$1001,,0)=0,"",_xlfn.XLOOKUP(C902,customers!$A$1:$A$1001,customers!$C$1:$C$1001,,0))</f>
        <v/>
      </c>
      <c r="H902" s="2">
        <f>_xlfn.XLOOKUP(C902,customers!$A$1:$A$1001,customers!$G$1:$G$1001,,0)</f>
        <v/>
      </c>
      <c r="I902">
        <f>INDEX(products!$A$1:$G$49,MATCH(orders!$D902,products!$A$1:$A$49,0),MATCH(orders!I$1,products!$A$1:$G$1,0))</f>
        <v/>
      </c>
      <c r="J902">
        <f>INDEX(products!$A$1:$G$49,MATCH(orders!$D902,products!$A$1:$A$49,0),MATCH(orders!J$1,products!$A$1:$G$1,0))</f>
        <v/>
      </c>
      <c r="K902" s="4">
        <f>INDEX(products!$A$1:$G$49,MATCH(orders!$D902,products!$A$1:$A$49,0),MATCH(orders!K$1,products!$A$1:$G$1,0))</f>
        <v/>
      </c>
      <c r="L902" s="5">
        <f>INDEX(products!$A$1:$G$49,MATCH(orders!$D902,products!$A$1:$A$49,0),MATCH(orders!L$1,products!$A$1:$G$1,0))</f>
        <v/>
      </c>
      <c r="M902" s="5">
        <f>L902*E902</f>
        <v/>
      </c>
      <c r="N902">
        <f>IF(I902="Rob","Robusta",IF(I902="Exc","Excelsa",IF(I902="Ara","Arabica",IF(I902="Lib","Liberica",""))))</f>
        <v/>
      </c>
      <c r="O902">
        <f>IF(J902="M","Medium",IF(J902="L","Light",IF(J902="D","Dark","")))</f>
        <v/>
      </c>
      <c r="P902">
        <f>_xlfn.XLOOKUP(Orders[[#This Row],[Customer ID]],customers!$A$1:$A$1001,customers!$I$1:$I$1001,,0)</f>
        <v/>
      </c>
    </row>
    <row r="903">
      <c r="A903" s="2" t="inlineStr">
        <is>
          <t>O2743</t>
        </is>
      </c>
      <c r="B903" s="3" t="inlineStr">
        <is>
          <t>2024-12-05</t>
        </is>
      </c>
      <c r="C903" s="2" t="inlineStr">
        <is>
          <t>O6229</t>
        </is>
      </c>
      <c r="D903" t="inlineStr">
        <is>
          <t>O7978</t>
        </is>
      </c>
      <c r="E903" s="2" t="n">
        <v>493</v>
      </c>
      <c r="F903" s="2">
        <f>_xlfn.XLOOKUP(C903,customers!$A$1:$A$1001,customers!$B$1:$B$1001,,0)</f>
        <v/>
      </c>
      <c r="G903" s="2">
        <f>IF(_xlfn.XLOOKUP(C903,customers!$A$1:$A$1001,customers!$C$1:$C$1001,,0)=0,"",_xlfn.XLOOKUP(C903,customers!$A$1:$A$1001,customers!$C$1:$C$1001,,0))</f>
        <v/>
      </c>
      <c r="H903" s="2">
        <f>_xlfn.XLOOKUP(C903,customers!$A$1:$A$1001,customers!$G$1:$G$1001,,0)</f>
        <v/>
      </c>
      <c r="I903">
        <f>INDEX(products!$A$1:$G$49,MATCH(orders!$D903,products!$A$1:$A$49,0),MATCH(orders!I$1,products!$A$1:$G$1,0))</f>
        <v/>
      </c>
      <c r="J903">
        <f>INDEX(products!$A$1:$G$49,MATCH(orders!$D903,products!$A$1:$A$49,0),MATCH(orders!J$1,products!$A$1:$G$1,0))</f>
        <v/>
      </c>
      <c r="K903" s="4">
        <f>INDEX(products!$A$1:$G$49,MATCH(orders!$D903,products!$A$1:$A$49,0),MATCH(orders!K$1,products!$A$1:$G$1,0))</f>
        <v/>
      </c>
      <c r="L903" s="5">
        <f>INDEX(products!$A$1:$G$49,MATCH(orders!$D903,products!$A$1:$A$49,0),MATCH(orders!L$1,products!$A$1:$G$1,0))</f>
        <v/>
      </c>
      <c r="M903" s="5">
        <f>L903*E903</f>
        <v/>
      </c>
      <c r="N903">
        <f>IF(I903="Rob","Robusta",IF(I903="Exc","Excelsa",IF(I903="Ara","Arabica",IF(I903="Lib","Liberica",""))))</f>
        <v/>
      </c>
      <c r="O903">
        <f>IF(J903="M","Medium",IF(J903="L","Light",IF(J903="D","Dark","")))</f>
        <v/>
      </c>
      <c r="P903">
        <f>_xlfn.XLOOKUP(Orders[[#This Row],[Customer ID]],customers!$A$1:$A$1001,customers!$I$1:$I$1001,,0)</f>
        <v/>
      </c>
    </row>
    <row r="904">
      <c r="A904" s="2" t="inlineStr">
        <is>
          <t>O6023</t>
        </is>
      </c>
      <c r="B904" s="3" t="inlineStr">
        <is>
          <t>2025-08-29</t>
        </is>
      </c>
      <c r="C904" s="2" t="inlineStr">
        <is>
          <t>O9755</t>
        </is>
      </c>
      <c r="D904" t="inlineStr">
        <is>
          <t>O5233</t>
        </is>
      </c>
      <c r="E904" s="2" t="n">
        <v>379</v>
      </c>
      <c r="F904" s="2">
        <f>_xlfn.XLOOKUP(C904,customers!$A$1:$A$1001,customers!$B$1:$B$1001,,0)</f>
        <v/>
      </c>
      <c r="G904" s="2">
        <f>IF(_xlfn.XLOOKUP(C904,customers!$A$1:$A$1001,customers!$C$1:$C$1001,,0)=0,"",_xlfn.XLOOKUP(C904,customers!$A$1:$A$1001,customers!$C$1:$C$1001,,0))</f>
        <v/>
      </c>
      <c r="H904" s="2">
        <f>_xlfn.XLOOKUP(C904,customers!$A$1:$A$1001,customers!$G$1:$G$1001,,0)</f>
        <v/>
      </c>
      <c r="I904">
        <f>INDEX(products!$A$1:$G$49,MATCH(orders!$D904,products!$A$1:$A$49,0),MATCH(orders!I$1,products!$A$1:$G$1,0))</f>
        <v/>
      </c>
      <c r="J904">
        <f>INDEX(products!$A$1:$G$49,MATCH(orders!$D904,products!$A$1:$A$49,0),MATCH(orders!J$1,products!$A$1:$G$1,0))</f>
        <v/>
      </c>
      <c r="K904" s="4">
        <f>INDEX(products!$A$1:$G$49,MATCH(orders!$D904,products!$A$1:$A$49,0),MATCH(orders!K$1,products!$A$1:$G$1,0))</f>
        <v/>
      </c>
      <c r="L904" s="5">
        <f>INDEX(products!$A$1:$G$49,MATCH(orders!$D904,products!$A$1:$A$49,0),MATCH(orders!L$1,products!$A$1:$G$1,0))</f>
        <v/>
      </c>
      <c r="M904" s="5">
        <f>L904*E904</f>
        <v/>
      </c>
      <c r="N904">
        <f>IF(I904="Rob","Robusta",IF(I904="Exc","Excelsa",IF(I904="Ara","Arabica",IF(I904="Lib","Liberica",""))))</f>
        <v/>
      </c>
      <c r="O904">
        <f>IF(J904="M","Medium",IF(J904="L","Light",IF(J904="D","Dark","")))</f>
        <v/>
      </c>
      <c r="P904">
        <f>_xlfn.XLOOKUP(Orders[[#This Row],[Customer ID]],customers!$A$1:$A$1001,customers!$I$1:$I$1001,,0)</f>
        <v/>
      </c>
    </row>
    <row r="905">
      <c r="A905" s="2" t="inlineStr">
        <is>
          <t>O6202</t>
        </is>
      </c>
      <c r="B905" s="3" t="inlineStr">
        <is>
          <t>2022-10-28</t>
        </is>
      </c>
      <c r="C905" s="2" t="inlineStr">
        <is>
          <t>O2839</t>
        </is>
      </c>
      <c r="D905" t="inlineStr">
        <is>
          <t>O7833</t>
        </is>
      </c>
      <c r="E905" s="2" t="n">
        <v>91</v>
      </c>
      <c r="F905" s="2">
        <f>_xlfn.XLOOKUP(C905,customers!$A$1:$A$1001,customers!$B$1:$B$1001,,0)</f>
        <v/>
      </c>
      <c r="G905" s="2">
        <f>IF(_xlfn.XLOOKUP(C905,customers!$A$1:$A$1001,customers!$C$1:$C$1001,,0)=0,"",_xlfn.XLOOKUP(C905,customers!$A$1:$A$1001,customers!$C$1:$C$1001,,0))</f>
        <v/>
      </c>
      <c r="H905" s="2">
        <f>_xlfn.XLOOKUP(C905,customers!$A$1:$A$1001,customers!$G$1:$G$1001,,0)</f>
        <v/>
      </c>
      <c r="I905">
        <f>INDEX(products!$A$1:$G$49,MATCH(orders!$D905,products!$A$1:$A$49,0),MATCH(orders!I$1,products!$A$1:$G$1,0))</f>
        <v/>
      </c>
      <c r="J905">
        <f>INDEX(products!$A$1:$G$49,MATCH(orders!$D905,products!$A$1:$A$49,0),MATCH(orders!J$1,products!$A$1:$G$1,0))</f>
        <v/>
      </c>
      <c r="K905" s="4">
        <f>INDEX(products!$A$1:$G$49,MATCH(orders!$D905,products!$A$1:$A$49,0),MATCH(orders!K$1,products!$A$1:$G$1,0))</f>
        <v/>
      </c>
      <c r="L905" s="5">
        <f>INDEX(products!$A$1:$G$49,MATCH(orders!$D905,products!$A$1:$A$49,0),MATCH(orders!L$1,products!$A$1:$G$1,0))</f>
        <v/>
      </c>
      <c r="M905" s="5">
        <f>L905*E905</f>
        <v/>
      </c>
      <c r="N905">
        <f>IF(I905="Rob","Robusta",IF(I905="Exc","Excelsa",IF(I905="Ara","Arabica",IF(I905="Lib","Liberica",""))))</f>
        <v/>
      </c>
      <c r="O905">
        <f>IF(J905="M","Medium",IF(J905="L","Light",IF(J905="D","Dark","")))</f>
        <v/>
      </c>
      <c r="P905">
        <f>_xlfn.XLOOKUP(Orders[[#This Row],[Customer ID]],customers!$A$1:$A$1001,customers!$I$1:$I$1001,,0)</f>
        <v/>
      </c>
    </row>
    <row r="906">
      <c r="A906" s="2" t="inlineStr">
        <is>
          <t>O7774</t>
        </is>
      </c>
      <c r="B906" s="3" t="inlineStr">
        <is>
          <t>2022-12-29</t>
        </is>
      </c>
      <c r="C906" s="2" t="inlineStr">
        <is>
          <t>O8263</t>
        </is>
      </c>
      <c r="D906" t="inlineStr">
        <is>
          <t>O9334</t>
        </is>
      </c>
      <c r="E906" s="2" t="n">
        <v>398</v>
      </c>
      <c r="F906" s="2">
        <f>_xlfn.XLOOKUP(C906,customers!$A$1:$A$1001,customers!$B$1:$B$1001,,0)</f>
        <v/>
      </c>
      <c r="G906" s="2">
        <f>IF(_xlfn.XLOOKUP(C906,customers!$A$1:$A$1001,customers!$C$1:$C$1001,,0)=0,"",_xlfn.XLOOKUP(C906,customers!$A$1:$A$1001,customers!$C$1:$C$1001,,0))</f>
        <v/>
      </c>
      <c r="H906" s="2">
        <f>_xlfn.XLOOKUP(C906,customers!$A$1:$A$1001,customers!$G$1:$G$1001,,0)</f>
        <v/>
      </c>
      <c r="I906">
        <f>INDEX(products!$A$1:$G$49,MATCH(orders!$D906,products!$A$1:$A$49,0),MATCH(orders!I$1,products!$A$1:$G$1,0))</f>
        <v/>
      </c>
      <c r="J906">
        <f>INDEX(products!$A$1:$G$49,MATCH(orders!$D906,products!$A$1:$A$49,0),MATCH(orders!J$1,products!$A$1:$G$1,0))</f>
        <v/>
      </c>
      <c r="K906" s="4">
        <f>INDEX(products!$A$1:$G$49,MATCH(orders!$D906,products!$A$1:$A$49,0),MATCH(orders!K$1,products!$A$1:$G$1,0))</f>
        <v/>
      </c>
      <c r="L906" s="5">
        <f>INDEX(products!$A$1:$G$49,MATCH(orders!$D906,products!$A$1:$A$49,0),MATCH(orders!L$1,products!$A$1:$G$1,0))</f>
        <v/>
      </c>
      <c r="M906" s="5">
        <f>L906*E906</f>
        <v/>
      </c>
      <c r="N906">
        <f>IF(I906="Rob","Robusta",IF(I906="Exc","Excelsa",IF(I906="Ara","Arabica",IF(I906="Lib","Liberica",""))))</f>
        <v/>
      </c>
      <c r="O906">
        <f>IF(J906="M","Medium",IF(J906="L","Light",IF(J906="D","Dark","")))</f>
        <v/>
      </c>
      <c r="P906">
        <f>_xlfn.XLOOKUP(Orders[[#This Row],[Customer ID]],customers!$A$1:$A$1001,customers!$I$1:$I$1001,,0)</f>
        <v/>
      </c>
    </row>
    <row r="907">
      <c r="A907" s="2" t="inlineStr">
        <is>
          <t>O1847</t>
        </is>
      </c>
      <c r="B907" s="3" t="inlineStr">
        <is>
          <t>2024-01-01</t>
        </is>
      </c>
      <c r="C907" s="2" t="inlineStr">
        <is>
          <t>O8587</t>
        </is>
      </c>
      <c r="D907" t="inlineStr">
        <is>
          <t>O9765</t>
        </is>
      </c>
      <c r="E907" s="2" t="n">
        <v>336</v>
      </c>
      <c r="F907" s="2">
        <f>_xlfn.XLOOKUP(C907,customers!$A$1:$A$1001,customers!$B$1:$B$1001,,0)</f>
        <v/>
      </c>
      <c r="G907" s="2">
        <f>IF(_xlfn.XLOOKUP(C907,customers!$A$1:$A$1001,customers!$C$1:$C$1001,,0)=0,"",_xlfn.XLOOKUP(C907,customers!$A$1:$A$1001,customers!$C$1:$C$1001,,0))</f>
        <v/>
      </c>
      <c r="H907" s="2">
        <f>_xlfn.XLOOKUP(C907,customers!$A$1:$A$1001,customers!$G$1:$G$1001,,0)</f>
        <v/>
      </c>
      <c r="I907">
        <f>INDEX(products!$A$1:$G$49,MATCH(orders!$D907,products!$A$1:$A$49,0),MATCH(orders!I$1,products!$A$1:$G$1,0))</f>
        <v/>
      </c>
      <c r="J907">
        <f>INDEX(products!$A$1:$G$49,MATCH(orders!$D907,products!$A$1:$A$49,0),MATCH(orders!J$1,products!$A$1:$G$1,0))</f>
        <v/>
      </c>
      <c r="K907" s="4">
        <f>INDEX(products!$A$1:$G$49,MATCH(orders!$D907,products!$A$1:$A$49,0),MATCH(orders!K$1,products!$A$1:$G$1,0))</f>
        <v/>
      </c>
      <c r="L907" s="5">
        <f>INDEX(products!$A$1:$G$49,MATCH(orders!$D907,products!$A$1:$A$49,0),MATCH(orders!L$1,products!$A$1:$G$1,0))</f>
        <v/>
      </c>
      <c r="M907" s="5">
        <f>L907*E907</f>
        <v/>
      </c>
      <c r="N907">
        <f>IF(I907="Rob","Robusta",IF(I907="Exc","Excelsa",IF(I907="Ara","Arabica",IF(I907="Lib","Liberica",""))))</f>
        <v/>
      </c>
      <c r="O907">
        <f>IF(J907="M","Medium",IF(J907="L","Light",IF(J907="D","Dark","")))</f>
        <v/>
      </c>
      <c r="P907">
        <f>_xlfn.XLOOKUP(Orders[[#This Row],[Customer ID]],customers!$A$1:$A$1001,customers!$I$1:$I$1001,,0)</f>
        <v/>
      </c>
    </row>
    <row r="908">
      <c r="A908" s="2" t="inlineStr">
        <is>
          <t>O9017</t>
        </is>
      </c>
      <c r="B908" s="3" t="inlineStr">
        <is>
          <t>2021-08-28</t>
        </is>
      </c>
      <c r="C908" s="2" t="inlineStr">
        <is>
          <t>O9116</t>
        </is>
      </c>
      <c r="D908" t="inlineStr">
        <is>
          <t>O4739</t>
        </is>
      </c>
      <c r="E908" s="2" t="n">
        <v>453</v>
      </c>
      <c r="F908" s="2">
        <f>_xlfn.XLOOKUP(C908,customers!$A$1:$A$1001,customers!$B$1:$B$1001,,0)</f>
        <v/>
      </c>
      <c r="G908" s="2">
        <f>IF(_xlfn.XLOOKUP(C908,customers!$A$1:$A$1001,customers!$C$1:$C$1001,,0)=0,"",_xlfn.XLOOKUP(C908,customers!$A$1:$A$1001,customers!$C$1:$C$1001,,0))</f>
        <v/>
      </c>
      <c r="H908" s="2">
        <f>_xlfn.XLOOKUP(C908,customers!$A$1:$A$1001,customers!$G$1:$G$1001,,0)</f>
        <v/>
      </c>
      <c r="I908">
        <f>INDEX(products!$A$1:$G$49,MATCH(orders!$D908,products!$A$1:$A$49,0),MATCH(orders!I$1,products!$A$1:$G$1,0))</f>
        <v/>
      </c>
      <c r="J908">
        <f>INDEX(products!$A$1:$G$49,MATCH(orders!$D908,products!$A$1:$A$49,0),MATCH(orders!J$1,products!$A$1:$G$1,0))</f>
        <v/>
      </c>
      <c r="K908" s="4">
        <f>INDEX(products!$A$1:$G$49,MATCH(orders!$D908,products!$A$1:$A$49,0),MATCH(orders!K$1,products!$A$1:$G$1,0))</f>
        <v/>
      </c>
      <c r="L908" s="5">
        <f>INDEX(products!$A$1:$G$49,MATCH(orders!$D908,products!$A$1:$A$49,0),MATCH(orders!L$1,products!$A$1:$G$1,0))</f>
        <v/>
      </c>
      <c r="M908" s="5">
        <f>L908*E908</f>
        <v/>
      </c>
      <c r="N908">
        <f>IF(I908="Rob","Robusta",IF(I908="Exc","Excelsa",IF(I908="Ara","Arabica",IF(I908="Lib","Liberica",""))))</f>
        <v/>
      </c>
      <c r="O908">
        <f>IF(J908="M","Medium",IF(J908="L","Light",IF(J908="D","Dark","")))</f>
        <v/>
      </c>
      <c r="P908">
        <f>_xlfn.XLOOKUP(Orders[[#This Row],[Customer ID]],customers!$A$1:$A$1001,customers!$I$1:$I$1001,,0)</f>
        <v/>
      </c>
    </row>
    <row r="909">
      <c r="A909" s="2" t="inlineStr">
        <is>
          <t>O6777</t>
        </is>
      </c>
      <c r="B909" s="3" t="inlineStr">
        <is>
          <t>2020-09-10</t>
        </is>
      </c>
      <c r="C909" s="2" t="inlineStr">
        <is>
          <t>O5240</t>
        </is>
      </c>
      <c r="D909" t="inlineStr">
        <is>
          <t>O3413</t>
        </is>
      </c>
      <c r="E909" s="2" t="n">
        <v>217</v>
      </c>
      <c r="F909" s="2">
        <f>_xlfn.XLOOKUP(C909,customers!$A$1:$A$1001,customers!$B$1:$B$1001,,0)</f>
        <v/>
      </c>
      <c r="G909" s="2">
        <f>IF(_xlfn.XLOOKUP(C909,customers!$A$1:$A$1001,customers!$C$1:$C$1001,,0)=0,"",_xlfn.XLOOKUP(C909,customers!$A$1:$A$1001,customers!$C$1:$C$1001,,0))</f>
        <v/>
      </c>
      <c r="H909" s="2">
        <f>_xlfn.XLOOKUP(C909,customers!$A$1:$A$1001,customers!$G$1:$G$1001,,0)</f>
        <v/>
      </c>
      <c r="I909">
        <f>INDEX(products!$A$1:$G$49,MATCH(orders!$D909,products!$A$1:$A$49,0),MATCH(orders!I$1,products!$A$1:$G$1,0))</f>
        <v/>
      </c>
      <c r="J909">
        <f>INDEX(products!$A$1:$G$49,MATCH(orders!$D909,products!$A$1:$A$49,0),MATCH(orders!J$1,products!$A$1:$G$1,0))</f>
        <v/>
      </c>
      <c r="K909" s="4">
        <f>INDEX(products!$A$1:$G$49,MATCH(orders!$D909,products!$A$1:$A$49,0),MATCH(orders!K$1,products!$A$1:$G$1,0))</f>
        <v/>
      </c>
      <c r="L909" s="5">
        <f>INDEX(products!$A$1:$G$49,MATCH(orders!$D909,products!$A$1:$A$49,0),MATCH(orders!L$1,products!$A$1:$G$1,0))</f>
        <v/>
      </c>
      <c r="M909" s="5">
        <f>L909*E909</f>
        <v/>
      </c>
      <c r="N909">
        <f>IF(I909="Rob","Robusta",IF(I909="Exc","Excelsa",IF(I909="Ara","Arabica",IF(I909="Lib","Liberica",""))))</f>
        <v/>
      </c>
      <c r="O909">
        <f>IF(J909="M","Medium",IF(J909="L","Light",IF(J909="D","Dark","")))</f>
        <v/>
      </c>
      <c r="P909">
        <f>_xlfn.XLOOKUP(Orders[[#This Row],[Customer ID]],customers!$A$1:$A$1001,customers!$I$1:$I$1001,,0)</f>
        <v/>
      </c>
    </row>
    <row r="910">
      <c r="A910" s="2" t="inlineStr">
        <is>
          <t>O3183</t>
        </is>
      </c>
      <c r="B910" s="3" t="inlineStr">
        <is>
          <t>2024-07-02</t>
        </is>
      </c>
      <c r="C910" s="2" t="inlineStr">
        <is>
          <t>O5445</t>
        </is>
      </c>
      <c r="D910" t="inlineStr">
        <is>
          <t>O9894</t>
        </is>
      </c>
      <c r="E910" s="2" t="n">
        <v>156</v>
      </c>
      <c r="F910" s="2">
        <f>_xlfn.XLOOKUP(C910,customers!$A$1:$A$1001,customers!$B$1:$B$1001,,0)</f>
        <v/>
      </c>
      <c r="G910" s="2">
        <f>IF(_xlfn.XLOOKUP(C910,customers!$A$1:$A$1001,customers!$C$1:$C$1001,,0)=0,"",_xlfn.XLOOKUP(C910,customers!$A$1:$A$1001,customers!$C$1:$C$1001,,0))</f>
        <v/>
      </c>
      <c r="H910" s="2">
        <f>_xlfn.XLOOKUP(C910,customers!$A$1:$A$1001,customers!$G$1:$G$1001,,0)</f>
        <v/>
      </c>
      <c r="I910">
        <f>INDEX(products!$A$1:$G$49,MATCH(orders!$D910,products!$A$1:$A$49,0),MATCH(orders!I$1,products!$A$1:$G$1,0))</f>
        <v/>
      </c>
      <c r="J910">
        <f>INDEX(products!$A$1:$G$49,MATCH(orders!$D910,products!$A$1:$A$49,0),MATCH(orders!J$1,products!$A$1:$G$1,0))</f>
        <v/>
      </c>
      <c r="K910" s="4">
        <f>INDEX(products!$A$1:$G$49,MATCH(orders!$D910,products!$A$1:$A$49,0),MATCH(orders!K$1,products!$A$1:$G$1,0))</f>
        <v/>
      </c>
      <c r="L910" s="5">
        <f>INDEX(products!$A$1:$G$49,MATCH(orders!$D910,products!$A$1:$A$49,0),MATCH(orders!L$1,products!$A$1:$G$1,0))</f>
        <v/>
      </c>
      <c r="M910" s="5">
        <f>L910*E910</f>
        <v/>
      </c>
      <c r="N910">
        <f>IF(I910="Rob","Robusta",IF(I910="Exc","Excelsa",IF(I910="Ara","Arabica",IF(I910="Lib","Liberica",""))))</f>
        <v/>
      </c>
      <c r="O910">
        <f>IF(J910="M","Medium",IF(J910="L","Light",IF(J910="D","Dark","")))</f>
        <v/>
      </c>
      <c r="P910">
        <f>_xlfn.XLOOKUP(Orders[[#This Row],[Customer ID]],customers!$A$1:$A$1001,customers!$I$1:$I$1001,,0)</f>
        <v/>
      </c>
    </row>
    <row r="911">
      <c r="A911" s="2" t="inlineStr">
        <is>
          <t>O6805</t>
        </is>
      </c>
      <c r="B911" s="3" t="inlineStr">
        <is>
          <t>2022-10-06</t>
        </is>
      </c>
      <c r="C911" s="2" t="inlineStr">
        <is>
          <t>O8874</t>
        </is>
      </c>
      <c r="D911" t="inlineStr">
        <is>
          <t>O3364</t>
        </is>
      </c>
      <c r="E911" s="2" t="n">
        <v>413</v>
      </c>
      <c r="F911" s="2">
        <f>_xlfn.XLOOKUP(C911,customers!$A$1:$A$1001,customers!$B$1:$B$1001,,0)</f>
        <v/>
      </c>
      <c r="G911" s="2">
        <f>IF(_xlfn.XLOOKUP(C911,customers!$A$1:$A$1001,customers!$C$1:$C$1001,,0)=0,"",_xlfn.XLOOKUP(C911,customers!$A$1:$A$1001,customers!$C$1:$C$1001,,0))</f>
        <v/>
      </c>
      <c r="H911" s="2">
        <f>_xlfn.XLOOKUP(C911,customers!$A$1:$A$1001,customers!$G$1:$G$1001,,0)</f>
        <v/>
      </c>
      <c r="I911">
        <f>INDEX(products!$A$1:$G$49,MATCH(orders!$D911,products!$A$1:$A$49,0),MATCH(orders!I$1,products!$A$1:$G$1,0))</f>
        <v/>
      </c>
      <c r="J911">
        <f>INDEX(products!$A$1:$G$49,MATCH(orders!$D911,products!$A$1:$A$49,0),MATCH(orders!J$1,products!$A$1:$G$1,0))</f>
        <v/>
      </c>
      <c r="K911" s="4">
        <f>INDEX(products!$A$1:$G$49,MATCH(orders!$D911,products!$A$1:$A$49,0),MATCH(orders!K$1,products!$A$1:$G$1,0))</f>
        <v/>
      </c>
      <c r="L911" s="5">
        <f>INDEX(products!$A$1:$G$49,MATCH(orders!$D911,products!$A$1:$A$49,0),MATCH(orders!L$1,products!$A$1:$G$1,0))</f>
        <v/>
      </c>
      <c r="M911" s="5">
        <f>L911*E911</f>
        <v/>
      </c>
      <c r="N911">
        <f>IF(I911="Rob","Robusta",IF(I911="Exc","Excelsa",IF(I911="Ara","Arabica",IF(I911="Lib","Liberica",""))))</f>
        <v/>
      </c>
      <c r="O911">
        <f>IF(J911="M","Medium",IF(J911="L","Light",IF(J911="D","Dark","")))</f>
        <v/>
      </c>
      <c r="P911">
        <f>_xlfn.XLOOKUP(Orders[[#This Row],[Customer ID]],customers!$A$1:$A$1001,customers!$I$1:$I$1001,,0)</f>
        <v/>
      </c>
    </row>
    <row r="912">
      <c r="A912" s="2" t="inlineStr">
        <is>
          <t>O5963</t>
        </is>
      </c>
      <c r="B912" s="3" t="inlineStr">
        <is>
          <t>2024-11-18</t>
        </is>
      </c>
      <c r="C912" s="2" t="inlineStr">
        <is>
          <t>O3252</t>
        </is>
      </c>
      <c r="D912" t="inlineStr">
        <is>
          <t>O1091</t>
        </is>
      </c>
      <c r="E912" s="2" t="n">
        <v>345</v>
      </c>
      <c r="F912" s="2">
        <f>_xlfn.XLOOKUP(C912,customers!$A$1:$A$1001,customers!$B$1:$B$1001,,0)</f>
        <v/>
      </c>
      <c r="G912" s="2">
        <f>IF(_xlfn.XLOOKUP(C912,customers!$A$1:$A$1001,customers!$C$1:$C$1001,,0)=0,"",_xlfn.XLOOKUP(C912,customers!$A$1:$A$1001,customers!$C$1:$C$1001,,0))</f>
        <v/>
      </c>
      <c r="H912" s="2">
        <f>_xlfn.XLOOKUP(C912,customers!$A$1:$A$1001,customers!$G$1:$G$1001,,0)</f>
        <v/>
      </c>
      <c r="I912">
        <f>INDEX(products!$A$1:$G$49,MATCH(orders!$D912,products!$A$1:$A$49,0),MATCH(orders!I$1,products!$A$1:$G$1,0))</f>
        <v/>
      </c>
      <c r="J912">
        <f>INDEX(products!$A$1:$G$49,MATCH(orders!$D912,products!$A$1:$A$49,0),MATCH(orders!J$1,products!$A$1:$G$1,0))</f>
        <v/>
      </c>
      <c r="K912" s="4">
        <f>INDEX(products!$A$1:$G$49,MATCH(orders!$D912,products!$A$1:$A$49,0),MATCH(orders!K$1,products!$A$1:$G$1,0))</f>
        <v/>
      </c>
      <c r="L912" s="5">
        <f>INDEX(products!$A$1:$G$49,MATCH(orders!$D912,products!$A$1:$A$49,0),MATCH(orders!L$1,products!$A$1:$G$1,0))</f>
        <v/>
      </c>
      <c r="M912" s="5">
        <f>L912*E912</f>
        <v/>
      </c>
      <c r="N912">
        <f>IF(I912="Rob","Robusta",IF(I912="Exc","Excelsa",IF(I912="Ara","Arabica",IF(I912="Lib","Liberica",""))))</f>
        <v/>
      </c>
      <c r="O912">
        <f>IF(J912="M","Medium",IF(J912="L","Light",IF(J912="D","Dark","")))</f>
        <v/>
      </c>
      <c r="P912">
        <f>_xlfn.XLOOKUP(Orders[[#This Row],[Customer ID]],customers!$A$1:$A$1001,customers!$I$1:$I$1001,,0)</f>
        <v/>
      </c>
    </row>
    <row r="913">
      <c r="A913" s="2" t="inlineStr">
        <is>
          <t>O3507</t>
        </is>
      </c>
      <c r="B913" s="3" t="inlineStr">
        <is>
          <t>2020-03-25</t>
        </is>
      </c>
      <c r="C913" s="2" t="inlineStr">
        <is>
          <t>O5229</t>
        </is>
      </c>
      <c r="D913" t="inlineStr">
        <is>
          <t>O3526</t>
        </is>
      </c>
      <c r="E913" s="2" t="n">
        <v>190</v>
      </c>
      <c r="F913" s="2">
        <f>_xlfn.XLOOKUP(C913,customers!$A$1:$A$1001,customers!$B$1:$B$1001,,0)</f>
        <v/>
      </c>
      <c r="G913" s="2">
        <f>IF(_xlfn.XLOOKUP(C913,customers!$A$1:$A$1001,customers!$C$1:$C$1001,,0)=0,"",_xlfn.XLOOKUP(C913,customers!$A$1:$A$1001,customers!$C$1:$C$1001,,0))</f>
        <v/>
      </c>
      <c r="H913" s="2">
        <f>_xlfn.XLOOKUP(C913,customers!$A$1:$A$1001,customers!$G$1:$G$1001,,0)</f>
        <v/>
      </c>
      <c r="I913">
        <f>INDEX(products!$A$1:$G$49,MATCH(orders!$D913,products!$A$1:$A$49,0),MATCH(orders!I$1,products!$A$1:$G$1,0))</f>
        <v/>
      </c>
      <c r="J913">
        <f>INDEX(products!$A$1:$G$49,MATCH(orders!$D913,products!$A$1:$A$49,0),MATCH(orders!J$1,products!$A$1:$G$1,0))</f>
        <v/>
      </c>
      <c r="K913" s="4">
        <f>INDEX(products!$A$1:$G$49,MATCH(orders!$D913,products!$A$1:$A$49,0),MATCH(orders!K$1,products!$A$1:$G$1,0))</f>
        <v/>
      </c>
      <c r="L913" s="5">
        <f>INDEX(products!$A$1:$G$49,MATCH(orders!$D913,products!$A$1:$A$49,0),MATCH(orders!L$1,products!$A$1:$G$1,0))</f>
        <v/>
      </c>
      <c r="M913" s="5">
        <f>L913*E913</f>
        <v/>
      </c>
      <c r="N913">
        <f>IF(I913="Rob","Robusta",IF(I913="Exc","Excelsa",IF(I913="Ara","Arabica",IF(I913="Lib","Liberica",""))))</f>
        <v/>
      </c>
      <c r="O913">
        <f>IF(J913="M","Medium",IF(J913="L","Light",IF(J913="D","Dark","")))</f>
        <v/>
      </c>
      <c r="P913">
        <f>_xlfn.XLOOKUP(Orders[[#This Row],[Customer ID]],customers!$A$1:$A$1001,customers!$I$1:$I$1001,,0)</f>
        <v/>
      </c>
    </row>
    <row r="914">
      <c r="A914" s="2" t="inlineStr">
        <is>
          <t>O9474</t>
        </is>
      </c>
      <c r="B914" s="3" t="inlineStr">
        <is>
          <t>2023-04-23</t>
        </is>
      </c>
      <c r="C914" s="2" t="inlineStr">
        <is>
          <t>O6249</t>
        </is>
      </c>
      <c r="D914" t="inlineStr">
        <is>
          <t>O5036</t>
        </is>
      </c>
      <c r="E914" s="2" t="n">
        <v>205</v>
      </c>
      <c r="F914" s="2">
        <f>_xlfn.XLOOKUP(C914,customers!$A$1:$A$1001,customers!$B$1:$B$1001,,0)</f>
        <v/>
      </c>
      <c r="G914" s="2">
        <f>IF(_xlfn.XLOOKUP(C914,customers!$A$1:$A$1001,customers!$C$1:$C$1001,,0)=0,"",_xlfn.XLOOKUP(C914,customers!$A$1:$A$1001,customers!$C$1:$C$1001,,0))</f>
        <v/>
      </c>
      <c r="H914" s="2">
        <f>_xlfn.XLOOKUP(C914,customers!$A$1:$A$1001,customers!$G$1:$G$1001,,0)</f>
        <v/>
      </c>
      <c r="I914">
        <f>INDEX(products!$A$1:$G$49,MATCH(orders!$D914,products!$A$1:$A$49,0),MATCH(orders!I$1,products!$A$1:$G$1,0))</f>
        <v/>
      </c>
      <c r="J914">
        <f>INDEX(products!$A$1:$G$49,MATCH(orders!$D914,products!$A$1:$A$49,0),MATCH(orders!J$1,products!$A$1:$G$1,0))</f>
        <v/>
      </c>
      <c r="K914" s="4">
        <f>INDEX(products!$A$1:$G$49,MATCH(orders!$D914,products!$A$1:$A$49,0),MATCH(orders!K$1,products!$A$1:$G$1,0))</f>
        <v/>
      </c>
      <c r="L914" s="5">
        <f>INDEX(products!$A$1:$G$49,MATCH(orders!$D914,products!$A$1:$A$49,0),MATCH(orders!L$1,products!$A$1:$G$1,0))</f>
        <v/>
      </c>
      <c r="M914" s="5">
        <f>L914*E914</f>
        <v/>
      </c>
      <c r="N914">
        <f>IF(I914="Rob","Robusta",IF(I914="Exc","Excelsa",IF(I914="Ara","Arabica",IF(I914="Lib","Liberica",""))))</f>
        <v/>
      </c>
      <c r="O914">
        <f>IF(J914="M","Medium",IF(J914="L","Light",IF(J914="D","Dark","")))</f>
        <v/>
      </c>
      <c r="P914">
        <f>_xlfn.XLOOKUP(Orders[[#This Row],[Customer ID]],customers!$A$1:$A$1001,customers!$I$1:$I$1001,,0)</f>
        <v/>
      </c>
    </row>
    <row r="915">
      <c r="A915" s="2" t="inlineStr">
        <is>
          <t>O1034</t>
        </is>
      </c>
      <c r="B915" s="3" t="inlineStr">
        <is>
          <t>2021-09-26</t>
        </is>
      </c>
      <c r="C915" s="2" t="inlineStr">
        <is>
          <t>O8285</t>
        </is>
      </c>
      <c r="D915" t="inlineStr">
        <is>
          <t>O4815</t>
        </is>
      </c>
      <c r="E915" s="2" t="n">
        <v>288</v>
      </c>
      <c r="F915" s="2">
        <f>_xlfn.XLOOKUP(C915,customers!$A$1:$A$1001,customers!$B$1:$B$1001,,0)</f>
        <v/>
      </c>
      <c r="G915" s="2">
        <f>IF(_xlfn.XLOOKUP(C915,customers!$A$1:$A$1001,customers!$C$1:$C$1001,,0)=0,"",_xlfn.XLOOKUP(C915,customers!$A$1:$A$1001,customers!$C$1:$C$1001,,0))</f>
        <v/>
      </c>
      <c r="H915" s="2">
        <f>_xlfn.XLOOKUP(C915,customers!$A$1:$A$1001,customers!$G$1:$G$1001,,0)</f>
        <v/>
      </c>
      <c r="I915">
        <f>INDEX(products!$A$1:$G$49,MATCH(orders!$D915,products!$A$1:$A$49,0),MATCH(orders!I$1,products!$A$1:$G$1,0))</f>
        <v/>
      </c>
      <c r="J915">
        <f>INDEX(products!$A$1:$G$49,MATCH(orders!$D915,products!$A$1:$A$49,0),MATCH(orders!J$1,products!$A$1:$G$1,0))</f>
        <v/>
      </c>
      <c r="K915" s="4">
        <f>INDEX(products!$A$1:$G$49,MATCH(orders!$D915,products!$A$1:$A$49,0),MATCH(orders!K$1,products!$A$1:$G$1,0))</f>
        <v/>
      </c>
      <c r="L915" s="5">
        <f>INDEX(products!$A$1:$G$49,MATCH(orders!$D915,products!$A$1:$A$49,0),MATCH(orders!L$1,products!$A$1:$G$1,0))</f>
        <v/>
      </c>
      <c r="M915" s="5">
        <f>L915*E915</f>
        <v/>
      </c>
      <c r="N915">
        <f>IF(I915="Rob","Robusta",IF(I915="Exc","Excelsa",IF(I915="Ara","Arabica",IF(I915="Lib","Liberica",""))))</f>
        <v/>
      </c>
      <c r="O915">
        <f>IF(J915="M","Medium",IF(J915="L","Light",IF(J915="D","Dark","")))</f>
        <v/>
      </c>
      <c r="P915">
        <f>_xlfn.XLOOKUP(Orders[[#This Row],[Customer ID]],customers!$A$1:$A$1001,customers!$I$1:$I$1001,,0)</f>
        <v/>
      </c>
    </row>
    <row r="916">
      <c r="A916" s="2" t="inlineStr">
        <is>
          <t>O3174</t>
        </is>
      </c>
      <c r="B916" s="3" t="inlineStr">
        <is>
          <t>2020-07-25</t>
        </is>
      </c>
      <c r="C916" s="2" t="inlineStr">
        <is>
          <t>O2993</t>
        </is>
      </c>
      <c r="D916" t="inlineStr">
        <is>
          <t>O3428</t>
        </is>
      </c>
      <c r="E916" s="2" t="n">
        <v>200</v>
      </c>
      <c r="F916" s="2">
        <f>_xlfn.XLOOKUP(C916,customers!$A$1:$A$1001,customers!$B$1:$B$1001,,0)</f>
        <v/>
      </c>
      <c r="G916" s="2">
        <f>IF(_xlfn.XLOOKUP(C916,customers!$A$1:$A$1001,customers!$C$1:$C$1001,,0)=0,"",_xlfn.XLOOKUP(C916,customers!$A$1:$A$1001,customers!$C$1:$C$1001,,0))</f>
        <v/>
      </c>
      <c r="H916" s="2">
        <f>_xlfn.XLOOKUP(C916,customers!$A$1:$A$1001,customers!$G$1:$G$1001,,0)</f>
        <v/>
      </c>
      <c r="I916">
        <f>INDEX(products!$A$1:$G$49,MATCH(orders!$D916,products!$A$1:$A$49,0),MATCH(orders!I$1,products!$A$1:$G$1,0))</f>
        <v/>
      </c>
      <c r="J916">
        <f>INDEX(products!$A$1:$G$49,MATCH(orders!$D916,products!$A$1:$A$49,0),MATCH(orders!J$1,products!$A$1:$G$1,0))</f>
        <v/>
      </c>
      <c r="K916" s="4">
        <f>INDEX(products!$A$1:$G$49,MATCH(orders!$D916,products!$A$1:$A$49,0),MATCH(orders!K$1,products!$A$1:$G$1,0))</f>
        <v/>
      </c>
      <c r="L916" s="5">
        <f>INDEX(products!$A$1:$G$49,MATCH(orders!$D916,products!$A$1:$A$49,0),MATCH(orders!L$1,products!$A$1:$G$1,0))</f>
        <v/>
      </c>
      <c r="M916" s="5">
        <f>L916*E916</f>
        <v/>
      </c>
      <c r="N916">
        <f>IF(I916="Rob","Robusta",IF(I916="Exc","Excelsa",IF(I916="Ara","Arabica",IF(I916="Lib","Liberica",""))))</f>
        <v/>
      </c>
      <c r="O916">
        <f>IF(J916="M","Medium",IF(J916="L","Light",IF(J916="D","Dark","")))</f>
        <v/>
      </c>
      <c r="P916">
        <f>_xlfn.XLOOKUP(Orders[[#This Row],[Customer ID]],customers!$A$1:$A$1001,customers!$I$1:$I$1001,,0)</f>
        <v/>
      </c>
    </row>
    <row r="917">
      <c r="A917" s="2" t="inlineStr">
        <is>
          <t>O1413</t>
        </is>
      </c>
      <c r="B917" s="3" t="inlineStr">
        <is>
          <t>2025-05-15</t>
        </is>
      </c>
      <c r="C917" s="2" t="inlineStr">
        <is>
          <t>O5544</t>
        </is>
      </c>
      <c r="D917" t="inlineStr">
        <is>
          <t>O2875</t>
        </is>
      </c>
      <c r="E917" s="2" t="n">
        <v>455</v>
      </c>
      <c r="F917" s="2">
        <f>_xlfn.XLOOKUP(C917,customers!$A$1:$A$1001,customers!$B$1:$B$1001,,0)</f>
        <v/>
      </c>
      <c r="G917" s="2">
        <f>IF(_xlfn.XLOOKUP(C917,customers!$A$1:$A$1001,customers!$C$1:$C$1001,,0)=0,"",_xlfn.XLOOKUP(C917,customers!$A$1:$A$1001,customers!$C$1:$C$1001,,0))</f>
        <v/>
      </c>
      <c r="H917" s="2">
        <f>_xlfn.XLOOKUP(C917,customers!$A$1:$A$1001,customers!$G$1:$G$1001,,0)</f>
        <v/>
      </c>
      <c r="I917">
        <f>INDEX(products!$A$1:$G$49,MATCH(orders!$D917,products!$A$1:$A$49,0),MATCH(orders!I$1,products!$A$1:$G$1,0))</f>
        <v/>
      </c>
      <c r="J917">
        <f>INDEX(products!$A$1:$G$49,MATCH(orders!$D917,products!$A$1:$A$49,0),MATCH(orders!J$1,products!$A$1:$G$1,0))</f>
        <v/>
      </c>
      <c r="K917" s="4">
        <f>INDEX(products!$A$1:$G$49,MATCH(orders!$D917,products!$A$1:$A$49,0),MATCH(orders!K$1,products!$A$1:$G$1,0))</f>
        <v/>
      </c>
      <c r="L917" s="5">
        <f>INDEX(products!$A$1:$G$49,MATCH(orders!$D917,products!$A$1:$A$49,0),MATCH(orders!L$1,products!$A$1:$G$1,0))</f>
        <v/>
      </c>
      <c r="M917" s="5">
        <f>L917*E917</f>
        <v/>
      </c>
      <c r="N917">
        <f>IF(I917="Rob","Robusta",IF(I917="Exc","Excelsa",IF(I917="Ara","Arabica",IF(I917="Lib","Liberica",""))))</f>
        <v/>
      </c>
      <c r="O917">
        <f>IF(J917="M","Medium",IF(J917="L","Light",IF(J917="D","Dark","")))</f>
        <v/>
      </c>
      <c r="P917">
        <f>_xlfn.XLOOKUP(Orders[[#This Row],[Customer ID]],customers!$A$1:$A$1001,customers!$I$1:$I$1001,,0)</f>
        <v/>
      </c>
    </row>
    <row r="918">
      <c r="A918" s="2" t="inlineStr">
        <is>
          <t>O5550</t>
        </is>
      </c>
      <c r="B918" s="3" t="inlineStr">
        <is>
          <t>2025-03-27</t>
        </is>
      </c>
      <c r="C918" s="2" t="inlineStr">
        <is>
          <t>O4302</t>
        </is>
      </c>
      <c r="D918" t="inlineStr">
        <is>
          <t>O1680</t>
        </is>
      </c>
      <c r="E918" s="2" t="n">
        <v>317</v>
      </c>
      <c r="F918" s="2">
        <f>_xlfn.XLOOKUP(C918,customers!$A$1:$A$1001,customers!$B$1:$B$1001,,0)</f>
        <v/>
      </c>
      <c r="G918" s="2">
        <f>IF(_xlfn.XLOOKUP(C918,customers!$A$1:$A$1001,customers!$C$1:$C$1001,,0)=0,"",_xlfn.XLOOKUP(C918,customers!$A$1:$A$1001,customers!$C$1:$C$1001,,0))</f>
        <v/>
      </c>
      <c r="H918" s="2">
        <f>_xlfn.XLOOKUP(C918,customers!$A$1:$A$1001,customers!$G$1:$G$1001,,0)</f>
        <v/>
      </c>
      <c r="I918">
        <f>INDEX(products!$A$1:$G$49,MATCH(orders!$D918,products!$A$1:$A$49,0),MATCH(orders!I$1,products!$A$1:$G$1,0))</f>
        <v/>
      </c>
      <c r="J918">
        <f>INDEX(products!$A$1:$G$49,MATCH(orders!$D918,products!$A$1:$A$49,0),MATCH(orders!J$1,products!$A$1:$G$1,0))</f>
        <v/>
      </c>
      <c r="K918" s="4">
        <f>INDEX(products!$A$1:$G$49,MATCH(orders!$D918,products!$A$1:$A$49,0),MATCH(orders!K$1,products!$A$1:$G$1,0))</f>
        <v/>
      </c>
      <c r="L918" s="5">
        <f>INDEX(products!$A$1:$G$49,MATCH(orders!$D918,products!$A$1:$A$49,0),MATCH(orders!L$1,products!$A$1:$G$1,0))</f>
        <v/>
      </c>
      <c r="M918" s="5">
        <f>L918*E918</f>
        <v/>
      </c>
      <c r="N918">
        <f>IF(I918="Rob","Robusta",IF(I918="Exc","Excelsa",IF(I918="Ara","Arabica",IF(I918="Lib","Liberica",""))))</f>
        <v/>
      </c>
      <c r="O918">
        <f>IF(J918="M","Medium",IF(J918="L","Light",IF(J918="D","Dark","")))</f>
        <v/>
      </c>
      <c r="P918">
        <f>_xlfn.XLOOKUP(Orders[[#This Row],[Customer ID]],customers!$A$1:$A$1001,customers!$I$1:$I$1001,,0)</f>
        <v/>
      </c>
    </row>
    <row r="919">
      <c r="A919" s="2" t="inlineStr">
        <is>
          <t>O3258</t>
        </is>
      </c>
      <c r="B919" s="3" t="inlineStr">
        <is>
          <t>2023-11-30</t>
        </is>
      </c>
      <c r="C919" s="2" t="inlineStr">
        <is>
          <t>O2311</t>
        </is>
      </c>
      <c r="D919" t="inlineStr">
        <is>
          <t>O3033</t>
        </is>
      </c>
      <c r="E919" s="2" t="n">
        <v>90</v>
      </c>
      <c r="F919" s="2">
        <f>_xlfn.XLOOKUP(C919,customers!$A$1:$A$1001,customers!$B$1:$B$1001,,0)</f>
        <v/>
      </c>
      <c r="G919" s="2">
        <f>IF(_xlfn.XLOOKUP(C919,customers!$A$1:$A$1001,customers!$C$1:$C$1001,,0)=0,"",_xlfn.XLOOKUP(C919,customers!$A$1:$A$1001,customers!$C$1:$C$1001,,0))</f>
        <v/>
      </c>
      <c r="H919" s="2">
        <f>_xlfn.XLOOKUP(C919,customers!$A$1:$A$1001,customers!$G$1:$G$1001,,0)</f>
        <v/>
      </c>
      <c r="I919">
        <f>INDEX(products!$A$1:$G$49,MATCH(orders!$D919,products!$A$1:$A$49,0),MATCH(orders!I$1,products!$A$1:$G$1,0))</f>
        <v/>
      </c>
      <c r="J919">
        <f>INDEX(products!$A$1:$G$49,MATCH(orders!$D919,products!$A$1:$A$49,0),MATCH(orders!J$1,products!$A$1:$G$1,0))</f>
        <v/>
      </c>
      <c r="K919" s="4">
        <f>INDEX(products!$A$1:$G$49,MATCH(orders!$D919,products!$A$1:$A$49,0),MATCH(orders!K$1,products!$A$1:$G$1,0))</f>
        <v/>
      </c>
      <c r="L919" s="5">
        <f>INDEX(products!$A$1:$G$49,MATCH(orders!$D919,products!$A$1:$A$49,0),MATCH(orders!L$1,products!$A$1:$G$1,0))</f>
        <v/>
      </c>
      <c r="M919" s="5">
        <f>L919*E919</f>
        <v/>
      </c>
      <c r="N919">
        <f>IF(I919="Rob","Robusta",IF(I919="Exc","Excelsa",IF(I919="Ara","Arabica",IF(I919="Lib","Liberica",""))))</f>
        <v/>
      </c>
      <c r="O919">
        <f>IF(J919="M","Medium",IF(J919="L","Light",IF(J919="D","Dark","")))</f>
        <v/>
      </c>
      <c r="P919">
        <f>_xlfn.XLOOKUP(Orders[[#This Row],[Customer ID]],customers!$A$1:$A$1001,customers!$I$1:$I$1001,,0)</f>
        <v/>
      </c>
    </row>
    <row r="920">
      <c r="A920" s="2" t="inlineStr">
        <is>
          <t>O6859</t>
        </is>
      </c>
      <c r="B920" s="3" t="inlineStr">
        <is>
          <t>2025-08-13</t>
        </is>
      </c>
      <c r="C920" s="2" t="inlineStr">
        <is>
          <t>O5062</t>
        </is>
      </c>
      <c r="D920" t="inlineStr">
        <is>
          <t>O2122</t>
        </is>
      </c>
      <c r="E920" s="2" t="n">
        <v>122</v>
      </c>
      <c r="F920" s="2">
        <f>_xlfn.XLOOKUP(C920,customers!$A$1:$A$1001,customers!$B$1:$B$1001,,0)</f>
        <v/>
      </c>
      <c r="G920" s="2">
        <f>IF(_xlfn.XLOOKUP(C920,customers!$A$1:$A$1001,customers!$C$1:$C$1001,,0)=0,"",_xlfn.XLOOKUP(C920,customers!$A$1:$A$1001,customers!$C$1:$C$1001,,0))</f>
        <v/>
      </c>
      <c r="H920" s="2">
        <f>_xlfn.XLOOKUP(C920,customers!$A$1:$A$1001,customers!$G$1:$G$1001,,0)</f>
        <v/>
      </c>
      <c r="I920">
        <f>INDEX(products!$A$1:$G$49,MATCH(orders!$D920,products!$A$1:$A$49,0),MATCH(orders!I$1,products!$A$1:$G$1,0))</f>
        <v/>
      </c>
      <c r="J920">
        <f>INDEX(products!$A$1:$G$49,MATCH(orders!$D920,products!$A$1:$A$49,0),MATCH(orders!J$1,products!$A$1:$G$1,0))</f>
        <v/>
      </c>
      <c r="K920" s="4">
        <f>INDEX(products!$A$1:$G$49,MATCH(orders!$D920,products!$A$1:$A$49,0),MATCH(orders!K$1,products!$A$1:$G$1,0))</f>
        <v/>
      </c>
      <c r="L920" s="5">
        <f>INDEX(products!$A$1:$G$49,MATCH(orders!$D920,products!$A$1:$A$49,0),MATCH(orders!L$1,products!$A$1:$G$1,0))</f>
        <v/>
      </c>
      <c r="M920" s="5">
        <f>L920*E920</f>
        <v/>
      </c>
      <c r="N920">
        <f>IF(I920="Rob","Robusta",IF(I920="Exc","Excelsa",IF(I920="Ara","Arabica",IF(I920="Lib","Liberica",""))))</f>
        <v/>
      </c>
      <c r="O920">
        <f>IF(J920="M","Medium",IF(J920="L","Light",IF(J920="D","Dark","")))</f>
        <v/>
      </c>
      <c r="P920">
        <f>_xlfn.XLOOKUP(Orders[[#This Row],[Customer ID]],customers!$A$1:$A$1001,customers!$I$1:$I$1001,,0)</f>
        <v/>
      </c>
    </row>
    <row r="921">
      <c r="A921" s="2" t="inlineStr">
        <is>
          <t>O2427</t>
        </is>
      </c>
      <c r="B921" s="3" t="inlineStr">
        <is>
          <t>2022-03-19</t>
        </is>
      </c>
      <c r="C921" s="2" t="inlineStr">
        <is>
          <t>O6067</t>
        </is>
      </c>
      <c r="D921" t="inlineStr">
        <is>
          <t>O8347</t>
        </is>
      </c>
      <c r="E921" s="2" t="n">
        <v>314</v>
      </c>
      <c r="F921" s="2">
        <f>_xlfn.XLOOKUP(C921,customers!$A$1:$A$1001,customers!$B$1:$B$1001,,0)</f>
        <v/>
      </c>
      <c r="G921" s="2">
        <f>IF(_xlfn.XLOOKUP(C921,customers!$A$1:$A$1001,customers!$C$1:$C$1001,,0)=0,"",_xlfn.XLOOKUP(C921,customers!$A$1:$A$1001,customers!$C$1:$C$1001,,0))</f>
        <v/>
      </c>
      <c r="H921" s="2">
        <f>_xlfn.XLOOKUP(C921,customers!$A$1:$A$1001,customers!$G$1:$G$1001,,0)</f>
        <v/>
      </c>
      <c r="I921">
        <f>INDEX(products!$A$1:$G$49,MATCH(orders!$D921,products!$A$1:$A$49,0),MATCH(orders!I$1,products!$A$1:$G$1,0))</f>
        <v/>
      </c>
      <c r="J921">
        <f>INDEX(products!$A$1:$G$49,MATCH(orders!$D921,products!$A$1:$A$49,0),MATCH(orders!J$1,products!$A$1:$G$1,0))</f>
        <v/>
      </c>
      <c r="K921" s="4">
        <f>INDEX(products!$A$1:$G$49,MATCH(orders!$D921,products!$A$1:$A$49,0),MATCH(orders!K$1,products!$A$1:$G$1,0))</f>
        <v/>
      </c>
      <c r="L921" s="5">
        <f>INDEX(products!$A$1:$G$49,MATCH(orders!$D921,products!$A$1:$A$49,0),MATCH(orders!L$1,products!$A$1:$G$1,0))</f>
        <v/>
      </c>
      <c r="M921" s="5">
        <f>L921*E921</f>
        <v/>
      </c>
      <c r="N921">
        <f>IF(I921="Rob","Robusta",IF(I921="Exc","Excelsa",IF(I921="Ara","Arabica",IF(I921="Lib","Liberica",""))))</f>
        <v/>
      </c>
      <c r="O921">
        <f>IF(J921="M","Medium",IF(J921="L","Light",IF(J921="D","Dark","")))</f>
        <v/>
      </c>
      <c r="P921">
        <f>_xlfn.XLOOKUP(Orders[[#This Row],[Customer ID]],customers!$A$1:$A$1001,customers!$I$1:$I$1001,,0)</f>
        <v/>
      </c>
    </row>
    <row r="922">
      <c r="A922" s="2" t="inlineStr">
        <is>
          <t>O2871</t>
        </is>
      </c>
      <c r="B922" s="3" t="inlineStr">
        <is>
          <t>2020-05-06</t>
        </is>
      </c>
      <c r="C922" s="2" t="inlineStr">
        <is>
          <t>O1525</t>
        </is>
      </c>
      <c r="D922" t="inlineStr">
        <is>
          <t>O5925</t>
        </is>
      </c>
      <c r="E922" s="2" t="n">
        <v>49</v>
      </c>
      <c r="F922" s="2">
        <f>_xlfn.XLOOKUP(C922,customers!$A$1:$A$1001,customers!$B$1:$B$1001,,0)</f>
        <v/>
      </c>
      <c r="G922" s="2">
        <f>IF(_xlfn.XLOOKUP(C922,customers!$A$1:$A$1001,customers!$C$1:$C$1001,,0)=0,"",_xlfn.XLOOKUP(C922,customers!$A$1:$A$1001,customers!$C$1:$C$1001,,0))</f>
        <v/>
      </c>
      <c r="H922" s="2">
        <f>_xlfn.XLOOKUP(C922,customers!$A$1:$A$1001,customers!$G$1:$G$1001,,0)</f>
        <v/>
      </c>
      <c r="I922">
        <f>INDEX(products!$A$1:$G$49,MATCH(orders!$D922,products!$A$1:$A$49,0),MATCH(orders!I$1,products!$A$1:$G$1,0))</f>
        <v/>
      </c>
      <c r="J922">
        <f>INDEX(products!$A$1:$G$49,MATCH(orders!$D922,products!$A$1:$A$49,0),MATCH(orders!J$1,products!$A$1:$G$1,0))</f>
        <v/>
      </c>
      <c r="K922" s="4">
        <f>INDEX(products!$A$1:$G$49,MATCH(orders!$D922,products!$A$1:$A$49,0),MATCH(orders!K$1,products!$A$1:$G$1,0))</f>
        <v/>
      </c>
      <c r="L922" s="5">
        <f>INDEX(products!$A$1:$G$49,MATCH(orders!$D922,products!$A$1:$A$49,0),MATCH(orders!L$1,products!$A$1:$G$1,0))</f>
        <v/>
      </c>
      <c r="M922" s="5">
        <f>L922*E922</f>
        <v/>
      </c>
      <c r="N922">
        <f>IF(I922="Rob","Robusta",IF(I922="Exc","Excelsa",IF(I922="Ara","Arabica",IF(I922="Lib","Liberica",""))))</f>
        <v/>
      </c>
      <c r="O922">
        <f>IF(J922="M","Medium",IF(J922="L","Light",IF(J922="D","Dark","")))</f>
        <v/>
      </c>
      <c r="P922">
        <f>_xlfn.XLOOKUP(Orders[[#This Row],[Customer ID]],customers!$A$1:$A$1001,customers!$I$1:$I$1001,,0)</f>
        <v/>
      </c>
    </row>
    <row r="923">
      <c r="A923" s="2" t="inlineStr">
        <is>
          <t>O7118</t>
        </is>
      </c>
      <c r="B923" s="3" t="inlineStr">
        <is>
          <t>2023-03-20</t>
        </is>
      </c>
      <c r="C923" s="2" t="inlineStr">
        <is>
          <t>O4319</t>
        </is>
      </c>
      <c r="D923" t="inlineStr">
        <is>
          <t>O4959</t>
        </is>
      </c>
      <c r="E923" s="2" t="n">
        <v>106</v>
      </c>
      <c r="F923" s="2">
        <f>_xlfn.XLOOKUP(C923,customers!$A$1:$A$1001,customers!$B$1:$B$1001,,0)</f>
        <v/>
      </c>
      <c r="G923" s="2">
        <f>IF(_xlfn.XLOOKUP(C923,customers!$A$1:$A$1001,customers!$C$1:$C$1001,,0)=0,"",_xlfn.XLOOKUP(C923,customers!$A$1:$A$1001,customers!$C$1:$C$1001,,0))</f>
        <v/>
      </c>
      <c r="H923" s="2">
        <f>_xlfn.XLOOKUP(C923,customers!$A$1:$A$1001,customers!$G$1:$G$1001,,0)</f>
        <v/>
      </c>
      <c r="I923">
        <f>INDEX(products!$A$1:$G$49,MATCH(orders!$D923,products!$A$1:$A$49,0),MATCH(orders!I$1,products!$A$1:$G$1,0))</f>
        <v/>
      </c>
      <c r="J923">
        <f>INDEX(products!$A$1:$G$49,MATCH(orders!$D923,products!$A$1:$A$49,0),MATCH(orders!J$1,products!$A$1:$G$1,0))</f>
        <v/>
      </c>
      <c r="K923" s="4">
        <f>INDEX(products!$A$1:$G$49,MATCH(orders!$D923,products!$A$1:$A$49,0),MATCH(orders!K$1,products!$A$1:$G$1,0))</f>
        <v/>
      </c>
      <c r="L923" s="5">
        <f>INDEX(products!$A$1:$G$49,MATCH(orders!$D923,products!$A$1:$A$49,0),MATCH(orders!L$1,products!$A$1:$G$1,0))</f>
        <v/>
      </c>
      <c r="M923" s="5">
        <f>L923*E923</f>
        <v/>
      </c>
      <c r="N923">
        <f>IF(I923="Rob","Robusta",IF(I923="Exc","Excelsa",IF(I923="Ara","Arabica",IF(I923="Lib","Liberica",""))))</f>
        <v/>
      </c>
      <c r="O923">
        <f>IF(J923="M","Medium",IF(J923="L","Light",IF(J923="D","Dark","")))</f>
        <v/>
      </c>
      <c r="P923">
        <f>_xlfn.XLOOKUP(Orders[[#This Row],[Customer ID]],customers!$A$1:$A$1001,customers!$I$1:$I$1001,,0)</f>
        <v/>
      </c>
    </row>
    <row r="924">
      <c r="A924" s="2" t="inlineStr">
        <is>
          <t>O2806</t>
        </is>
      </c>
      <c r="B924" s="3" t="inlineStr">
        <is>
          <t>2021-01-07</t>
        </is>
      </c>
      <c r="C924" s="2" t="inlineStr">
        <is>
          <t>O9716</t>
        </is>
      </c>
      <c r="D924" t="inlineStr">
        <is>
          <t>O4489</t>
        </is>
      </c>
      <c r="E924" s="2" t="n">
        <v>358</v>
      </c>
      <c r="F924" s="2">
        <f>_xlfn.XLOOKUP(C924,customers!$A$1:$A$1001,customers!$B$1:$B$1001,,0)</f>
        <v/>
      </c>
      <c r="G924" s="2">
        <f>IF(_xlfn.XLOOKUP(C924,customers!$A$1:$A$1001,customers!$C$1:$C$1001,,0)=0,"",_xlfn.XLOOKUP(C924,customers!$A$1:$A$1001,customers!$C$1:$C$1001,,0))</f>
        <v/>
      </c>
      <c r="H924" s="2">
        <f>_xlfn.XLOOKUP(C924,customers!$A$1:$A$1001,customers!$G$1:$G$1001,,0)</f>
        <v/>
      </c>
      <c r="I924">
        <f>INDEX(products!$A$1:$G$49,MATCH(orders!$D924,products!$A$1:$A$49,0),MATCH(orders!I$1,products!$A$1:$G$1,0))</f>
        <v/>
      </c>
      <c r="J924">
        <f>INDEX(products!$A$1:$G$49,MATCH(orders!$D924,products!$A$1:$A$49,0),MATCH(orders!J$1,products!$A$1:$G$1,0))</f>
        <v/>
      </c>
      <c r="K924" s="4">
        <f>INDEX(products!$A$1:$G$49,MATCH(orders!$D924,products!$A$1:$A$49,0),MATCH(orders!K$1,products!$A$1:$G$1,0))</f>
        <v/>
      </c>
      <c r="L924" s="5">
        <f>INDEX(products!$A$1:$G$49,MATCH(orders!$D924,products!$A$1:$A$49,0),MATCH(orders!L$1,products!$A$1:$G$1,0))</f>
        <v/>
      </c>
      <c r="M924" s="5">
        <f>L924*E924</f>
        <v/>
      </c>
      <c r="N924">
        <f>IF(I924="Rob","Robusta",IF(I924="Exc","Excelsa",IF(I924="Ara","Arabica",IF(I924="Lib","Liberica",""))))</f>
        <v/>
      </c>
      <c r="O924">
        <f>IF(J924="M","Medium",IF(J924="L","Light",IF(J924="D","Dark","")))</f>
        <v/>
      </c>
      <c r="P924">
        <f>_xlfn.XLOOKUP(Orders[[#This Row],[Customer ID]],customers!$A$1:$A$1001,customers!$I$1:$I$1001,,0)</f>
        <v/>
      </c>
    </row>
    <row r="925">
      <c r="A925" s="2" t="inlineStr">
        <is>
          <t>O9942</t>
        </is>
      </c>
      <c r="B925" s="3" t="inlineStr">
        <is>
          <t>2020-12-04</t>
        </is>
      </c>
      <c r="C925" s="2" t="inlineStr">
        <is>
          <t>O2873</t>
        </is>
      </c>
      <c r="D925" t="inlineStr">
        <is>
          <t>O2965</t>
        </is>
      </c>
      <c r="E925" s="2" t="n">
        <v>493</v>
      </c>
      <c r="F925" s="2">
        <f>_xlfn.XLOOKUP(C925,customers!$A$1:$A$1001,customers!$B$1:$B$1001,,0)</f>
        <v/>
      </c>
      <c r="G925" s="2">
        <f>IF(_xlfn.XLOOKUP(C925,customers!$A$1:$A$1001,customers!$C$1:$C$1001,,0)=0,"",_xlfn.XLOOKUP(C925,customers!$A$1:$A$1001,customers!$C$1:$C$1001,,0))</f>
        <v/>
      </c>
      <c r="H925" s="2">
        <f>_xlfn.XLOOKUP(C925,customers!$A$1:$A$1001,customers!$G$1:$G$1001,,0)</f>
        <v/>
      </c>
      <c r="I925">
        <f>INDEX(products!$A$1:$G$49,MATCH(orders!$D925,products!$A$1:$A$49,0),MATCH(orders!I$1,products!$A$1:$G$1,0))</f>
        <v/>
      </c>
      <c r="J925">
        <f>INDEX(products!$A$1:$G$49,MATCH(orders!$D925,products!$A$1:$A$49,0),MATCH(orders!J$1,products!$A$1:$G$1,0))</f>
        <v/>
      </c>
      <c r="K925" s="4">
        <f>INDEX(products!$A$1:$G$49,MATCH(orders!$D925,products!$A$1:$A$49,0),MATCH(orders!K$1,products!$A$1:$G$1,0))</f>
        <v/>
      </c>
      <c r="L925" s="5">
        <f>INDEX(products!$A$1:$G$49,MATCH(orders!$D925,products!$A$1:$A$49,0),MATCH(orders!L$1,products!$A$1:$G$1,0))</f>
        <v/>
      </c>
      <c r="M925" s="5">
        <f>L925*E925</f>
        <v/>
      </c>
      <c r="N925">
        <f>IF(I925="Rob","Robusta",IF(I925="Exc","Excelsa",IF(I925="Ara","Arabica",IF(I925="Lib","Liberica",""))))</f>
        <v/>
      </c>
      <c r="O925">
        <f>IF(J925="M","Medium",IF(J925="L","Light",IF(J925="D","Dark","")))</f>
        <v/>
      </c>
      <c r="P925">
        <f>_xlfn.XLOOKUP(Orders[[#This Row],[Customer ID]],customers!$A$1:$A$1001,customers!$I$1:$I$1001,,0)</f>
        <v/>
      </c>
    </row>
    <row r="926">
      <c r="A926" s="2" t="inlineStr">
        <is>
          <t>O9490</t>
        </is>
      </c>
      <c r="B926" s="3" t="inlineStr">
        <is>
          <t>2022-08-09</t>
        </is>
      </c>
      <c r="C926" s="2" t="inlineStr">
        <is>
          <t>O5893</t>
        </is>
      </c>
      <c r="D926" t="inlineStr">
        <is>
          <t>O7816</t>
        </is>
      </c>
      <c r="E926" s="2" t="n">
        <v>349</v>
      </c>
      <c r="F926" s="2">
        <f>_xlfn.XLOOKUP(C926,customers!$A$1:$A$1001,customers!$B$1:$B$1001,,0)</f>
        <v/>
      </c>
      <c r="G926" s="2">
        <f>IF(_xlfn.XLOOKUP(C926,customers!$A$1:$A$1001,customers!$C$1:$C$1001,,0)=0,"",_xlfn.XLOOKUP(C926,customers!$A$1:$A$1001,customers!$C$1:$C$1001,,0))</f>
        <v/>
      </c>
      <c r="H926" s="2">
        <f>_xlfn.XLOOKUP(C926,customers!$A$1:$A$1001,customers!$G$1:$G$1001,,0)</f>
        <v/>
      </c>
      <c r="I926">
        <f>INDEX(products!$A$1:$G$49,MATCH(orders!$D926,products!$A$1:$A$49,0),MATCH(orders!I$1,products!$A$1:$G$1,0))</f>
        <v/>
      </c>
      <c r="J926">
        <f>INDEX(products!$A$1:$G$49,MATCH(orders!$D926,products!$A$1:$A$49,0),MATCH(orders!J$1,products!$A$1:$G$1,0))</f>
        <v/>
      </c>
      <c r="K926" s="4">
        <f>INDEX(products!$A$1:$G$49,MATCH(orders!$D926,products!$A$1:$A$49,0),MATCH(orders!K$1,products!$A$1:$G$1,0))</f>
        <v/>
      </c>
      <c r="L926" s="5">
        <f>INDEX(products!$A$1:$G$49,MATCH(orders!$D926,products!$A$1:$A$49,0),MATCH(orders!L$1,products!$A$1:$G$1,0))</f>
        <v/>
      </c>
      <c r="M926" s="5">
        <f>L926*E926</f>
        <v/>
      </c>
      <c r="N926">
        <f>IF(I926="Rob","Robusta",IF(I926="Exc","Excelsa",IF(I926="Ara","Arabica",IF(I926="Lib","Liberica",""))))</f>
        <v/>
      </c>
      <c r="O926">
        <f>IF(J926="M","Medium",IF(J926="L","Light",IF(J926="D","Dark","")))</f>
        <v/>
      </c>
      <c r="P926">
        <f>_xlfn.XLOOKUP(Orders[[#This Row],[Customer ID]],customers!$A$1:$A$1001,customers!$I$1:$I$1001,,0)</f>
        <v/>
      </c>
    </row>
    <row r="927">
      <c r="A927" s="2" t="inlineStr">
        <is>
          <t>O6616</t>
        </is>
      </c>
      <c r="B927" s="3" t="inlineStr">
        <is>
          <t>2020-10-19</t>
        </is>
      </c>
      <c r="C927" s="2" t="inlineStr">
        <is>
          <t>O8023</t>
        </is>
      </c>
      <c r="D927" t="inlineStr">
        <is>
          <t>O4693</t>
        </is>
      </c>
      <c r="E927" s="2" t="n">
        <v>141</v>
      </c>
      <c r="F927" s="2">
        <f>_xlfn.XLOOKUP(C927,customers!$A$1:$A$1001,customers!$B$1:$B$1001,,0)</f>
        <v/>
      </c>
      <c r="G927" s="2">
        <f>IF(_xlfn.XLOOKUP(C927,customers!$A$1:$A$1001,customers!$C$1:$C$1001,,0)=0,"",_xlfn.XLOOKUP(C927,customers!$A$1:$A$1001,customers!$C$1:$C$1001,,0))</f>
        <v/>
      </c>
      <c r="H927" s="2">
        <f>_xlfn.XLOOKUP(C927,customers!$A$1:$A$1001,customers!$G$1:$G$1001,,0)</f>
        <v/>
      </c>
      <c r="I927">
        <f>INDEX(products!$A$1:$G$49,MATCH(orders!$D927,products!$A$1:$A$49,0),MATCH(orders!I$1,products!$A$1:$G$1,0))</f>
        <v/>
      </c>
      <c r="J927">
        <f>INDEX(products!$A$1:$G$49,MATCH(orders!$D927,products!$A$1:$A$49,0),MATCH(orders!J$1,products!$A$1:$G$1,0))</f>
        <v/>
      </c>
      <c r="K927" s="4">
        <f>INDEX(products!$A$1:$G$49,MATCH(orders!$D927,products!$A$1:$A$49,0),MATCH(orders!K$1,products!$A$1:$G$1,0))</f>
        <v/>
      </c>
      <c r="L927" s="5">
        <f>INDEX(products!$A$1:$G$49,MATCH(orders!$D927,products!$A$1:$A$49,0),MATCH(orders!L$1,products!$A$1:$G$1,0))</f>
        <v/>
      </c>
      <c r="M927" s="5">
        <f>L927*E927</f>
        <v/>
      </c>
      <c r="N927">
        <f>IF(I927="Rob","Robusta",IF(I927="Exc","Excelsa",IF(I927="Ara","Arabica",IF(I927="Lib","Liberica",""))))</f>
        <v/>
      </c>
      <c r="O927">
        <f>IF(J927="M","Medium",IF(J927="L","Light",IF(J927="D","Dark","")))</f>
        <v/>
      </c>
      <c r="P927">
        <f>_xlfn.XLOOKUP(Orders[[#This Row],[Customer ID]],customers!$A$1:$A$1001,customers!$I$1:$I$1001,,0)</f>
        <v/>
      </c>
    </row>
    <row r="928">
      <c r="A928" s="2" t="inlineStr">
        <is>
          <t>O1521</t>
        </is>
      </c>
      <c r="B928" s="3" t="inlineStr">
        <is>
          <t>2020-12-28</t>
        </is>
      </c>
      <c r="C928" s="2" t="inlineStr">
        <is>
          <t>O9334</t>
        </is>
      </c>
      <c r="D928" t="inlineStr">
        <is>
          <t>O8808</t>
        </is>
      </c>
      <c r="E928" s="2" t="n">
        <v>243</v>
      </c>
      <c r="F928" s="2">
        <f>_xlfn.XLOOKUP(C928,customers!$A$1:$A$1001,customers!$B$1:$B$1001,,0)</f>
        <v/>
      </c>
      <c r="G928" s="2">
        <f>IF(_xlfn.XLOOKUP(C928,customers!$A$1:$A$1001,customers!$C$1:$C$1001,,0)=0,"",_xlfn.XLOOKUP(C928,customers!$A$1:$A$1001,customers!$C$1:$C$1001,,0))</f>
        <v/>
      </c>
      <c r="H928" s="2">
        <f>_xlfn.XLOOKUP(C928,customers!$A$1:$A$1001,customers!$G$1:$G$1001,,0)</f>
        <v/>
      </c>
      <c r="I928">
        <f>INDEX(products!$A$1:$G$49,MATCH(orders!$D928,products!$A$1:$A$49,0),MATCH(orders!I$1,products!$A$1:$G$1,0))</f>
        <v/>
      </c>
      <c r="J928">
        <f>INDEX(products!$A$1:$G$49,MATCH(orders!$D928,products!$A$1:$A$49,0),MATCH(orders!J$1,products!$A$1:$G$1,0))</f>
        <v/>
      </c>
      <c r="K928" s="4">
        <f>INDEX(products!$A$1:$G$49,MATCH(orders!$D928,products!$A$1:$A$49,0),MATCH(orders!K$1,products!$A$1:$G$1,0))</f>
        <v/>
      </c>
      <c r="L928" s="5">
        <f>INDEX(products!$A$1:$G$49,MATCH(orders!$D928,products!$A$1:$A$49,0),MATCH(orders!L$1,products!$A$1:$G$1,0))</f>
        <v/>
      </c>
      <c r="M928" s="5">
        <f>L928*E928</f>
        <v/>
      </c>
      <c r="N928">
        <f>IF(I928="Rob","Robusta",IF(I928="Exc","Excelsa",IF(I928="Ara","Arabica",IF(I928="Lib","Liberica",""))))</f>
        <v/>
      </c>
      <c r="O928">
        <f>IF(J928="M","Medium",IF(J928="L","Light",IF(J928="D","Dark","")))</f>
        <v/>
      </c>
      <c r="P928">
        <f>_xlfn.XLOOKUP(Orders[[#This Row],[Customer ID]],customers!$A$1:$A$1001,customers!$I$1:$I$1001,,0)</f>
        <v/>
      </c>
    </row>
    <row r="929">
      <c r="A929" s="2" t="inlineStr">
        <is>
          <t>O2197</t>
        </is>
      </c>
      <c r="B929" s="3" t="inlineStr">
        <is>
          <t>2023-09-02</t>
        </is>
      </c>
      <c r="C929" s="2" t="inlineStr">
        <is>
          <t>O6097</t>
        </is>
      </c>
      <c r="D929" t="inlineStr">
        <is>
          <t>O5569</t>
        </is>
      </c>
      <c r="E929" s="2" t="n">
        <v>50</v>
      </c>
      <c r="F929" s="2">
        <f>_xlfn.XLOOKUP(C929,customers!$A$1:$A$1001,customers!$B$1:$B$1001,,0)</f>
        <v/>
      </c>
      <c r="G929" s="2">
        <f>IF(_xlfn.XLOOKUP(C929,customers!$A$1:$A$1001,customers!$C$1:$C$1001,,0)=0,"",_xlfn.XLOOKUP(C929,customers!$A$1:$A$1001,customers!$C$1:$C$1001,,0))</f>
        <v/>
      </c>
      <c r="H929" s="2">
        <f>_xlfn.XLOOKUP(C929,customers!$A$1:$A$1001,customers!$G$1:$G$1001,,0)</f>
        <v/>
      </c>
      <c r="I929">
        <f>INDEX(products!$A$1:$G$49,MATCH(orders!$D929,products!$A$1:$A$49,0),MATCH(orders!I$1,products!$A$1:$G$1,0))</f>
        <v/>
      </c>
      <c r="J929">
        <f>INDEX(products!$A$1:$G$49,MATCH(orders!$D929,products!$A$1:$A$49,0),MATCH(orders!J$1,products!$A$1:$G$1,0))</f>
        <v/>
      </c>
      <c r="K929" s="4">
        <f>INDEX(products!$A$1:$G$49,MATCH(orders!$D929,products!$A$1:$A$49,0),MATCH(orders!K$1,products!$A$1:$G$1,0))</f>
        <v/>
      </c>
      <c r="L929" s="5">
        <f>INDEX(products!$A$1:$G$49,MATCH(orders!$D929,products!$A$1:$A$49,0),MATCH(orders!L$1,products!$A$1:$G$1,0))</f>
        <v/>
      </c>
      <c r="M929" s="5">
        <f>L929*E929</f>
        <v/>
      </c>
      <c r="N929">
        <f>IF(I929="Rob","Robusta",IF(I929="Exc","Excelsa",IF(I929="Ara","Arabica",IF(I929="Lib","Liberica",""))))</f>
        <v/>
      </c>
      <c r="O929">
        <f>IF(J929="M","Medium",IF(J929="L","Light",IF(J929="D","Dark","")))</f>
        <v/>
      </c>
      <c r="P929">
        <f>_xlfn.XLOOKUP(Orders[[#This Row],[Customer ID]],customers!$A$1:$A$1001,customers!$I$1:$I$1001,,0)</f>
        <v/>
      </c>
    </row>
    <row r="930">
      <c r="A930" s="2" t="inlineStr">
        <is>
          <t>O6920</t>
        </is>
      </c>
      <c r="B930" s="3" t="inlineStr">
        <is>
          <t>2024-07-20</t>
        </is>
      </c>
      <c r="C930" s="2" t="inlineStr">
        <is>
          <t>O7596</t>
        </is>
      </c>
      <c r="D930" t="inlineStr">
        <is>
          <t>O2645</t>
        </is>
      </c>
      <c r="E930" s="2" t="n">
        <v>394</v>
      </c>
      <c r="F930" s="2">
        <f>_xlfn.XLOOKUP(C930,customers!$A$1:$A$1001,customers!$B$1:$B$1001,,0)</f>
        <v/>
      </c>
      <c r="G930" s="2">
        <f>IF(_xlfn.XLOOKUP(C930,customers!$A$1:$A$1001,customers!$C$1:$C$1001,,0)=0,"",_xlfn.XLOOKUP(C930,customers!$A$1:$A$1001,customers!$C$1:$C$1001,,0))</f>
        <v/>
      </c>
      <c r="H930" s="2">
        <f>_xlfn.XLOOKUP(C930,customers!$A$1:$A$1001,customers!$G$1:$G$1001,,0)</f>
        <v/>
      </c>
      <c r="I930">
        <f>INDEX(products!$A$1:$G$49,MATCH(orders!$D930,products!$A$1:$A$49,0),MATCH(orders!I$1,products!$A$1:$G$1,0))</f>
        <v/>
      </c>
      <c r="J930">
        <f>INDEX(products!$A$1:$G$49,MATCH(orders!$D930,products!$A$1:$A$49,0),MATCH(orders!J$1,products!$A$1:$G$1,0))</f>
        <v/>
      </c>
      <c r="K930" s="4">
        <f>INDEX(products!$A$1:$G$49,MATCH(orders!$D930,products!$A$1:$A$49,0),MATCH(orders!K$1,products!$A$1:$G$1,0))</f>
        <v/>
      </c>
      <c r="L930" s="5">
        <f>INDEX(products!$A$1:$G$49,MATCH(orders!$D930,products!$A$1:$A$49,0),MATCH(orders!L$1,products!$A$1:$G$1,0))</f>
        <v/>
      </c>
      <c r="M930" s="5">
        <f>L930*E930</f>
        <v/>
      </c>
      <c r="N930">
        <f>IF(I930="Rob","Robusta",IF(I930="Exc","Excelsa",IF(I930="Ara","Arabica",IF(I930="Lib","Liberica",""))))</f>
        <v/>
      </c>
      <c r="O930">
        <f>IF(J930="M","Medium",IF(J930="L","Light",IF(J930="D","Dark","")))</f>
        <v/>
      </c>
      <c r="P930">
        <f>_xlfn.XLOOKUP(Orders[[#This Row],[Customer ID]],customers!$A$1:$A$1001,customers!$I$1:$I$1001,,0)</f>
        <v/>
      </c>
    </row>
    <row r="931">
      <c r="A931" s="2" t="inlineStr">
        <is>
          <t>O3103</t>
        </is>
      </c>
      <c r="B931" s="3" t="inlineStr">
        <is>
          <t>2021-06-23</t>
        </is>
      </c>
      <c r="C931" s="2" t="inlineStr">
        <is>
          <t>O5237</t>
        </is>
      </c>
      <c r="D931" t="inlineStr">
        <is>
          <t>O6080</t>
        </is>
      </c>
      <c r="E931" s="2" t="n">
        <v>109</v>
      </c>
      <c r="F931" s="2">
        <f>_xlfn.XLOOKUP(C931,customers!$A$1:$A$1001,customers!$B$1:$B$1001,,0)</f>
        <v/>
      </c>
      <c r="G931" s="2">
        <f>IF(_xlfn.XLOOKUP(C931,customers!$A$1:$A$1001,customers!$C$1:$C$1001,,0)=0,"",_xlfn.XLOOKUP(C931,customers!$A$1:$A$1001,customers!$C$1:$C$1001,,0))</f>
        <v/>
      </c>
      <c r="H931" s="2">
        <f>_xlfn.XLOOKUP(C931,customers!$A$1:$A$1001,customers!$G$1:$G$1001,,0)</f>
        <v/>
      </c>
      <c r="I931">
        <f>INDEX(products!$A$1:$G$49,MATCH(orders!$D931,products!$A$1:$A$49,0),MATCH(orders!I$1,products!$A$1:$G$1,0))</f>
        <v/>
      </c>
      <c r="J931">
        <f>INDEX(products!$A$1:$G$49,MATCH(orders!$D931,products!$A$1:$A$49,0),MATCH(orders!J$1,products!$A$1:$G$1,0))</f>
        <v/>
      </c>
      <c r="K931" s="4">
        <f>INDEX(products!$A$1:$G$49,MATCH(orders!$D931,products!$A$1:$A$49,0),MATCH(orders!K$1,products!$A$1:$G$1,0))</f>
        <v/>
      </c>
      <c r="L931" s="5">
        <f>INDEX(products!$A$1:$G$49,MATCH(orders!$D931,products!$A$1:$A$49,0),MATCH(orders!L$1,products!$A$1:$G$1,0))</f>
        <v/>
      </c>
      <c r="M931" s="5">
        <f>L931*E931</f>
        <v/>
      </c>
      <c r="N931">
        <f>IF(I931="Rob","Robusta",IF(I931="Exc","Excelsa",IF(I931="Ara","Arabica",IF(I931="Lib","Liberica",""))))</f>
        <v/>
      </c>
      <c r="O931">
        <f>IF(J931="M","Medium",IF(J931="L","Light",IF(J931="D","Dark","")))</f>
        <v/>
      </c>
      <c r="P931">
        <f>_xlfn.XLOOKUP(Orders[[#This Row],[Customer ID]],customers!$A$1:$A$1001,customers!$I$1:$I$1001,,0)</f>
        <v/>
      </c>
    </row>
    <row r="932">
      <c r="A932" s="2" t="inlineStr">
        <is>
          <t>O3293</t>
        </is>
      </c>
      <c r="B932" s="3" t="inlineStr">
        <is>
          <t>2022-09-20</t>
        </is>
      </c>
      <c r="C932" s="2" t="inlineStr">
        <is>
          <t>O8990</t>
        </is>
      </c>
      <c r="D932" t="inlineStr">
        <is>
          <t>O1287</t>
        </is>
      </c>
      <c r="E932" s="2" t="n">
        <v>345</v>
      </c>
      <c r="F932" s="2">
        <f>_xlfn.XLOOKUP(C932,customers!$A$1:$A$1001,customers!$B$1:$B$1001,,0)</f>
        <v/>
      </c>
      <c r="G932" s="2">
        <f>IF(_xlfn.XLOOKUP(C932,customers!$A$1:$A$1001,customers!$C$1:$C$1001,,0)=0,"",_xlfn.XLOOKUP(C932,customers!$A$1:$A$1001,customers!$C$1:$C$1001,,0))</f>
        <v/>
      </c>
      <c r="H932" s="2">
        <f>_xlfn.XLOOKUP(C932,customers!$A$1:$A$1001,customers!$G$1:$G$1001,,0)</f>
        <v/>
      </c>
      <c r="I932">
        <f>INDEX(products!$A$1:$G$49,MATCH(orders!$D932,products!$A$1:$A$49,0),MATCH(orders!I$1,products!$A$1:$G$1,0))</f>
        <v/>
      </c>
      <c r="J932">
        <f>INDEX(products!$A$1:$G$49,MATCH(orders!$D932,products!$A$1:$A$49,0),MATCH(orders!J$1,products!$A$1:$G$1,0))</f>
        <v/>
      </c>
      <c r="K932" s="4">
        <f>INDEX(products!$A$1:$G$49,MATCH(orders!$D932,products!$A$1:$A$49,0),MATCH(orders!K$1,products!$A$1:$G$1,0))</f>
        <v/>
      </c>
      <c r="L932" s="5">
        <f>INDEX(products!$A$1:$G$49,MATCH(orders!$D932,products!$A$1:$A$49,0),MATCH(orders!L$1,products!$A$1:$G$1,0))</f>
        <v/>
      </c>
      <c r="M932" s="5">
        <f>L932*E932</f>
        <v/>
      </c>
      <c r="N932">
        <f>IF(I932="Rob","Robusta",IF(I932="Exc","Excelsa",IF(I932="Ara","Arabica",IF(I932="Lib","Liberica",""))))</f>
        <v/>
      </c>
      <c r="O932">
        <f>IF(J932="M","Medium",IF(J932="L","Light",IF(J932="D","Dark","")))</f>
        <v/>
      </c>
      <c r="P932">
        <f>_xlfn.XLOOKUP(Orders[[#This Row],[Customer ID]],customers!$A$1:$A$1001,customers!$I$1:$I$1001,,0)</f>
        <v/>
      </c>
    </row>
    <row r="933">
      <c r="A933" s="2" t="inlineStr">
        <is>
          <t>O5346</t>
        </is>
      </c>
      <c r="B933" s="3" t="inlineStr">
        <is>
          <t>2022-07-13</t>
        </is>
      </c>
      <c r="C933" s="2" t="inlineStr">
        <is>
          <t>O2363</t>
        </is>
      </c>
      <c r="D933" t="inlineStr">
        <is>
          <t>O3770</t>
        </is>
      </c>
      <c r="E933" s="2" t="n">
        <v>152</v>
      </c>
      <c r="F933" s="2">
        <f>_xlfn.XLOOKUP(C933,customers!$A$1:$A$1001,customers!$B$1:$B$1001,,0)</f>
        <v/>
      </c>
      <c r="G933" s="2">
        <f>IF(_xlfn.XLOOKUP(C933,customers!$A$1:$A$1001,customers!$C$1:$C$1001,,0)=0,"",_xlfn.XLOOKUP(C933,customers!$A$1:$A$1001,customers!$C$1:$C$1001,,0))</f>
        <v/>
      </c>
      <c r="H933" s="2">
        <f>_xlfn.XLOOKUP(C933,customers!$A$1:$A$1001,customers!$G$1:$G$1001,,0)</f>
        <v/>
      </c>
      <c r="I933">
        <f>INDEX(products!$A$1:$G$49,MATCH(orders!$D933,products!$A$1:$A$49,0),MATCH(orders!I$1,products!$A$1:$G$1,0))</f>
        <v/>
      </c>
      <c r="J933">
        <f>INDEX(products!$A$1:$G$49,MATCH(orders!$D933,products!$A$1:$A$49,0),MATCH(orders!J$1,products!$A$1:$G$1,0))</f>
        <v/>
      </c>
      <c r="K933" s="4">
        <f>INDEX(products!$A$1:$G$49,MATCH(orders!$D933,products!$A$1:$A$49,0),MATCH(orders!K$1,products!$A$1:$G$1,0))</f>
        <v/>
      </c>
      <c r="L933" s="5">
        <f>INDEX(products!$A$1:$G$49,MATCH(orders!$D933,products!$A$1:$A$49,0),MATCH(orders!L$1,products!$A$1:$G$1,0))</f>
        <v/>
      </c>
      <c r="M933" s="5">
        <f>L933*E933</f>
        <v/>
      </c>
      <c r="N933">
        <f>IF(I933="Rob","Robusta",IF(I933="Exc","Excelsa",IF(I933="Ara","Arabica",IF(I933="Lib","Liberica",""))))</f>
        <v/>
      </c>
      <c r="O933">
        <f>IF(J933="M","Medium",IF(J933="L","Light",IF(J933="D","Dark","")))</f>
        <v/>
      </c>
      <c r="P933">
        <f>_xlfn.XLOOKUP(Orders[[#This Row],[Customer ID]],customers!$A$1:$A$1001,customers!$I$1:$I$1001,,0)</f>
        <v/>
      </c>
    </row>
    <row r="934">
      <c r="A934" s="2" t="inlineStr">
        <is>
          <t>O8017</t>
        </is>
      </c>
      <c r="B934" s="3" t="inlineStr">
        <is>
          <t>2021-12-03</t>
        </is>
      </c>
      <c r="C934" s="2" t="inlineStr">
        <is>
          <t>O1370</t>
        </is>
      </c>
      <c r="D934" t="inlineStr">
        <is>
          <t>O8906</t>
        </is>
      </c>
      <c r="E934" s="2" t="n">
        <v>417</v>
      </c>
      <c r="F934" s="2">
        <f>_xlfn.XLOOKUP(C934,customers!$A$1:$A$1001,customers!$B$1:$B$1001,,0)</f>
        <v/>
      </c>
      <c r="G934" s="2">
        <f>IF(_xlfn.XLOOKUP(C934,customers!$A$1:$A$1001,customers!$C$1:$C$1001,,0)=0,"",_xlfn.XLOOKUP(C934,customers!$A$1:$A$1001,customers!$C$1:$C$1001,,0))</f>
        <v/>
      </c>
      <c r="H934" s="2">
        <f>_xlfn.XLOOKUP(C934,customers!$A$1:$A$1001,customers!$G$1:$G$1001,,0)</f>
        <v/>
      </c>
      <c r="I934">
        <f>INDEX(products!$A$1:$G$49,MATCH(orders!$D934,products!$A$1:$A$49,0),MATCH(orders!I$1,products!$A$1:$G$1,0))</f>
        <v/>
      </c>
      <c r="J934">
        <f>INDEX(products!$A$1:$G$49,MATCH(orders!$D934,products!$A$1:$A$49,0),MATCH(orders!J$1,products!$A$1:$G$1,0))</f>
        <v/>
      </c>
      <c r="K934" s="4">
        <f>INDEX(products!$A$1:$G$49,MATCH(orders!$D934,products!$A$1:$A$49,0),MATCH(orders!K$1,products!$A$1:$G$1,0))</f>
        <v/>
      </c>
      <c r="L934" s="5">
        <f>INDEX(products!$A$1:$G$49,MATCH(orders!$D934,products!$A$1:$A$49,0),MATCH(orders!L$1,products!$A$1:$G$1,0))</f>
        <v/>
      </c>
      <c r="M934" s="5">
        <f>L934*E934</f>
        <v/>
      </c>
      <c r="N934">
        <f>IF(I934="Rob","Robusta",IF(I934="Exc","Excelsa",IF(I934="Ara","Arabica",IF(I934="Lib","Liberica",""))))</f>
        <v/>
      </c>
      <c r="O934">
        <f>IF(J934="M","Medium",IF(J934="L","Light",IF(J934="D","Dark","")))</f>
        <v/>
      </c>
      <c r="P934">
        <f>_xlfn.XLOOKUP(Orders[[#This Row],[Customer ID]],customers!$A$1:$A$1001,customers!$I$1:$I$1001,,0)</f>
        <v/>
      </c>
    </row>
    <row r="935">
      <c r="A935" s="2" t="inlineStr">
        <is>
          <t>O3047</t>
        </is>
      </c>
      <c r="B935" s="3" t="inlineStr">
        <is>
          <t>2025-08-24</t>
        </is>
      </c>
      <c r="C935" s="2" t="inlineStr">
        <is>
          <t>O5340</t>
        </is>
      </c>
      <c r="D935" t="inlineStr">
        <is>
          <t>O2796</t>
        </is>
      </c>
      <c r="E935" s="2" t="n">
        <v>213</v>
      </c>
      <c r="F935" s="2">
        <f>_xlfn.XLOOKUP(C935,customers!$A$1:$A$1001,customers!$B$1:$B$1001,,0)</f>
        <v/>
      </c>
      <c r="G935" s="2">
        <f>IF(_xlfn.XLOOKUP(C935,customers!$A$1:$A$1001,customers!$C$1:$C$1001,,0)=0,"",_xlfn.XLOOKUP(C935,customers!$A$1:$A$1001,customers!$C$1:$C$1001,,0))</f>
        <v/>
      </c>
      <c r="H935" s="2">
        <f>_xlfn.XLOOKUP(C935,customers!$A$1:$A$1001,customers!$G$1:$G$1001,,0)</f>
        <v/>
      </c>
      <c r="I935">
        <f>INDEX(products!$A$1:$G$49,MATCH(orders!$D935,products!$A$1:$A$49,0),MATCH(orders!I$1,products!$A$1:$G$1,0))</f>
        <v/>
      </c>
      <c r="J935">
        <f>INDEX(products!$A$1:$G$49,MATCH(orders!$D935,products!$A$1:$A$49,0),MATCH(orders!J$1,products!$A$1:$G$1,0))</f>
        <v/>
      </c>
      <c r="K935" s="4">
        <f>INDEX(products!$A$1:$G$49,MATCH(orders!$D935,products!$A$1:$A$49,0),MATCH(orders!K$1,products!$A$1:$G$1,0))</f>
        <v/>
      </c>
      <c r="L935" s="5">
        <f>INDEX(products!$A$1:$G$49,MATCH(orders!$D935,products!$A$1:$A$49,0),MATCH(orders!L$1,products!$A$1:$G$1,0))</f>
        <v/>
      </c>
      <c r="M935" s="5">
        <f>L935*E935</f>
        <v/>
      </c>
      <c r="N935">
        <f>IF(I935="Rob","Robusta",IF(I935="Exc","Excelsa",IF(I935="Ara","Arabica",IF(I935="Lib","Liberica",""))))</f>
        <v/>
      </c>
      <c r="O935">
        <f>IF(J935="M","Medium",IF(J935="L","Light",IF(J935="D","Dark","")))</f>
        <v/>
      </c>
      <c r="P935">
        <f>_xlfn.XLOOKUP(Orders[[#This Row],[Customer ID]],customers!$A$1:$A$1001,customers!$I$1:$I$1001,,0)</f>
        <v/>
      </c>
    </row>
    <row r="936">
      <c r="A936" s="2" t="inlineStr">
        <is>
          <t>O6880</t>
        </is>
      </c>
      <c r="B936" s="3" t="inlineStr">
        <is>
          <t>2023-11-10</t>
        </is>
      </c>
      <c r="C936" s="2" t="inlineStr">
        <is>
          <t>O9506</t>
        </is>
      </c>
      <c r="D936" t="inlineStr">
        <is>
          <t>O6010</t>
        </is>
      </c>
      <c r="E936" s="2" t="n">
        <v>450</v>
      </c>
      <c r="F936" s="2">
        <f>_xlfn.XLOOKUP(C936,customers!$A$1:$A$1001,customers!$B$1:$B$1001,,0)</f>
        <v/>
      </c>
      <c r="G936" s="2">
        <f>IF(_xlfn.XLOOKUP(C936,customers!$A$1:$A$1001,customers!$C$1:$C$1001,,0)=0,"",_xlfn.XLOOKUP(C936,customers!$A$1:$A$1001,customers!$C$1:$C$1001,,0))</f>
        <v/>
      </c>
      <c r="H936" s="2">
        <f>_xlfn.XLOOKUP(C936,customers!$A$1:$A$1001,customers!$G$1:$G$1001,,0)</f>
        <v/>
      </c>
      <c r="I936">
        <f>INDEX(products!$A$1:$G$49,MATCH(orders!$D936,products!$A$1:$A$49,0),MATCH(orders!I$1,products!$A$1:$G$1,0))</f>
        <v/>
      </c>
      <c r="J936">
        <f>INDEX(products!$A$1:$G$49,MATCH(orders!$D936,products!$A$1:$A$49,0),MATCH(orders!J$1,products!$A$1:$G$1,0))</f>
        <v/>
      </c>
      <c r="K936" s="4">
        <f>INDEX(products!$A$1:$G$49,MATCH(orders!$D936,products!$A$1:$A$49,0),MATCH(orders!K$1,products!$A$1:$G$1,0))</f>
        <v/>
      </c>
      <c r="L936" s="5">
        <f>INDEX(products!$A$1:$G$49,MATCH(orders!$D936,products!$A$1:$A$49,0),MATCH(orders!L$1,products!$A$1:$G$1,0))</f>
        <v/>
      </c>
      <c r="M936" s="5">
        <f>L936*E936</f>
        <v/>
      </c>
      <c r="N936">
        <f>IF(I936="Rob","Robusta",IF(I936="Exc","Excelsa",IF(I936="Ara","Arabica",IF(I936="Lib","Liberica",""))))</f>
        <v/>
      </c>
      <c r="O936">
        <f>IF(J936="M","Medium",IF(J936="L","Light",IF(J936="D","Dark","")))</f>
        <v/>
      </c>
      <c r="P936">
        <f>_xlfn.XLOOKUP(Orders[[#This Row],[Customer ID]],customers!$A$1:$A$1001,customers!$I$1:$I$1001,,0)</f>
        <v/>
      </c>
    </row>
    <row r="937">
      <c r="A937" s="2" t="inlineStr">
        <is>
          <t>O5770</t>
        </is>
      </c>
      <c r="B937" s="3" t="inlineStr">
        <is>
          <t>2020-03-11</t>
        </is>
      </c>
      <c r="C937" s="2" t="inlineStr">
        <is>
          <t>O1741</t>
        </is>
      </c>
      <c r="D937" t="inlineStr">
        <is>
          <t>O7421</t>
        </is>
      </c>
      <c r="E937" s="2" t="n">
        <v>454</v>
      </c>
      <c r="F937" s="2">
        <f>_xlfn.XLOOKUP(C937,customers!$A$1:$A$1001,customers!$B$1:$B$1001,,0)</f>
        <v/>
      </c>
      <c r="G937" s="2">
        <f>IF(_xlfn.XLOOKUP(C937,customers!$A$1:$A$1001,customers!$C$1:$C$1001,,0)=0,"",_xlfn.XLOOKUP(C937,customers!$A$1:$A$1001,customers!$C$1:$C$1001,,0))</f>
        <v/>
      </c>
      <c r="H937" s="2">
        <f>_xlfn.XLOOKUP(C937,customers!$A$1:$A$1001,customers!$G$1:$G$1001,,0)</f>
        <v/>
      </c>
      <c r="I937">
        <f>INDEX(products!$A$1:$G$49,MATCH(orders!$D937,products!$A$1:$A$49,0),MATCH(orders!I$1,products!$A$1:$G$1,0))</f>
        <v/>
      </c>
      <c r="J937">
        <f>INDEX(products!$A$1:$G$49,MATCH(orders!$D937,products!$A$1:$A$49,0),MATCH(orders!J$1,products!$A$1:$G$1,0))</f>
        <v/>
      </c>
      <c r="K937" s="4">
        <f>INDEX(products!$A$1:$G$49,MATCH(orders!$D937,products!$A$1:$A$49,0),MATCH(orders!K$1,products!$A$1:$G$1,0))</f>
        <v/>
      </c>
      <c r="L937" s="5">
        <f>INDEX(products!$A$1:$G$49,MATCH(orders!$D937,products!$A$1:$A$49,0),MATCH(orders!L$1,products!$A$1:$G$1,0))</f>
        <v/>
      </c>
      <c r="M937" s="5">
        <f>L937*E937</f>
        <v/>
      </c>
      <c r="N937">
        <f>IF(I937="Rob","Robusta",IF(I937="Exc","Excelsa",IF(I937="Ara","Arabica",IF(I937="Lib","Liberica",""))))</f>
        <v/>
      </c>
      <c r="O937">
        <f>IF(J937="M","Medium",IF(J937="L","Light",IF(J937="D","Dark","")))</f>
        <v/>
      </c>
      <c r="P937">
        <f>_xlfn.XLOOKUP(Orders[[#This Row],[Customer ID]],customers!$A$1:$A$1001,customers!$I$1:$I$1001,,0)</f>
        <v/>
      </c>
    </row>
    <row r="938">
      <c r="A938" s="2" t="inlineStr">
        <is>
          <t>O9118</t>
        </is>
      </c>
      <c r="B938" s="3" t="inlineStr">
        <is>
          <t>2020-01-16</t>
        </is>
      </c>
      <c r="C938" s="2" t="inlineStr">
        <is>
          <t>O5519</t>
        </is>
      </c>
      <c r="D938" t="inlineStr">
        <is>
          <t>O7155</t>
        </is>
      </c>
      <c r="E938" s="2" t="n">
        <v>244</v>
      </c>
      <c r="F938" s="2">
        <f>_xlfn.XLOOKUP(C938,customers!$A$1:$A$1001,customers!$B$1:$B$1001,,0)</f>
        <v/>
      </c>
      <c r="G938" s="2">
        <f>IF(_xlfn.XLOOKUP(C938,customers!$A$1:$A$1001,customers!$C$1:$C$1001,,0)=0,"",_xlfn.XLOOKUP(C938,customers!$A$1:$A$1001,customers!$C$1:$C$1001,,0))</f>
        <v/>
      </c>
      <c r="H938" s="2">
        <f>_xlfn.XLOOKUP(C938,customers!$A$1:$A$1001,customers!$G$1:$G$1001,,0)</f>
        <v/>
      </c>
      <c r="I938">
        <f>INDEX(products!$A$1:$G$49,MATCH(orders!$D938,products!$A$1:$A$49,0),MATCH(orders!I$1,products!$A$1:$G$1,0))</f>
        <v/>
      </c>
      <c r="J938">
        <f>INDEX(products!$A$1:$G$49,MATCH(orders!$D938,products!$A$1:$A$49,0),MATCH(orders!J$1,products!$A$1:$G$1,0))</f>
        <v/>
      </c>
      <c r="K938" s="4">
        <f>INDEX(products!$A$1:$G$49,MATCH(orders!$D938,products!$A$1:$A$49,0),MATCH(orders!K$1,products!$A$1:$G$1,0))</f>
        <v/>
      </c>
      <c r="L938" s="5">
        <f>INDEX(products!$A$1:$G$49,MATCH(orders!$D938,products!$A$1:$A$49,0),MATCH(orders!L$1,products!$A$1:$G$1,0))</f>
        <v/>
      </c>
      <c r="M938" s="5">
        <f>L938*E938</f>
        <v/>
      </c>
      <c r="N938">
        <f>IF(I938="Rob","Robusta",IF(I938="Exc","Excelsa",IF(I938="Ara","Arabica",IF(I938="Lib","Liberica",""))))</f>
        <v/>
      </c>
      <c r="O938">
        <f>IF(J938="M","Medium",IF(J938="L","Light",IF(J938="D","Dark","")))</f>
        <v/>
      </c>
      <c r="P938">
        <f>_xlfn.XLOOKUP(Orders[[#This Row],[Customer ID]],customers!$A$1:$A$1001,customers!$I$1:$I$1001,,0)</f>
        <v/>
      </c>
    </row>
    <row r="939">
      <c r="A939" s="2" t="inlineStr">
        <is>
          <t>O3683</t>
        </is>
      </c>
      <c r="B939" s="3" t="inlineStr">
        <is>
          <t>2023-01-22</t>
        </is>
      </c>
      <c r="C939" s="2" t="inlineStr">
        <is>
          <t>O5377</t>
        </is>
      </c>
      <c r="D939" t="inlineStr">
        <is>
          <t>O6716</t>
        </is>
      </c>
      <c r="E939" s="2" t="n">
        <v>166</v>
      </c>
      <c r="F939" s="2">
        <f>_xlfn.XLOOKUP(C939,customers!$A$1:$A$1001,customers!$B$1:$B$1001,,0)</f>
        <v/>
      </c>
      <c r="G939" s="2">
        <f>IF(_xlfn.XLOOKUP(C939,customers!$A$1:$A$1001,customers!$C$1:$C$1001,,0)=0,"",_xlfn.XLOOKUP(C939,customers!$A$1:$A$1001,customers!$C$1:$C$1001,,0))</f>
        <v/>
      </c>
      <c r="H939" s="2">
        <f>_xlfn.XLOOKUP(C939,customers!$A$1:$A$1001,customers!$G$1:$G$1001,,0)</f>
        <v/>
      </c>
      <c r="I939">
        <f>INDEX(products!$A$1:$G$49,MATCH(orders!$D939,products!$A$1:$A$49,0),MATCH(orders!I$1,products!$A$1:$G$1,0))</f>
        <v/>
      </c>
      <c r="J939">
        <f>INDEX(products!$A$1:$G$49,MATCH(orders!$D939,products!$A$1:$A$49,0),MATCH(orders!J$1,products!$A$1:$G$1,0))</f>
        <v/>
      </c>
      <c r="K939" s="4">
        <f>INDEX(products!$A$1:$G$49,MATCH(orders!$D939,products!$A$1:$A$49,0),MATCH(orders!K$1,products!$A$1:$G$1,0))</f>
        <v/>
      </c>
      <c r="L939" s="5">
        <f>INDEX(products!$A$1:$G$49,MATCH(orders!$D939,products!$A$1:$A$49,0),MATCH(orders!L$1,products!$A$1:$G$1,0))</f>
        <v/>
      </c>
      <c r="M939" s="5">
        <f>L939*E939</f>
        <v/>
      </c>
      <c r="N939">
        <f>IF(I939="Rob","Robusta",IF(I939="Exc","Excelsa",IF(I939="Ara","Arabica",IF(I939="Lib","Liberica",""))))</f>
        <v/>
      </c>
      <c r="O939">
        <f>IF(J939="M","Medium",IF(J939="L","Light",IF(J939="D","Dark","")))</f>
        <v/>
      </c>
      <c r="P939">
        <f>_xlfn.XLOOKUP(Orders[[#This Row],[Customer ID]],customers!$A$1:$A$1001,customers!$I$1:$I$1001,,0)</f>
        <v/>
      </c>
    </row>
    <row r="940">
      <c r="A940" s="2" t="inlineStr">
        <is>
          <t>O4452</t>
        </is>
      </c>
      <c r="B940" s="3" t="inlineStr">
        <is>
          <t>2024-05-31</t>
        </is>
      </c>
      <c r="C940" s="2" t="inlineStr">
        <is>
          <t>O6028</t>
        </is>
      </c>
      <c r="D940" t="inlineStr">
        <is>
          <t>O1617</t>
        </is>
      </c>
      <c r="E940" s="2" t="n">
        <v>202</v>
      </c>
      <c r="F940" s="2">
        <f>_xlfn.XLOOKUP(C940,customers!$A$1:$A$1001,customers!$B$1:$B$1001,,0)</f>
        <v/>
      </c>
      <c r="G940" s="2">
        <f>IF(_xlfn.XLOOKUP(C940,customers!$A$1:$A$1001,customers!$C$1:$C$1001,,0)=0,"",_xlfn.XLOOKUP(C940,customers!$A$1:$A$1001,customers!$C$1:$C$1001,,0))</f>
        <v/>
      </c>
      <c r="H940" s="2">
        <f>_xlfn.XLOOKUP(C940,customers!$A$1:$A$1001,customers!$G$1:$G$1001,,0)</f>
        <v/>
      </c>
      <c r="I940">
        <f>INDEX(products!$A$1:$G$49,MATCH(orders!$D940,products!$A$1:$A$49,0),MATCH(orders!I$1,products!$A$1:$G$1,0))</f>
        <v/>
      </c>
      <c r="J940">
        <f>INDEX(products!$A$1:$G$49,MATCH(orders!$D940,products!$A$1:$A$49,0),MATCH(orders!J$1,products!$A$1:$G$1,0))</f>
        <v/>
      </c>
      <c r="K940" s="4">
        <f>INDEX(products!$A$1:$G$49,MATCH(orders!$D940,products!$A$1:$A$49,0),MATCH(orders!K$1,products!$A$1:$G$1,0))</f>
        <v/>
      </c>
      <c r="L940" s="5">
        <f>INDEX(products!$A$1:$G$49,MATCH(orders!$D940,products!$A$1:$A$49,0),MATCH(orders!L$1,products!$A$1:$G$1,0))</f>
        <v/>
      </c>
      <c r="M940" s="5">
        <f>L940*E940</f>
        <v/>
      </c>
      <c r="N940">
        <f>IF(I940="Rob","Robusta",IF(I940="Exc","Excelsa",IF(I940="Ara","Arabica",IF(I940="Lib","Liberica",""))))</f>
        <v/>
      </c>
      <c r="O940">
        <f>IF(J940="M","Medium",IF(J940="L","Light",IF(J940="D","Dark","")))</f>
        <v/>
      </c>
      <c r="P940">
        <f>_xlfn.XLOOKUP(Orders[[#This Row],[Customer ID]],customers!$A$1:$A$1001,customers!$I$1:$I$1001,,0)</f>
        <v/>
      </c>
    </row>
    <row r="941">
      <c r="A941" s="2" t="inlineStr">
        <is>
          <t>O6420</t>
        </is>
      </c>
      <c r="B941" s="3" t="inlineStr">
        <is>
          <t>2022-04-06</t>
        </is>
      </c>
      <c r="C941" s="2" t="inlineStr">
        <is>
          <t>O8245</t>
        </is>
      </c>
      <c r="D941" t="inlineStr">
        <is>
          <t>O1166</t>
        </is>
      </c>
      <c r="E941" s="2" t="n">
        <v>294</v>
      </c>
      <c r="F941" s="2">
        <f>_xlfn.XLOOKUP(C941,customers!$A$1:$A$1001,customers!$B$1:$B$1001,,0)</f>
        <v/>
      </c>
      <c r="G941" s="2">
        <f>IF(_xlfn.XLOOKUP(C941,customers!$A$1:$A$1001,customers!$C$1:$C$1001,,0)=0,"",_xlfn.XLOOKUP(C941,customers!$A$1:$A$1001,customers!$C$1:$C$1001,,0))</f>
        <v/>
      </c>
      <c r="H941" s="2">
        <f>_xlfn.XLOOKUP(C941,customers!$A$1:$A$1001,customers!$G$1:$G$1001,,0)</f>
        <v/>
      </c>
      <c r="I941">
        <f>INDEX(products!$A$1:$G$49,MATCH(orders!$D941,products!$A$1:$A$49,0),MATCH(orders!I$1,products!$A$1:$G$1,0))</f>
        <v/>
      </c>
      <c r="J941">
        <f>INDEX(products!$A$1:$G$49,MATCH(orders!$D941,products!$A$1:$A$49,0),MATCH(orders!J$1,products!$A$1:$G$1,0))</f>
        <v/>
      </c>
      <c r="K941" s="4">
        <f>INDEX(products!$A$1:$G$49,MATCH(orders!$D941,products!$A$1:$A$49,0),MATCH(orders!K$1,products!$A$1:$G$1,0))</f>
        <v/>
      </c>
      <c r="L941" s="5">
        <f>INDEX(products!$A$1:$G$49,MATCH(orders!$D941,products!$A$1:$A$49,0),MATCH(orders!L$1,products!$A$1:$G$1,0))</f>
        <v/>
      </c>
      <c r="M941" s="5">
        <f>L941*E941</f>
        <v/>
      </c>
      <c r="N941">
        <f>IF(I941="Rob","Robusta",IF(I941="Exc","Excelsa",IF(I941="Ara","Arabica",IF(I941="Lib","Liberica",""))))</f>
        <v/>
      </c>
      <c r="O941">
        <f>IF(J941="M","Medium",IF(J941="L","Light",IF(J941="D","Dark","")))</f>
        <v/>
      </c>
      <c r="P941">
        <f>_xlfn.XLOOKUP(Orders[[#This Row],[Customer ID]],customers!$A$1:$A$1001,customers!$I$1:$I$1001,,0)</f>
        <v/>
      </c>
    </row>
    <row r="942">
      <c r="A942" s="2" t="inlineStr">
        <is>
          <t>O9325</t>
        </is>
      </c>
      <c r="B942" s="3" t="inlineStr">
        <is>
          <t>2020-02-27</t>
        </is>
      </c>
      <c r="C942" s="2" t="inlineStr">
        <is>
          <t>O3351</t>
        </is>
      </c>
      <c r="D942" t="inlineStr">
        <is>
          <t>O1426</t>
        </is>
      </c>
      <c r="E942" s="2" t="n">
        <v>14</v>
      </c>
      <c r="F942" s="2">
        <f>_xlfn.XLOOKUP(C942,customers!$A$1:$A$1001,customers!$B$1:$B$1001,,0)</f>
        <v/>
      </c>
      <c r="G942" s="2">
        <f>IF(_xlfn.XLOOKUP(C942,customers!$A$1:$A$1001,customers!$C$1:$C$1001,,0)=0,"",_xlfn.XLOOKUP(C942,customers!$A$1:$A$1001,customers!$C$1:$C$1001,,0))</f>
        <v/>
      </c>
      <c r="H942" s="2">
        <f>_xlfn.XLOOKUP(C942,customers!$A$1:$A$1001,customers!$G$1:$G$1001,,0)</f>
        <v/>
      </c>
      <c r="I942">
        <f>INDEX(products!$A$1:$G$49,MATCH(orders!$D942,products!$A$1:$A$49,0),MATCH(orders!I$1,products!$A$1:$G$1,0))</f>
        <v/>
      </c>
      <c r="J942">
        <f>INDEX(products!$A$1:$G$49,MATCH(orders!$D942,products!$A$1:$A$49,0),MATCH(orders!J$1,products!$A$1:$G$1,0))</f>
        <v/>
      </c>
      <c r="K942" s="4">
        <f>INDEX(products!$A$1:$G$49,MATCH(orders!$D942,products!$A$1:$A$49,0),MATCH(orders!K$1,products!$A$1:$G$1,0))</f>
        <v/>
      </c>
      <c r="L942" s="5">
        <f>INDEX(products!$A$1:$G$49,MATCH(orders!$D942,products!$A$1:$A$49,0),MATCH(orders!L$1,products!$A$1:$G$1,0))</f>
        <v/>
      </c>
      <c r="M942" s="5">
        <f>L942*E942</f>
        <v/>
      </c>
      <c r="N942">
        <f>IF(I942="Rob","Robusta",IF(I942="Exc","Excelsa",IF(I942="Ara","Arabica",IF(I942="Lib","Liberica",""))))</f>
        <v/>
      </c>
      <c r="O942">
        <f>IF(J942="M","Medium",IF(J942="L","Light",IF(J942="D","Dark","")))</f>
        <v/>
      </c>
      <c r="P942">
        <f>_xlfn.XLOOKUP(Orders[[#This Row],[Customer ID]],customers!$A$1:$A$1001,customers!$I$1:$I$1001,,0)</f>
        <v/>
      </c>
    </row>
    <row r="943">
      <c r="A943" s="2" t="inlineStr">
        <is>
          <t>O3873</t>
        </is>
      </c>
      <c r="B943" s="3" t="inlineStr">
        <is>
          <t>2022-12-15</t>
        </is>
      </c>
      <c r="C943" s="2" t="inlineStr">
        <is>
          <t>O9567</t>
        </is>
      </c>
      <c r="D943" t="inlineStr">
        <is>
          <t>O7368</t>
        </is>
      </c>
      <c r="E943" s="2" t="n">
        <v>229</v>
      </c>
      <c r="F943" s="2">
        <f>_xlfn.XLOOKUP(C943,customers!$A$1:$A$1001,customers!$B$1:$B$1001,,0)</f>
        <v/>
      </c>
      <c r="G943" s="2">
        <f>IF(_xlfn.XLOOKUP(C943,customers!$A$1:$A$1001,customers!$C$1:$C$1001,,0)=0,"",_xlfn.XLOOKUP(C943,customers!$A$1:$A$1001,customers!$C$1:$C$1001,,0))</f>
        <v/>
      </c>
      <c r="H943" s="2">
        <f>_xlfn.XLOOKUP(C943,customers!$A$1:$A$1001,customers!$G$1:$G$1001,,0)</f>
        <v/>
      </c>
      <c r="I943">
        <f>INDEX(products!$A$1:$G$49,MATCH(orders!$D943,products!$A$1:$A$49,0),MATCH(orders!I$1,products!$A$1:$G$1,0))</f>
        <v/>
      </c>
      <c r="J943">
        <f>INDEX(products!$A$1:$G$49,MATCH(orders!$D943,products!$A$1:$A$49,0),MATCH(orders!J$1,products!$A$1:$G$1,0))</f>
        <v/>
      </c>
      <c r="K943" s="4">
        <f>INDEX(products!$A$1:$G$49,MATCH(orders!$D943,products!$A$1:$A$49,0),MATCH(orders!K$1,products!$A$1:$G$1,0))</f>
        <v/>
      </c>
      <c r="L943" s="5">
        <f>INDEX(products!$A$1:$G$49,MATCH(orders!$D943,products!$A$1:$A$49,0),MATCH(orders!L$1,products!$A$1:$G$1,0))</f>
        <v/>
      </c>
      <c r="M943" s="5">
        <f>L943*E943</f>
        <v/>
      </c>
      <c r="N943">
        <f>IF(I943="Rob","Robusta",IF(I943="Exc","Excelsa",IF(I943="Ara","Arabica",IF(I943="Lib","Liberica",""))))</f>
        <v/>
      </c>
      <c r="O943">
        <f>IF(J943="M","Medium",IF(J943="L","Light",IF(J943="D","Dark","")))</f>
        <v/>
      </c>
      <c r="P943">
        <f>_xlfn.XLOOKUP(Orders[[#This Row],[Customer ID]],customers!$A$1:$A$1001,customers!$I$1:$I$1001,,0)</f>
        <v/>
      </c>
    </row>
    <row r="944">
      <c r="A944" s="2" t="inlineStr">
        <is>
          <t>O8749</t>
        </is>
      </c>
      <c r="B944" s="3" t="inlineStr">
        <is>
          <t>2022-06-28</t>
        </is>
      </c>
      <c r="C944" s="2" t="inlineStr">
        <is>
          <t>O6291</t>
        </is>
      </c>
      <c r="D944" t="inlineStr">
        <is>
          <t>O1134</t>
        </is>
      </c>
      <c r="E944" s="2" t="n">
        <v>430</v>
      </c>
      <c r="F944" s="2">
        <f>_xlfn.XLOOKUP(C944,customers!$A$1:$A$1001,customers!$B$1:$B$1001,,0)</f>
        <v/>
      </c>
      <c r="G944" s="2">
        <f>IF(_xlfn.XLOOKUP(C944,customers!$A$1:$A$1001,customers!$C$1:$C$1001,,0)=0,"",_xlfn.XLOOKUP(C944,customers!$A$1:$A$1001,customers!$C$1:$C$1001,,0))</f>
        <v/>
      </c>
      <c r="H944" s="2">
        <f>_xlfn.XLOOKUP(C944,customers!$A$1:$A$1001,customers!$G$1:$G$1001,,0)</f>
        <v/>
      </c>
      <c r="I944">
        <f>INDEX(products!$A$1:$G$49,MATCH(orders!$D944,products!$A$1:$A$49,0),MATCH(orders!I$1,products!$A$1:$G$1,0))</f>
        <v/>
      </c>
      <c r="J944">
        <f>INDEX(products!$A$1:$G$49,MATCH(orders!$D944,products!$A$1:$A$49,0),MATCH(orders!J$1,products!$A$1:$G$1,0))</f>
        <v/>
      </c>
      <c r="K944" s="4">
        <f>INDEX(products!$A$1:$G$49,MATCH(orders!$D944,products!$A$1:$A$49,0),MATCH(orders!K$1,products!$A$1:$G$1,0))</f>
        <v/>
      </c>
      <c r="L944" s="5">
        <f>INDEX(products!$A$1:$G$49,MATCH(orders!$D944,products!$A$1:$A$49,0),MATCH(orders!L$1,products!$A$1:$G$1,0))</f>
        <v/>
      </c>
      <c r="M944" s="5">
        <f>L944*E944</f>
        <v/>
      </c>
      <c r="N944">
        <f>IF(I944="Rob","Robusta",IF(I944="Exc","Excelsa",IF(I944="Ara","Arabica",IF(I944="Lib","Liberica",""))))</f>
        <v/>
      </c>
      <c r="O944">
        <f>IF(J944="M","Medium",IF(J944="L","Light",IF(J944="D","Dark","")))</f>
        <v/>
      </c>
      <c r="P944">
        <f>_xlfn.XLOOKUP(Orders[[#This Row],[Customer ID]],customers!$A$1:$A$1001,customers!$I$1:$I$1001,,0)</f>
        <v/>
      </c>
    </row>
    <row r="945">
      <c r="A945" s="2" t="inlineStr">
        <is>
          <t>O6636</t>
        </is>
      </c>
      <c r="B945" s="3" t="inlineStr">
        <is>
          <t>2020-10-12</t>
        </is>
      </c>
      <c r="C945" s="2" t="inlineStr">
        <is>
          <t>O8477</t>
        </is>
      </c>
      <c r="D945" t="inlineStr">
        <is>
          <t>O1727</t>
        </is>
      </c>
      <c r="E945" s="2" t="n">
        <v>32</v>
      </c>
      <c r="F945" s="2">
        <f>_xlfn.XLOOKUP(C945,customers!$A$1:$A$1001,customers!$B$1:$B$1001,,0)</f>
        <v/>
      </c>
      <c r="G945" s="2">
        <f>IF(_xlfn.XLOOKUP(C945,customers!$A$1:$A$1001,customers!$C$1:$C$1001,,0)=0,"",_xlfn.XLOOKUP(C945,customers!$A$1:$A$1001,customers!$C$1:$C$1001,,0))</f>
        <v/>
      </c>
      <c r="H945" s="2">
        <f>_xlfn.XLOOKUP(C945,customers!$A$1:$A$1001,customers!$G$1:$G$1001,,0)</f>
        <v/>
      </c>
      <c r="I945">
        <f>INDEX(products!$A$1:$G$49,MATCH(orders!$D945,products!$A$1:$A$49,0),MATCH(orders!I$1,products!$A$1:$G$1,0))</f>
        <v/>
      </c>
      <c r="J945">
        <f>INDEX(products!$A$1:$G$49,MATCH(orders!$D945,products!$A$1:$A$49,0),MATCH(orders!J$1,products!$A$1:$G$1,0))</f>
        <v/>
      </c>
      <c r="K945" s="4">
        <f>INDEX(products!$A$1:$G$49,MATCH(orders!$D945,products!$A$1:$A$49,0),MATCH(orders!K$1,products!$A$1:$G$1,0))</f>
        <v/>
      </c>
      <c r="L945" s="5">
        <f>INDEX(products!$A$1:$G$49,MATCH(orders!$D945,products!$A$1:$A$49,0),MATCH(orders!L$1,products!$A$1:$G$1,0))</f>
        <v/>
      </c>
      <c r="M945" s="5">
        <f>L945*E945</f>
        <v/>
      </c>
      <c r="N945">
        <f>IF(I945="Rob","Robusta",IF(I945="Exc","Excelsa",IF(I945="Ara","Arabica",IF(I945="Lib","Liberica",""))))</f>
        <v/>
      </c>
      <c r="O945">
        <f>IF(J945="M","Medium",IF(J945="L","Light",IF(J945="D","Dark","")))</f>
        <v/>
      </c>
      <c r="P945">
        <f>_xlfn.XLOOKUP(Orders[[#This Row],[Customer ID]],customers!$A$1:$A$1001,customers!$I$1:$I$1001,,0)</f>
        <v/>
      </c>
    </row>
    <row r="946">
      <c r="A946" s="2" t="inlineStr">
        <is>
          <t>O5149</t>
        </is>
      </c>
      <c r="B946" s="3" t="inlineStr">
        <is>
          <t>2023-07-24</t>
        </is>
      </c>
      <c r="C946" s="2" t="inlineStr">
        <is>
          <t>O8018</t>
        </is>
      </c>
      <c r="D946" t="inlineStr">
        <is>
          <t>O9219</t>
        </is>
      </c>
      <c r="E946" s="2" t="n">
        <v>83</v>
      </c>
      <c r="F946" s="2">
        <f>_xlfn.XLOOKUP(C946,customers!$A$1:$A$1001,customers!$B$1:$B$1001,,0)</f>
        <v/>
      </c>
      <c r="G946" s="2">
        <f>IF(_xlfn.XLOOKUP(C946,customers!$A$1:$A$1001,customers!$C$1:$C$1001,,0)=0,"",_xlfn.XLOOKUP(C946,customers!$A$1:$A$1001,customers!$C$1:$C$1001,,0))</f>
        <v/>
      </c>
      <c r="H946" s="2">
        <f>_xlfn.XLOOKUP(C946,customers!$A$1:$A$1001,customers!$G$1:$G$1001,,0)</f>
        <v/>
      </c>
      <c r="I946">
        <f>INDEX(products!$A$1:$G$49,MATCH(orders!$D946,products!$A$1:$A$49,0),MATCH(orders!I$1,products!$A$1:$G$1,0))</f>
        <v/>
      </c>
      <c r="J946">
        <f>INDEX(products!$A$1:$G$49,MATCH(orders!$D946,products!$A$1:$A$49,0),MATCH(orders!J$1,products!$A$1:$G$1,0))</f>
        <v/>
      </c>
      <c r="K946" s="4">
        <f>INDEX(products!$A$1:$G$49,MATCH(orders!$D946,products!$A$1:$A$49,0),MATCH(orders!K$1,products!$A$1:$G$1,0))</f>
        <v/>
      </c>
      <c r="L946" s="5">
        <f>INDEX(products!$A$1:$G$49,MATCH(orders!$D946,products!$A$1:$A$49,0),MATCH(orders!L$1,products!$A$1:$G$1,0))</f>
        <v/>
      </c>
      <c r="M946" s="5">
        <f>L946*E946</f>
        <v/>
      </c>
      <c r="N946">
        <f>IF(I946="Rob","Robusta",IF(I946="Exc","Excelsa",IF(I946="Ara","Arabica",IF(I946="Lib","Liberica",""))))</f>
        <v/>
      </c>
      <c r="O946">
        <f>IF(J946="M","Medium",IF(J946="L","Light",IF(J946="D","Dark","")))</f>
        <v/>
      </c>
      <c r="P946">
        <f>_xlfn.XLOOKUP(Orders[[#This Row],[Customer ID]],customers!$A$1:$A$1001,customers!$I$1:$I$1001,,0)</f>
        <v/>
      </c>
    </row>
    <row r="947">
      <c r="A947" s="2" t="inlineStr">
        <is>
          <t>O6548</t>
        </is>
      </c>
      <c r="B947" s="3" t="inlineStr">
        <is>
          <t>2025-03-07</t>
        </is>
      </c>
      <c r="C947" s="2" t="inlineStr">
        <is>
          <t>O2167</t>
        </is>
      </c>
      <c r="D947" t="inlineStr">
        <is>
          <t>O3215</t>
        </is>
      </c>
      <c r="E947" s="2" t="n">
        <v>223</v>
      </c>
      <c r="F947" s="2">
        <f>_xlfn.XLOOKUP(C947,customers!$A$1:$A$1001,customers!$B$1:$B$1001,,0)</f>
        <v/>
      </c>
      <c r="G947" s="2">
        <f>IF(_xlfn.XLOOKUP(C947,customers!$A$1:$A$1001,customers!$C$1:$C$1001,,0)=0,"",_xlfn.XLOOKUP(C947,customers!$A$1:$A$1001,customers!$C$1:$C$1001,,0))</f>
        <v/>
      </c>
      <c r="H947" s="2">
        <f>_xlfn.XLOOKUP(C947,customers!$A$1:$A$1001,customers!$G$1:$G$1001,,0)</f>
        <v/>
      </c>
      <c r="I947">
        <f>INDEX(products!$A$1:$G$49,MATCH(orders!$D947,products!$A$1:$A$49,0),MATCH(orders!I$1,products!$A$1:$G$1,0))</f>
        <v/>
      </c>
      <c r="J947">
        <f>INDEX(products!$A$1:$G$49,MATCH(orders!$D947,products!$A$1:$A$49,0),MATCH(orders!J$1,products!$A$1:$G$1,0))</f>
        <v/>
      </c>
      <c r="K947" s="4">
        <f>INDEX(products!$A$1:$G$49,MATCH(orders!$D947,products!$A$1:$A$49,0),MATCH(orders!K$1,products!$A$1:$G$1,0))</f>
        <v/>
      </c>
      <c r="L947" s="5">
        <f>INDEX(products!$A$1:$G$49,MATCH(orders!$D947,products!$A$1:$A$49,0),MATCH(orders!L$1,products!$A$1:$G$1,0))</f>
        <v/>
      </c>
      <c r="M947" s="5">
        <f>L947*E947</f>
        <v/>
      </c>
      <c r="N947">
        <f>IF(I947="Rob","Robusta",IF(I947="Exc","Excelsa",IF(I947="Ara","Arabica",IF(I947="Lib","Liberica",""))))</f>
        <v/>
      </c>
      <c r="O947">
        <f>IF(J947="M","Medium",IF(J947="L","Light",IF(J947="D","Dark","")))</f>
        <v/>
      </c>
      <c r="P947">
        <f>_xlfn.XLOOKUP(Orders[[#This Row],[Customer ID]],customers!$A$1:$A$1001,customers!$I$1:$I$1001,,0)</f>
        <v/>
      </c>
    </row>
    <row r="948">
      <c r="A948" s="2" t="inlineStr">
        <is>
          <t>O9186</t>
        </is>
      </c>
      <c r="B948" s="3" t="inlineStr">
        <is>
          <t>2021-12-07</t>
        </is>
      </c>
      <c r="C948" s="2" t="inlineStr">
        <is>
          <t>O7536</t>
        </is>
      </c>
      <c r="D948" t="inlineStr">
        <is>
          <t>O6455</t>
        </is>
      </c>
      <c r="E948" s="2" t="n">
        <v>265</v>
      </c>
      <c r="F948" s="2">
        <f>_xlfn.XLOOKUP(C948,customers!$A$1:$A$1001,customers!$B$1:$B$1001,,0)</f>
        <v/>
      </c>
      <c r="G948" s="2">
        <f>IF(_xlfn.XLOOKUP(C948,customers!$A$1:$A$1001,customers!$C$1:$C$1001,,0)=0,"",_xlfn.XLOOKUP(C948,customers!$A$1:$A$1001,customers!$C$1:$C$1001,,0))</f>
        <v/>
      </c>
      <c r="H948" s="2">
        <f>_xlfn.XLOOKUP(C948,customers!$A$1:$A$1001,customers!$G$1:$G$1001,,0)</f>
        <v/>
      </c>
      <c r="I948">
        <f>INDEX(products!$A$1:$G$49,MATCH(orders!$D948,products!$A$1:$A$49,0),MATCH(orders!I$1,products!$A$1:$G$1,0))</f>
        <v/>
      </c>
      <c r="J948">
        <f>INDEX(products!$A$1:$G$49,MATCH(orders!$D948,products!$A$1:$A$49,0),MATCH(orders!J$1,products!$A$1:$G$1,0))</f>
        <v/>
      </c>
      <c r="K948" s="4">
        <f>INDEX(products!$A$1:$G$49,MATCH(orders!$D948,products!$A$1:$A$49,0),MATCH(orders!K$1,products!$A$1:$G$1,0))</f>
        <v/>
      </c>
      <c r="L948" s="5">
        <f>INDEX(products!$A$1:$G$49,MATCH(orders!$D948,products!$A$1:$A$49,0),MATCH(orders!L$1,products!$A$1:$G$1,0))</f>
        <v/>
      </c>
      <c r="M948" s="5">
        <f>L948*E948</f>
        <v/>
      </c>
      <c r="N948">
        <f>IF(I948="Rob","Robusta",IF(I948="Exc","Excelsa",IF(I948="Ara","Arabica",IF(I948="Lib","Liberica",""))))</f>
        <v/>
      </c>
      <c r="O948">
        <f>IF(J948="M","Medium",IF(J948="L","Light",IF(J948="D","Dark","")))</f>
        <v/>
      </c>
      <c r="P948">
        <f>_xlfn.XLOOKUP(Orders[[#This Row],[Customer ID]],customers!$A$1:$A$1001,customers!$I$1:$I$1001,,0)</f>
        <v/>
      </c>
    </row>
    <row r="949">
      <c r="A949" s="2" t="inlineStr">
        <is>
          <t>O3214</t>
        </is>
      </c>
      <c r="B949" s="3" t="inlineStr">
        <is>
          <t>2021-03-26</t>
        </is>
      </c>
      <c r="C949" s="2" t="inlineStr">
        <is>
          <t>O9084</t>
        </is>
      </c>
      <c r="D949" t="inlineStr">
        <is>
          <t>O1790</t>
        </is>
      </c>
      <c r="E949" s="2" t="n">
        <v>349</v>
      </c>
      <c r="F949" s="2">
        <f>_xlfn.XLOOKUP(C949,customers!$A$1:$A$1001,customers!$B$1:$B$1001,,0)</f>
        <v/>
      </c>
      <c r="G949" s="2">
        <f>IF(_xlfn.XLOOKUP(C949,customers!$A$1:$A$1001,customers!$C$1:$C$1001,,0)=0,"",_xlfn.XLOOKUP(C949,customers!$A$1:$A$1001,customers!$C$1:$C$1001,,0))</f>
        <v/>
      </c>
      <c r="H949" s="2">
        <f>_xlfn.XLOOKUP(C949,customers!$A$1:$A$1001,customers!$G$1:$G$1001,,0)</f>
        <v/>
      </c>
      <c r="I949">
        <f>INDEX(products!$A$1:$G$49,MATCH(orders!$D949,products!$A$1:$A$49,0),MATCH(orders!I$1,products!$A$1:$G$1,0))</f>
        <v/>
      </c>
      <c r="J949">
        <f>INDEX(products!$A$1:$G$49,MATCH(orders!$D949,products!$A$1:$A$49,0),MATCH(orders!J$1,products!$A$1:$G$1,0))</f>
        <v/>
      </c>
      <c r="K949" s="4">
        <f>INDEX(products!$A$1:$G$49,MATCH(orders!$D949,products!$A$1:$A$49,0),MATCH(orders!K$1,products!$A$1:$G$1,0))</f>
        <v/>
      </c>
      <c r="L949" s="5">
        <f>INDEX(products!$A$1:$G$49,MATCH(orders!$D949,products!$A$1:$A$49,0),MATCH(orders!L$1,products!$A$1:$G$1,0))</f>
        <v/>
      </c>
      <c r="M949" s="5">
        <f>L949*E949</f>
        <v/>
      </c>
      <c r="N949">
        <f>IF(I949="Rob","Robusta",IF(I949="Exc","Excelsa",IF(I949="Ara","Arabica",IF(I949="Lib","Liberica",""))))</f>
        <v/>
      </c>
      <c r="O949">
        <f>IF(J949="M","Medium",IF(J949="L","Light",IF(J949="D","Dark","")))</f>
        <v/>
      </c>
      <c r="P949">
        <f>_xlfn.XLOOKUP(Orders[[#This Row],[Customer ID]],customers!$A$1:$A$1001,customers!$I$1:$I$1001,,0)</f>
        <v/>
      </c>
    </row>
    <row r="950">
      <c r="A950" s="2" t="inlineStr">
        <is>
          <t>O5339</t>
        </is>
      </c>
      <c r="B950" s="3" t="inlineStr">
        <is>
          <t>2025-07-30</t>
        </is>
      </c>
      <c r="C950" s="2" t="inlineStr">
        <is>
          <t>O1809</t>
        </is>
      </c>
      <c r="D950" t="inlineStr">
        <is>
          <t>O5001</t>
        </is>
      </c>
      <c r="E950" s="2" t="n">
        <v>280</v>
      </c>
      <c r="F950" s="2">
        <f>_xlfn.XLOOKUP(C950,customers!$A$1:$A$1001,customers!$B$1:$B$1001,,0)</f>
        <v/>
      </c>
      <c r="G950" s="2">
        <f>IF(_xlfn.XLOOKUP(C950,customers!$A$1:$A$1001,customers!$C$1:$C$1001,,0)=0,"",_xlfn.XLOOKUP(C950,customers!$A$1:$A$1001,customers!$C$1:$C$1001,,0))</f>
        <v/>
      </c>
      <c r="H950" s="2">
        <f>_xlfn.XLOOKUP(C950,customers!$A$1:$A$1001,customers!$G$1:$G$1001,,0)</f>
        <v/>
      </c>
      <c r="I950">
        <f>INDEX(products!$A$1:$G$49,MATCH(orders!$D950,products!$A$1:$A$49,0),MATCH(orders!I$1,products!$A$1:$G$1,0))</f>
        <v/>
      </c>
      <c r="J950">
        <f>INDEX(products!$A$1:$G$49,MATCH(orders!$D950,products!$A$1:$A$49,0),MATCH(orders!J$1,products!$A$1:$G$1,0))</f>
        <v/>
      </c>
      <c r="K950" s="4">
        <f>INDEX(products!$A$1:$G$49,MATCH(orders!$D950,products!$A$1:$A$49,0),MATCH(orders!K$1,products!$A$1:$G$1,0))</f>
        <v/>
      </c>
      <c r="L950" s="5">
        <f>INDEX(products!$A$1:$G$49,MATCH(orders!$D950,products!$A$1:$A$49,0),MATCH(orders!L$1,products!$A$1:$G$1,0))</f>
        <v/>
      </c>
      <c r="M950" s="5">
        <f>L950*E950</f>
        <v/>
      </c>
      <c r="N950">
        <f>IF(I950="Rob","Robusta",IF(I950="Exc","Excelsa",IF(I950="Ara","Arabica",IF(I950="Lib","Liberica",""))))</f>
        <v/>
      </c>
      <c r="O950">
        <f>IF(J950="M","Medium",IF(J950="L","Light",IF(J950="D","Dark","")))</f>
        <v/>
      </c>
      <c r="P950">
        <f>_xlfn.XLOOKUP(Orders[[#This Row],[Customer ID]],customers!$A$1:$A$1001,customers!$I$1:$I$1001,,0)</f>
        <v/>
      </c>
    </row>
    <row r="951">
      <c r="A951" s="2" t="inlineStr">
        <is>
          <t>O9993</t>
        </is>
      </c>
      <c r="B951" s="3" t="inlineStr">
        <is>
          <t>2023-03-03</t>
        </is>
      </c>
      <c r="C951" s="2" t="inlineStr">
        <is>
          <t>O5344</t>
        </is>
      </c>
      <c r="D951" t="inlineStr">
        <is>
          <t>O7058</t>
        </is>
      </c>
      <c r="E951" s="2" t="n">
        <v>145</v>
      </c>
      <c r="F951" s="2">
        <f>_xlfn.XLOOKUP(C951,customers!$A$1:$A$1001,customers!$B$1:$B$1001,,0)</f>
        <v/>
      </c>
      <c r="G951" s="2">
        <f>IF(_xlfn.XLOOKUP(C951,customers!$A$1:$A$1001,customers!$C$1:$C$1001,,0)=0,"",_xlfn.XLOOKUP(C951,customers!$A$1:$A$1001,customers!$C$1:$C$1001,,0))</f>
        <v/>
      </c>
      <c r="H951" s="2">
        <f>_xlfn.XLOOKUP(C951,customers!$A$1:$A$1001,customers!$G$1:$G$1001,,0)</f>
        <v/>
      </c>
      <c r="I951">
        <f>INDEX(products!$A$1:$G$49,MATCH(orders!$D951,products!$A$1:$A$49,0),MATCH(orders!I$1,products!$A$1:$G$1,0))</f>
        <v/>
      </c>
      <c r="J951">
        <f>INDEX(products!$A$1:$G$49,MATCH(orders!$D951,products!$A$1:$A$49,0),MATCH(orders!J$1,products!$A$1:$G$1,0))</f>
        <v/>
      </c>
      <c r="K951" s="4">
        <f>INDEX(products!$A$1:$G$49,MATCH(orders!$D951,products!$A$1:$A$49,0),MATCH(orders!K$1,products!$A$1:$G$1,0))</f>
        <v/>
      </c>
      <c r="L951" s="5">
        <f>INDEX(products!$A$1:$G$49,MATCH(orders!$D951,products!$A$1:$A$49,0),MATCH(orders!L$1,products!$A$1:$G$1,0))</f>
        <v/>
      </c>
      <c r="M951" s="5">
        <f>L951*E951</f>
        <v/>
      </c>
      <c r="N951">
        <f>IF(I951="Rob","Robusta",IF(I951="Exc","Excelsa",IF(I951="Ara","Arabica",IF(I951="Lib","Liberica",""))))</f>
        <v/>
      </c>
      <c r="O951">
        <f>IF(J951="M","Medium",IF(J951="L","Light",IF(J951="D","Dark","")))</f>
        <v/>
      </c>
      <c r="P951">
        <f>_xlfn.XLOOKUP(Orders[[#This Row],[Customer ID]],customers!$A$1:$A$1001,customers!$I$1:$I$1001,,0)</f>
        <v/>
      </c>
    </row>
    <row r="952">
      <c r="A952" s="2" t="inlineStr">
        <is>
          <t>O9238</t>
        </is>
      </c>
      <c r="B952" s="3" t="inlineStr">
        <is>
          <t>2024-05-21</t>
        </is>
      </c>
      <c r="C952" s="2" t="inlineStr">
        <is>
          <t>O8002</t>
        </is>
      </c>
      <c r="D952" t="inlineStr">
        <is>
          <t>O7583</t>
        </is>
      </c>
      <c r="E952" s="2" t="n">
        <v>431</v>
      </c>
      <c r="F952" s="2">
        <f>_xlfn.XLOOKUP(C952,customers!$A$1:$A$1001,customers!$B$1:$B$1001,,0)</f>
        <v/>
      </c>
      <c r="G952" s="2">
        <f>IF(_xlfn.XLOOKUP(C952,customers!$A$1:$A$1001,customers!$C$1:$C$1001,,0)=0,"",_xlfn.XLOOKUP(C952,customers!$A$1:$A$1001,customers!$C$1:$C$1001,,0))</f>
        <v/>
      </c>
      <c r="H952" s="2">
        <f>_xlfn.XLOOKUP(C952,customers!$A$1:$A$1001,customers!$G$1:$G$1001,,0)</f>
        <v/>
      </c>
      <c r="I952">
        <f>INDEX(products!$A$1:$G$49,MATCH(orders!$D952,products!$A$1:$A$49,0),MATCH(orders!I$1,products!$A$1:$G$1,0))</f>
        <v/>
      </c>
      <c r="J952">
        <f>INDEX(products!$A$1:$G$49,MATCH(orders!$D952,products!$A$1:$A$49,0),MATCH(orders!J$1,products!$A$1:$G$1,0))</f>
        <v/>
      </c>
      <c r="K952" s="4">
        <f>INDEX(products!$A$1:$G$49,MATCH(orders!$D952,products!$A$1:$A$49,0),MATCH(orders!K$1,products!$A$1:$G$1,0))</f>
        <v/>
      </c>
      <c r="L952" s="5">
        <f>INDEX(products!$A$1:$G$49,MATCH(orders!$D952,products!$A$1:$A$49,0),MATCH(orders!L$1,products!$A$1:$G$1,0))</f>
        <v/>
      </c>
      <c r="M952" s="5">
        <f>L952*E952</f>
        <v/>
      </c>
      <c r="N952">
        <f>IF(I952="Rob","Robusta",IF(I952="Exc","Excelsa",IF(I952="Ara","Arabica",IF(I952="Lib","Liberica",""))))</f>
        <v/>
      </c>
      <c r="O952">
        <f>IF(J952="M","Medium",IF(J952="L","Light",IF(J952="D","Dark","")))</f>
        <v/>
      </c>
      <c r="P952">
        <f>_xlfn.XLOOKUP(Orders[[#This Row],[Customer ID]],customers!$A$1:$A$1001,customers!$I$1:$I$1001,,0)</f>
        <v/>
      </c>
    </row>
    <row r="953">
      <c r="A953" s="2" t="inlineStr">
        <is>
          <t>O5628</t>
        </is>
      </c>
      <c r="B953" s="3" t="inlineStr">
        <is>
          <t>2021-08-30</t>
        </is>
      </c>
      <c r="C953" s="2" t="inlineStr">
        <is>
          <t>O1228</t>
        </is>
      </c>
      <c r="D953" t="inlineStr">
        <is>
          <t>O7819</t>
        </is>
      </c>
      <c r="E953" s="2" t="n">
        <v>224</v>
      </c>
      <c r="F953" s="2">
        <f>_xlfn.XLOOKUP(C953,customers!$A$1:$A$1001,customers!$B$1:$B$1001,,0)</f>
        <v/>
      </c>
      <c r="G953" s="2">
        <f>IF(_xlfn.XLOOKUP(C953,customers!$A$1:$A$1001,customers!$C$1:$C$1001,,0)=0,"",_xlfn.XLOOKUP(C953,customers!$A$1:$A$1001,customers!$C$1:$C$1001,,0))</f>
        <v/>
      </c>
      <c r="H953" s="2">
        <f>_xlfn.XLOOKUP(C953,customers!$A$1:$A$1001,customers!$G$1:$G$1001,,0)</f>
        <v/>
      </c>
      <c r="I953">
        <f>INDEX(products!$A$1:$G$49,MATCH(orders!$D953,products!$A$1:$A$49,0),MATCH(orders!I$1,products!$A$1:$G$1,0))</f>
        <v/>
      </c>
      <c r="J953">
        <f>INDEX(products!$A$1:$G$49,MATCH(orders!$D953,products!$A$1:$A$49,0),MATCH(orders!J$1,products!$A$1:$G$1,0))</f>
        <v/>
      </c>
      <c r="K953" s="4">
        <f>INDEX(products!$A$1:$G$49,MATCH(orders!$D953,products!$A$1:$A$49,0),MATCH(orders!K$1,products!$A$1:$G$1,0))</f>
        <v/>
      </c>
      <c r="L953" s="5">
        <f>INDEX(products!$A$1:$G$49,MATCH(orders!$D953,products!$A$1:$A$49,0),MATCH(orders!L$1,products!$A$1:$G$1,0))</f>
        <v/>
      </c>
      <c r="M953" s="5">
        <f>L953*E953</f>
        <v/>
      </c>
      <c r="N953">
        <f>IF(I953="Rob","Robusta",IF(I953="Exc","Excelsa",IF(I953="Ara","Arabica",IF(I953="Lib","Liberica",""))))</f>
        <v/>
      </c>
      <c r="O953">
        <f>IF(J953="M","Medium",IF(J953="L","Light",IF(J953="D","Dark","")))</f>
        <v/>
      </c>
      <c r="P953">
        <f>_xlfn.XLOOKUP(Orders[[#This Row],[Customer ID]],customers!$A$1:$A$1001,customers!$I$1:$I$1001,,0)</f>
        <v/>
      </c>
    </row>
    <row r="954">
      <c r="A954" s="2" t="inlineStr">
        <is>
          <t>O4665</t>
        </is>
      </c>
      <c r="B954" s="3" t="inlineStr">
        <is>
          <t>2021-04-25</t>
        </is>
      </c>
      <c r="C954" s="2" t="inlineStr">
        <is>
          <t>O3484</t>
        </is>
      </c>
      <c r="D954" t="inlineStr">
        <is>
          <t>O3870</t>
        </is>
      </c>
      <c r="E954" s="2" t="n">
        <v>14</v>
      </c>
      <c r="F954" s="2">
        <f>_xlfn.XLOOKUP(C954,customers!$A$1:$A$1001,customers!$B$1:$B$1001,,0)</f>
        <v/>
      </c>
      <c r="G954" s="2">
        <f>IF(_xlfn.XLOOKUP(C954,customers!$A$1:$A$1001,customers!$C$1:$C$1001,,0)=0,"",_xlfn.XLOOKUP(C954,customers!$A$1:$A$1001,customers!$C$1:$C$1001,,0))</f>
        <v/>
      </c>
      <c r="H954" s="2">
        <f>_xlfn.XLOOKUP(C954,customers!$A$1:$A$1001,customers!$G$1:$G$1001,,0)</f>
        <v/>
      </c>
      <c r="I954">
        <f>INDEX(products!$A$1:$G$49,MATCH(orders!$D954,products!$A$1:$A$49,0),MATCH(orders!I$1,products!$A$1:$G$1,0))</f>
        <v/>
      </c>
      <c r="J954">
        <f>INDEX(products!$A$1:$G$49,MATCH(orders!$D954,products!$A$1:$A$49,0),MATCH(orders!J$1,products!$A$1:$G$1,0))</f>
        <v/>
      </c>
      <c r="K954" s="4">
        <f>INDEX(products!$A$1:$G$49,MATCH(orders!$D954,products!$A$1:$A$49,0),MATCH(orders!K$1,products!$A$1:$G$1,0))</f>
        <v/>
      </c>
      <c r="L954" s="5">
        <f>INDEX(products!$A$1:$G$49,MATCH(orders!$D954,products!$A$1:$A$49,0),MATCH(orders!L$1,products!$A$1:$G$1,0))</f>
        <v/>
      </c>
      <c r="M954" s="5">
        <f>L954*E954</f>
        <v/>
      </c>
      <c r="N954">
        <f>IF(I954="Rob","Robusta",IF(I954="Exc","Excelsa",IF(I954="Ara","Arabica",IF(I954="Lib","Liberica",""))))</f>
        <v/>
      </c>
      <c r="O954">
        <f>IF(J954="M","Medium",IF(J954="L","Light",IF(J954="D","Dark","")))</f>
        <v/>
      </c>
      <c r="P954">
        <f>_xlfn.XLOOKUP(Orders[[#This Row],[Customer ID]],customers!$A$1:$A$1001,customers!$I$1:$I$1001,,0)</f>
        <v/>
      </c>
    </row>
    <row r="955">
      <c r="A955" s="2" t="inlineStr">
        <is>
          <t>O1643</t>
        </is>
      </c>
      <c r="B955" s="3" t="inlineStr">
        <is>
          <t>2021-10-02</t>
        </is>
      </c>
      <c r="C955" s="2" t="inlineStr">
        <is>
          <t>O8113</t>
        </is>
      </c>
      <c r="D955" t="inlineStr">
        <is>
          <t>O1892</t>
        </is>
      </c>
      <c r="E955" s="2" t="n">
        <v>13</v>
      </c>
      <c r="F955" s="2">
        <f>_xlfn.XLOOKUP(C955,customers!$A$1:$A$1001,customers!$B$1:$B$1001,,0)</f>
        <v/>
      </c>
      <c r="G955" s="2">
        <f>IF(_xlfn.XLOOKUP(C955,customers!$A$1:$A$1001,customers!$C$1:$C$1001,,0)=0,"",_xlfn.XLOOKUP(C955,customers!$A$1:$A$1001,customers!$C$1:$C$1001,,0))</f>
        <v/>
      </c>
      <c r="H955" s="2">
        <f>_xlfn.XLOOKUP(C955,customers!$A$1:$A$1001,customers!$G$1:$G$1001,,0)</f>
        <v/>
      </c>
      <c r="I955">
        <f>INDEX(products!$A$1:$G$49,MATCH(orders!$D955,products!$A$1:$A$49,0),MATCH(orders!I$1,products!$A$1:$G$1,0))</f>
        <v/>
      </c>
      <c r="J955">
        <f>INDEX(products!$A$1:$G$49,MATCH(orders!$D955,products!$A$1:$A$49,0),MATCH(orders!J$1,products!$A$1:$G$1,0))</f>
        <v/>
      </c>
      <c r="K955" s="4">
        <f>INDEX(products!$A$1:$G$49,MATCH(orders!$D955,products!$A$1:$A$49,0),MATCH(orders!K$1,products!$A$1:$G$1,0))</f>
        <v/>
      </c>
      <c r="L955" s="5">
        <f>INDEX(products!$A$1:$G$49,MATCH(orders!$D955,products!$A$1:$A$49,0),MATCH(orders!L$1,products!$A$1:$G$1,0))</f>
        <v/>
      </c>
      <c r="M955" s="5">
        <f>L955*E955</f>
        <v/>
      </c>
      <c r="N955">
        <f>IF(I955="Rob","Robusta",IF(I955="Exc","Excelsa",IF(I955="Ara","Arabica",IF(I955="Lib","Liberica",""))))</f>
        <v/>
      </c>
      <c r="O955">
        <f>IF(J955="M","Medium",IF(J955="L","Light",IF(J955="D","Dark","")))</f>
        <v/>
      </c>
      <c r="P955">
        <f>_xlfn.XLOOKUP(Orders[[#This Row],[Customer ID]],customers!$A$1:$A$1001,customers!$I$1:$I$1001,,0)</f>
        <v/>
      </c>
    </row>
    <row r="956">
      <c r="A956" s="2" t="inlineStr">
        <is>
          <t>O2659</t>
        </is>
      </c>
      <c r="B956" s="3" t="inlineStr">
        <is>
          <t>2024-12-09</t>
        </is>
      </c>
      <c r="C956" s="2" t="inlineStr">
        <is>
          <t>O5956</t>
        </is>
      </c>
      <c r="D956" t="inlineStr">
        <is>
          <t>O8263</t>
        </is>
      </c>
      <c r="E956" s="2" t="n">
        <v>256</v>
      </c>
      <c r="F956" s="2">
        <f>_xlfn.XLOOKUP(C956,customers!$A$1:$A$1001,customers!$B$1:$B$1001,,0)</f>
        <v/>
      </c>
      <c r="G956" s="2">
        <f>IF(_xlfn.XLOOKUP(C956,customers!$A$1:$A$1001,customers!$C$1:$C$1001,,0)=0,"",_xlfn.XLOOKUP(C956,customers!$A$1:$A$1001,customers!$C$1:$C$1001,,0))</f>
        <v/>
      </c>
      <c r="H956" s="2">
        <f>_xlfn.XLOOKUP(C956,customers!$A$1:$A$1001,customers!$G$1:$G$1001,,0)</f>
        <v/>
      </c>
      <c r="I956">
        <f>INDEX(products!$A$1:$G$49,MATCH(orders!$D956,products!$A$1:$A$49,0),MATCH(orders!I$1,products!$A$1:$G$1,0))</f>
        <v/>
      </c>
      <c r="J956">
        <f>INDEX(products!$A$1:$G$49,MATCH(orders!$D956,products!$A$1:$A$49,0),MATCH(orders!J$1,products!$A$1:$G$1,0))</f>
        <v/>
      </c>
      <c r="K956" s="4">
        <f>INDEX(products!$A$1:$G$49,MATCH(orders!$D956,products!$A$1:$A$49,0),MATCH(orders!K$1,products!$A$1:$G$1,0))</f>
        <v/>
      </c>
      <c r="L956" s="5">
        <f>INDEX(products!$A$1:$G$49,MATCH(orders!$D956,products!$A$1:$A$49,0),MATCH(orders!L$1,products!$A$1:$G$1,0))</f>
        <v/>
      </c>
      <c r="M956" s="5">
        <f>L956*E956</f>
        <v/>
      </c>
      <c r="N956">
        <f>IF(I956="Rob","Robusta",IF(I956="Exc","Excelsa",IF(I956="Ara","Arabica",IF(I956="Lib","Liberica",""))))</f>
        <v/>
      </c>
      <c r="O956">
        <f>IF(J956="M","Medium",IF(J956="L","Light",IF(J956="D","Dark","")))</f>
        <v/>
      </c>
      <c r="P956">
        <f>_xlfn.XLOOKUP(Orders[[#This Row],[Customer ID]],customers!$A$1:$A$1001,customers!$I$1:$I$1001,,0)</f>
        <v/>
      </c>
    </row>
    <row r="957">
      <c r="A957" s="2" t="inlineStr">
        <is>
          <t>O4603</t>
        </is>
      </c>
      <c r="B957" s="3" t="inlineStr">
        <is>
          <t>2023-05-11</t>
        </is>
      </c>
      <c r="C957" s="2" t="inlineStr">
        <is>
          <t>O3662</t>
        </is>
      </c>
      <c r="D957" t="inlineStr">
        <is>
          <t>O9246</t>
        </is>
      </c>
      <c r="E957" s="2" t="n">
        <v>48</v>
      </c>
      <c r="F957" s="2">
        <f>_xlfn.XLOOKUP(C957,customers!$A$1:$A$1001,customers!$B$1:$B$1001,,0)</f>
        <v/>
      </c>
      <c r="G957" s="2">
        <f>IF(_xlfn.XLOOKUP(C957,customers!$A$1:$A$1001,customers!$C$1:$C$1001,,0)=0,"",_xlfn.XLOOKUP(C957,customers!$A$1:$A$1001,customers!$C$1:$C$1001,,0))</f>
        <v/>
      </c>
      <c r="H957" s="2">
        <f>_xlfn.XLOOKUP(C957,customers!$A$1:$A$1001,customers!$G$1:$G$1001,,0)</f>
        <v/>
      </c>
      <c r="I957">
        <f>INDEX(products!$A$1:$G$49,MATCH(orders!$D957,products!$A$1:$A$49,0),MATCH(orders!I$1,products!$A$1:$G$1,0))</f>
        <v/>
      </c>
      <c r="J957">
        <f>INDEX(products!$A$1:$G$49,MATCH(orders!$D957,products!$A$1:$A$49,0),MATCH(orders!J$1,products!$A$1:$G$1,0))</f>
        <v/>
      </c>
      <c r="K957" s="4">
        <f>INDEX(products!$A$1:$G$49,MATCH(orders!$D957,products!$A$1:$A$49,0),MATCH(orders!K$1,products!$A$1:$G$1,0))</f>
        <v/>
      </c>
      <c r="L957" s="5">
        <f>INDEX(products!$A$1:$G$49,MATCH(orders!$D957,products!$A$1:$A$49,0),MATCH(orders!L$1,products!$A$1:$G$1,0))</f>
        <v/>
      </c>
      <c r="M957" s="5">
        <f>L957*E957</f>
        <v/>
      </c>
      <c r="N957">
        <f>IF(I957="Rob","Robusta",IF(I957="Exc","Excelsa",IF(I957="Ara","Arabica",IF(I957="Lib","Liberica",""))))</f>
        <v/>
      </c>
      <c r="O957">
        <f>IF(J957="M","Medium",IF(J957="L","Light",IF(J957="D","Dark","")))</f>
        <v/>
      </c>
      <c r="P957">
        <f>_xlfn.XLOOKUP(Orders[[#This Row],[Customer ID]],customers!$A$1:$A$1001,customers!$I$1:$I$1001,,0)</f>
        <v/>
      </c>
    </row>
    <row r="958">
      <c r="A958" s="2" t="inlineStr">
        <is>
          <t>O8579</t>
        </is>
      </c>
      <c r="B958" s="3" t="inlineStr">
        <is>
          <t>2022-05-20</t>
        </is>
      </c>
      <c r="C958" s="2" t="inlineStr">
        <is>
          <t>O8086</t>
        </is>
      </c>
      <c r="D958" t="inlineStr">
        <is>
          <t>O3676</t>
        </is>
      </c>
      <c r="E958" s="2" t="n">
        <v>45</v>
      </c>
      <c r="F958" s="2">
        <f>_xlfn.XLOOKUP(C958,customers!$A$1:$A$1001,customers!$B$1:$B$1001,,0)</f>
        <v/>
      </c>
      <c r="G958" s="2">
        <f>IF(_xlfn.XLOOKUP(C958,customers!$A$1:$A$1001,customers!$C$1:$C$1001,,0)=0,"",_xlfn.XLOOKUP(C958,customers!$A$1:$A$1001,customers!$C$1:$C$1001,,0))</f>
        <v/>
      </c>
      <c r="H958" s="2">
        <f>_xlfn.XLOOKUP(C958,customers!$A$1:$A$1001,customers!$G$1:$G$1001,,0)</f>
        <v/>
      </c>
      <c r="I958">
        <f>INDEX(products!$A$1:$G$49,MATCH(orders!$D958,products!$A$1:$A$49,0),MATCH(orders!I$1,products!$A$1:$G$1,0))</f>
        <v/>
      </c>
      <c r="J958">
        <f>INDEX(products!$A$1:$G$49,MATCH(orders!$D958,products!$A$1:$A$49,0),MATCH(orders!J$1,products!$A$1:$G$1,0))</f>
        <v/>
      </c>
      <c r="K958" s="4">
        <f>INDEX(products!$A$1:$G$49,MATCH(orders!$D958,products!$A$1:$A$49,0),MATCH(orders!K$1,products!$A$1:$G$1,0))</f>
        <v/>
      </c>
      <c r="L958" s="5">
        <f>INDEX(products!$A$1:$G$49,MATCH(orders!$D958,products!$A$1:$A$49,0),MATCH(orders!L$1,products!$A$1:$G$1,0))</f>
        <v/>
      </c>
      <c r="M958" s="5">
        <f>L958*E958</f>
        <v/>
      </c>
      <c r="N958">
        <f>IF(I958="Rob","Robusta",IF(I958="Exc","Excelsa",IF(I958="Ara","Arabica",IF(I958="Lib","Liberica",""))))</f>
        <v/>
      </c>
      <c r="O958">
        <f>IF(J958="M","Medium",IF(J958="L","Light",IF(J958="D","Dark","")))</f>
        <v/>
      </c>
      <c r="P958">
        <f>_xlfn.XLOOKUP(Orders[[#This Row],[Customer ID]],customers!$A$1:$A$1001,customers!$I$1:$I$1001,,0)</f>
        <v/>
      </c>
    </row>
    <row r="959">
      <c r="A959" s="2" t="inlineStr">
        <is>
          <t>O4788</t>
        </is>
      </c>
      <c r="B959" s="3" t="inlineStr">
        <is>
          <t>2022-12-09</t>
        </is>
      </c>
      <c r="C959" s="2" t="inlineStr">
        <is>
          <t>O7430</t>
        </is>
      </c>
      <c r="D959" t="inlineStr">
        <is>
          <t>O8589</t>
        </is>
      </c>
      <c r="E959" s="2" t="n">
        <v>385</v>
      </c>
      <c r="F959" s="2">
        <f>_xlfn.XLOOKUP(C959,customers!$A$1:$A$1001,customers!$B$1:$B$1001,,0)</f>
        <v/>
      </c>
      <c r="G959" s="2">
        <f>IF(_xlfn.XLOOKUP(C959,customers!$A$1:$A$1001,customers!$C$1:$C$1001,,0)=0,"",_xlfn.XLOOKUP(C959,customers!$A$1:$A$1001,customers!$C$1:$C$1001,,0))</f>
        <v/>
      </c>
      <c r="H959" s="2">
        <f>_xlfn.XLOOKUP(C959,customers!$A$1:$A$1001,customers!$G$1:$G$1001,,0)</f>
        <v/>
      </c>
      <c r="I959">
        <f>INDEX(products!$A$1:$G$49,MATCH(orders!$D959,products!$A$1:$A$49,0),MATCH(orders!I$1,products!$A$1:$G$1,0))</f>
        <v/>
      </c>
      <c r="J959">
        <f>INDEX(products!$A$1:$G$49,MATCH(orders!$D959,products!$A$1:$A$49,0),MATCH(orders!J$1,products!$A$1:$G$1,0))</f>
        <v/>
      </c>
      <c r="K959" s="4">
        <f>INDEX(products!$A$1:$G$49,MATCH(orders!$D959,products!$A$1:$A$49,0),MATCH(orders!K$1,products!$A$1:$G$1,0))</f>
        <v/>
      </c>
      <c r="L959" s="5">
        <f>INDEX(products!$A$1:$G$49,MATCH(orders!$D959,products!$A$1:$A$49,0),MATCH(orders!L$1,products!$A$1:$G$1,0))</f>
        <v/>
      </c>
      <c r="M959" s="5">
        <f>L959*E959</f>
        <v/>
      </c>
      <c r="N959">
        <f>IF(I959="Rob","Robusta",IF(I959="Exc","Excelsa",IF(I959="Ara","Arabica",IF(I959="Lib","Liberica",""))))</f>
        <v/>
      </c>
      <c r="O959">
        <f>IF(J959="M","Medium",IF(J959="L","Light",IF(J959="D","Dark","")))</f>
        <v/>
      </c>
      <c r="P959">
        <f>_xlfn.XLOOKUP(Orders[[#This Row],[Customer ID]],customers!$A$1:$A$1001,customers!$I$1:$I$1001,,0)</f>
        <v/>
      </c>
    </row>
    <row r="960">
      <c r="A960" s="2" t="inlineStr">
        <is>
          <t>O3347</t>
        </is>
      </c>
      <c r="B960" s="3" t="inlineStr">
        <is>
          <t>2022-09-23</t>
        </is>
      </c>
      <c r="C960" s="2" t="inlineStr">
        <is>
          <t>O2200</t>
        </is>
      </c>
      <c r="D960" t="inlineStr">
        <is>
          <t>O6609</t>
        </is>
      </c>
      <c r="E960" s="2" t="n">
        <v>196</v>
      </c>
      <c r="F960" s="2">
        <f>_xlfn.XLOOKUP(C960,customers!$A$1:$A$1001,customers!$B$1:$B$1001,,0)</f>
        <v/>
      </c>
      <c r="G960" s="2">
        <f>IF(_xlfn.XLOOKUP(C960,customers!$A$1:$A$1001,customers!$C$1:$C$1001,,0)=0,"",_xlfn.XLOOKUP(C960,customers!$A$1:$A$1001,customers!$C$1:$C$1001,,0))</f>
        <v/>
      </c>
      <c r="H960" s="2">
        <f>_xlfn.XLOOKUP(C960,customers!$A$1:$A$1001,customers!$G$1:$G$1001,,0)</f>
        <v/>
      </c>
      <c r="I960">
        <f>INDEX(products!$A$1:$G$49,MATCH(orders!$D960,products!$A$1:$A$49,0),MATCH(orders!I$1,products!$A$1:$G$1,0))</f>
        <v/>
      </c>
      <c r="J960">
        <f>INDEX(products!$A$1:$G$49,MATCH(orders!$D960,products!$A$1:$A$49,0),MATCH(orders!J$1,products!$A$1:$G$1,0))</f>
        <v/>
      </c>
      <c r="K960" s="4">
        <f>INDEX(products!$A$1:$G$49,MATCH(orders!$D960,products!$A$1:$A$49,0),MATCH(orders!K$1,products!$A$1:$G$1,0))</f>
        <v/>
      </c>
      <c r="L960" s="5">
        <f>INDEX(products!$A$1:$G$49,MATCH(orders!$D960,products!$A$1:$A$49,0),MATCH(orders!L$1,products!$A$1:$G$1,0))</f>
        <v/>
      </c>
      <c r="M960" s="5">
        <f>L960*E960</f>
        <v/>
      </c>
      <c r="N960">
        <f>IF(I960="Rob","Robusta",IF(I960="Exc","Excelsa",IF(I960="Ara","Arabica",IF(I960="Lib","Liberica",""))))</f>
        <v/>
      </c>
      <c r="O960">
        <f>IF(J960="M","Medium",IF(J960="L","Light",IF(J960="D","Dark","")))</f>
        <v/>
      </c>
      <c r="P960">
        <f>_xlfn.XLOOKUP(Orders[[#This Row],[Customer ID]],customers!$A$1:$A$1001,customers!$I$1:$I$1001,,0)</f>
        <v/>
      </c>
    </row>
    <row r="961">
      <c r="A961" s="2" t="inlineStr">
        <is>
          <t>O8215</t>
        </is>
      </c>
      <c r="B961" s="3" t="inlineStr">
        <is>
          <t>2021-08-17</t>
        </is>
      </c>
      <c r="C961" s="2" t="inlineStr">
        <is>
          <t>O5375</t>
        </is>
      </c>
      <c r="D961" t="inlineStr">
        <is>
          <t>O4488</t>
        </is>
      </c>
      <c r="E961" s="2" t="n">
        <v>248</v>
      </c>
      <c r="F961" s="2">
        <f>_xlfn.XLOOKUP(C961,customers!$A$1:$A$1001,customers!$B$1:$B$1001,,0)</f>
        <v/>
      </c>
      <c r="G961" s="2">
        <f>IF(_xlfn.XLOOKUP(C961,customers!$A$1:$A$1001,customers!$C$1:$C$1001,,0)=0,"",_xlfn.XLOOKUP(C961,customers!$A$1:$A$1001,customers!$C$1:$C$1001,,0))</f>
        <v/>
      </c>
      <c r="H961" s="2">
        <f>_xlfn.XLOOKUP(C961,customers!$A$1:$A$1001,customers!$G$1:$G$1001,,0)</f>
        <v/>
      </c>
      <c r="I961">
        <f>INDEX(products!$A$1:$G$49,MATCH(orders!$D961,products!$A$1:$A$49,0),MATCH(orders!I$1,products!$A$1:$G$1,0))</f>
        <v/>
      </c>
      <c r="J961">
        <f>INDEX(products!$A$1:$G$49,MATCH(orders!$D961,products!$A$1:$A$49,0),MATCH(orders!J$1,products!$A$1:$G$1,0))</f>
        <v/>
      </c>
      <c r="K961" s="4">
        <f>INDEX(products!$A$1:$G$49,MATCH(orders!$D961,products!$A$1:$A$49,0),MATCH(orders!K$1,products!$A$1:$G$1,0))</f>
        <v/>
      </c>
      <c r="L961" s="5">
        <f>INDEX(products!$A$1:$G$49,MATCH(orders!$D961,products!$A$1:$A$49,0),MATCH(orders!L$1,products!$A$1:$G$1,0))</f>
        <v/>
      </c>
      <c r="M961" s="5">
        <f>L961*E961</f>
        <v/>
      </c>
      <c r="N961">
        <f>IF(I961="Rob","Robusta",IF(I961="Exc","Excelsa",IF(I961="Ara","Arabica",IF(I961="Lib","Liberica",""))))</f>
        <v/>
      </c>
      <c r="O961">
        <f>IF(J961="M","Medium",IF(J961="L","Light",IF(J961="D","Dark","")))</f>
        <v/>
      </c>
      <c r="P961">
        <f>_xlfn.XLOOKUP(Orders[[#This Row],[Customer ID]],customers!$A$1:$A$1001,customers!$I$1:$I$1001,,0)</f>
        <v/>
      </c>
    </row>
    <row r="962">
      <c r="A962" s="2" t="inlineStr">
        <is>
          <t>O1259</t>
        </is>
      </c>
      <c r="B962" s="3" t="inlineStr">
        <is>
          <t>2021-06-03</t>
        </is>
      </c>
      <c r="C962" s="2" t="inlineStr">
        <is>
          <t>O6331</t>
        </is>
      </c>
      <c r="D962" t="inlineStr">
        <is>
          <t>O5230</t>
        </is>
      </c>
      <c r="E962" s="2" t="n">
        <v>142</v>
      </c>
      <c r="F962" s="2">
        <f>_xlfn.XLOOKUP(C962,customers!$A$1:$A$1001,customers!$B$1:$B$1001,,0)</f>
        <v/>
      </c>
      <c r="G962" s="2">
        <f>IF(_xlfn.XLOOKUP(C962,customers!$A$1:$A$1001,customers!$C$1:$C$1001,,0)=0,"",_xlfn.XLOOKUP(C962,customers!$A$1:$A$1001,customers!$C$1:$C$1001,,0))</f>
        <v/>
      </c>
      <c r="H962" s="2">
        <f>_xlfn.XLOOKUP(C962,customers!$A$1:$A$1001,customers!$G$1:$G$1001,,0)</f>
        <v/>
      </c>
      <c r="I962">
        <f>INDEX(products!$A$1:$G$49,MATCH(orders!$D962,products!$A$1:$A$49,0),MATCH(orders!I$1,products!$A$1:$G$1,0))</f>
        <v/>
      </c>
      <c r="J962">
        <f>INDEX(products!$A$1:$G$49,MATCH(orders!$D962,products!$A$1:$A$49,0),MATCH(orders!J$1,products!$A$1:$G$1,0))</f>
        <v/>
      </c>
      <c r="K962" s="4">
        <f>INDEX(products!$A$1:$G$49,MATCH(orders!$D962,products!$A$1:$A$49,0),MATCH(orders!K$1,products!$A$1:$G$1,0))</f>
        <v/>
      </c>
      <c r="L962" s="5">
        <f>INDEX(products!$A$1:$G$49,MATCH(orders!$D962,products!$A$1:$A$49,0),MATCH(orders!L$1,products!$A$1:$G$1,0))</f>
        <v/>
      </c>
      <c r="M962" s="5">
        <f>L962*E962</f>
        <v/>
      </c>
      <c r="N962">
        <f>IF(I962="Rob","Robusta",IF(I962="Exc","Excelsa",IF(I962="Ara","Arabica",IF(I962="Lib","Liberica",""))))</f>
        <v/>
      </c>
      <c r="O962">
        <f>IF(J962="M","Medium",IF(J962="L","Light",IF(J962="D","Dark","")))</f>
        <v/>
      </c>
      <c r="P962">
        <f>_xlfn.XLOOKUP(Orders[[#This Row],[Customer ID]],customers!$A$1:$A$1001,customers!$I$1:$I$1001,,0)</f>
        <v/>
      </c>
    </row>
    <row r="963">
      <c r="A963" s="2" t="inlineStr">
        <is>
          <t>O2595</t>
        </is>
      </c>
      <c r="B963" s="3" t="inlineStr">
        <is>
          <t>2021-03-17</t>
        </is>
      </c>
      <c r="C963" s="2" t="inlineStr">
        <is>
          <t>O3173</t>
        </is>
      </c>
      <c r="D963" t="inlineStr">
        <is>
          <t>O9148</t>
        </is>
      </c>
      <c r="E963" s="2" t="n">
        <v>219</v>
      </c>
      <c r="F963" s="2">
        <f>_xlfn.XLOOKUP(C963,customers!$A$1:$A$1001,customers!$B$1:$B$1001,,0)</f>
        <v/>
      </c>
      <c r="G963" s="2">
        <f>IF(_xlfn.XLOOKUP(C963,customers!$A$1:$A$1001,customers!$C$1:$C$1001,,0)=0,"",_xlfn.XLOOKUP(C963,customers!$A$1:$A$1001,customers!$C$1:$C$1001,,0))</f>
        <v/>
      </c>
      <c r="H963" s="2">
        <f>_xlfn.XLOOKUP(C963,customers!$A$1:$A$1001,customers!$G$1:$G$1001,,0)</f>
        <v/>
      </c>
      <c r="I963">
        <f>INDEX(products!$A$1:$G$49,MATCH(orders!$D963,products!$A$1:$A$49,0),MATCH(orders!I$1,products!$A$1:$G$1,0))</f>
        <v/>
      </c>
      <c r="J963">
        <f>INDEX(products!$A$1:$G$49,MATCH(orders!$D963,products!$A$1:$A$49,0),MATCH(orders!J$1,products!$A$1:$G$1,0))</f>
        <v/>
      </c>
      <c r="K963" s="4">
        <f>INDEX(products!$A$1:$G$49,MATCH(orders!$D963,products!$A$1:$A$49,0),MATCH(orders!K$1,products!$A$1:$G$1,0))</f>
        <v/>
      </c>
      <c r="L963" s="5">
        <f>INDEX(products!$A$1:$G$49,MATCH(orders!$D963,products!$A$1:$A$49,0),MATCH(orders!L$1,products!$A$1:$G$1,0))</f>
        <v/>
      </c>
      <c r="M963" s="5">
        <f>L963*E963</f>
        <v/>
      </c>
      <c r="N963">
        <f>IF(I963="Rob","Robusta",IF(I963="Exc","Excelsa",IF(I963="Ara","Arabica",IF(I963="Lib","Liberica",""))))</f>
        <v/>
      </c>
      <c r="O963">
        <f>IF(J963="M","Medium",IF(J963="L","Light",IF(J963="D","Dark","")))</f>
        <v/>
      </c>
      <c r="P963">
        <f>_xlfn.XLOOKUP(Orders[[#This Row],[Customer ID]],customers!$A$1:$A$1001,customers!$I$1:$I$1001,,0)</f>
        <v/>
      </c>
    </row>
    <row r="964">
      <c r="A964" s="2" t="inlineStr">
        <is>
          <t>O5304</t>
        </is>
      </c>
      <c r="B964" s="3" t="inlineStr">
        <is>
          <t>2025-06-24</t>
        </is>
      </c>
      <c r="C964" s="2" t="inlineStr">
        <is>
          <t>O7896</t>
        </is>
      </c>
      <c r="D964" t="inlineStr">
        <is>
          <t>O2145</t>
        </is>
      </c>
      <c r="E964" s="2" t="n">
        <v>204</v>
      </c>
      <c r="F964" s="2">
        <f>_xlfn.XLOOKUP(C964,customers!$A$1:$A$1001,customers!$B$1:$B$1001,,0)</f>
        <v/>
      </c>
      <c r="G964" s="2">
        <f>IF(_xlfn.XLOOKUP(C964,customers!$A$1:$A$1001,customers!$C$1:$C$1001,,0)=0,"",_xlfn.XLOOKUP(C964,customers!$A$1:$A$1001,customers!$C$1:$C$1001,,0))</f>
        <v/>
      </c>
      <c r="H964" s="2">
        <f>_xlfn.XLOOKUP(C964,customers!$A$1:$A$1001,customers!$G$1:$G$1001,,0)</f>
        <v/>
      </c>
      <c r="I964">
        <f>INDEX(products!$A$1:$G$49,MATCH(orders!$D964,products!$A$1:$A$49,0),MATCH(orders!I$1,products!$A$1:$G$1,0))</f>
        <v/>
      </c>
      <c r="J964">
        <f>INDEX(products!$A$1:$G$49,MATCH(orders!$D964,products!$A$1:$A$49,0),MATCH(orders!J$1,products!$A$1:$G$1,0))</f>
        <v/>
      </c>
      <c r="K964" s="4">
        <f>INDEX(products!$A$1:$G$49,MATCH(orders!$D964,products!$A$1:$A$49,0),MATCH(orders!K$1,products!$A$1:$G$1,0))</f>
        <v/>
      </c>
      <c r="L964" s="5">
        <f>INDEX(products!$A$1:$G$49,MATCH(orders!$D964,products!$A$1:$A$49,0),MATCH(orders!L$1,products!$A$1:$G$1,0))</f>
        <v/>
      </c>
      <c r="M964" s="5">
        <f>L964*E964</f>
        <v/>
      </c>
      <c r="N964">
        <f>IF(I964="Rob","Robusta",IF(I964="Exc","Excelsa",IF(I964="Ara","Arabica",IF(I964="Lib","Liberica",""))))</f>
        <v/>
      </c>
      <c r="O964">
        <f>IF(J964="M","Medium",IF(J964="L","Light",IF(J964="D","Dark","")))</f>
        <v/>
      </c>
      <c r="P964">
        <f>_xlfn.XLOOKUP(Orders[[#This Row],[Customer ID]],customers!$A$1:$A$1001,customers!$I$1:$I$1001,,0)</f>
        <v/>
      </c>
    </row>
    <row r="965">
      <c r="A965" s="2" t="inlineStr">
        <is>
          <t>O4706</t>
        </is>
      </c>
      <c r="B965" s="3" t="inlineStr">
        <is>
          <t>2023-05-14</t>
        </is>
      </c>
      <c r="C965" s="2" t="inlineStr">
        <is>
          <t>O6469</t>
        </is>
      </c>
      <c r="D965" t="inlineStr">
        <is>
          <t>O8719</t>
        </is>
      </c>
      <c r="E965" s="2" t="n">
        <v>14</v>
      </c>
      <c r="F965" s="2">
        <f>_xlfn.XLOOKUP(C965,customers!$A$1:$A$1001,customers!$B$1:$B$1001,,0)</f>
        <v/>
      </c>
      <c r="G965" s="2">
        <f>IF(_xlfn.XLOOKUP(C965,customers!$A$1:$A$1001,customers!$C$1:$C$1001,,0)=0,"",_xlfn.XLOOKUP(C965,customers!$A$1:$A$1001,customers!$C$1:$C$1001,,0))</f>
        <v/>
      </c>
      <c r="H965" s="2">
        <f>_xlfn.XLOOKUP(C965,customers!$A$1:$A$1001,customers!$G$1:$G$1001,,0)</f>
        <v/>
      </c>
      <c r="I965">
        <f>INDEX(products!$A$1:$G$49,MATCH(orders!$D965,products!$A$1:$A$49,0),MATCH(orders!I$1,products!$A$1:$G$1,0))</f>
        <v/>
      </c>
      <c r="J965">
        <f>INDEX(products!$A$1:$G$49,MATCH(orders!$D965,products!$A$1:$A$49,0),MATCH(orders!J$1,products!$A$1:$G$1,0))</f>
        <v/>
      </c>
      <c r="K965" s="4">
        <f>INDEX(products!$A$1:$G$49,MATCH(orders!$D965,products!$A$1:$A$49,0),MATCH(orders!K$1,products!$A$1:$G$1,0))</f>
        <v/>
      </c>
      <c r="L965" s="5">
        <f>INDEX(products!$A$1:$G$49,MATCH(orders!$D965,products!$A$1:$A$49,0),MATCH(orders!L$1,products!$A$1:$G$1,0))</f>
        <v/>
      </c>
      <c r="M965" s="5">
        <f>L965*E965</f>
        <v/>
      </c>
      <c r="N965">
        <f>IF(I965="Rob","Robusta",IF(I965="Exc","Excelsa",IF(I965="Ara","Arabica",IF(I965="Lib","Liberica",""))))</f>
        <v/>
      </c>
      <c r="O965">
        <f>IF(J965="M","Medium",IF(J965="L","Light",IF(J965="D","Dark","")))</f>
        <v/>
      </c>
      <c r="P965">
        <f>_xlfn.XLOOKUP(Orders[[#This Row],[Customer ID]],customers!$A$1:$A$1001,customers!$I$1:$I$1001,,0)</f>
        <v/>
      </c>
    </row>
    <row r="966">
      <c r="A966" s="2" t="inlineStr">
        <is>
          <t>O9625</t>
        </is>
      </c>
      <c r="B966" s="3" t="inlineStr">
        <is>
          <t>2023-05-26</t>
        </is>
      </c>
      <c r="C966" s="2" t="inlineStr">
        <is>
          <t>O5759</t>
        </is>
      </c>
      <c r="D966" t="inlineStr">
        <is>
          <t>O6308</t>
        </is>
      </c>
      <c r="E966" s="2" t="n">
        <v>161</v>
      </c>
      <c r="F966" s="2">
        <f>_xlfn.XLOOKUP(C966,customers!$A$1:$A$1001,customers!$B$1:$B$1001,,0)</f>
        <v/>
      </c>
      <c r="G966" s="2">
        <f>IF(_xlfn.XLOOKUP(C966,customers!$A$1:$A$1001,customers!$C$1:$C$1001,,0)=0,"",_xlfn.XLOOKUP(C966,customers!$A$1:$A$1001,customers!$C$1:$C$1001,,0))</f>
        <v/>
      </c>
      <c r="H966" s="2">
        <f>_xlfn.XLOOKUP(C966,customers!$A$1:$A$1001,customers!$G$1:$G$1001,,0)</f>
        <v/>
      </c>
      <c r="I966">
        <f>INDEX(products!$A$1:$G$49,MATCH(orders!$D966,products!$A$1:$A$49,0),MATCH(orders!I$1,products!$A$1:$G$1,0))</f>
        <v/>
      </c>
      <c r="J966">
        <f>INDEX(products!$A$1:$G$49,MATCH(orders!$D966,products!$A$1:$A$49,0),MATCH(orders!J$1,products!$A$1:$G$1,0))</f>
        <v/>
      </c>
      <c r="K966" s="4">
        <f>INDEX(products!$A$1:$G$49,MATCH(orders!$D966,products!$A$1:$A$49,0),MATCH(orders!K$1,products!$A$1:$G$1,0))</f>
        <v/>
      </c>
      <c r="L966" s="5">
        <f>INDEX(products!$A$1:$G$49,MATCH(orders!$D966,products!$A$1:$A$49,0),MATCH(orders!L$1,products!$A$1:$G$1,0))</f>
        <v/>
      </c>
      <c r="M966" s="5">
        <f>L966*E966</f>
        <v/>
      </c>
      <c r="N966">
        <f>IF(I966="Rob","Robusta",IF(I966="Exc","Excelsa",IF(I966="Ara","Arabica",IF(I966="Lib","Liberica",""))))</f>
        <v/>
      </c>
      <c r="O966">
        <f>IF(J966="M","Medium",IF(J966="L","Light",IF(J966="D","Dark","")))</f>
        <v/>
      </c>
      <c r="P966">
        <f>_xlfn.XLOOKUP(Orders[[#This Row],[Customer ID]],customers!$A$1:$A$1001,customers!$I$1:$I$1001,,0)</f>
        <v/>
      </c>
    </row>
    <row r="967">
      <c r="A967" s="2" t="inlineStr">
        <is>
          <t>O1178</t>
        </is>
      </c>
      <c r="B967" s="3" t="inlineStr">
        <is>
          <t>2024-09-15</t>
        </is>
      </c>
      <c r="C967" s="2" t="inlineStr">
        <is>
          <t>O8748</t>
        </is>
      </c>
      <c r="D967" t="inlineStr">
        <is>
          <t>O8594</t>
        </is>
      </c>
      <c r="E967" s="2" t="n">
        <v>330</v>
      </c>
      <c r="F967" s="2">
        <f>_xlfn.XLOOKUP(C967,customers!$A$1:$A$1001,customers!$B$1:$B$1001,,0)</f>
        <v/>
      </c>
      <c r="G967" s="2">
        <f>IF(_xlfn.XLOOKUP(C967,customers!$A$1:$A$1001,customers!$C$1:$C$1001,,0)=0,"",_xlfn.XLOOKUP(C967,customers!$A$1:$A$1001,customers!$C$1:$C$1001,,0))</f>
        <v/>
      </c>
      <c r="H967" s="2">
        <f>_xlfn.XLOOKUP(C967,customers!$A$1:$A$1001,customers!$G$1:$G$1001,,0)</f>
        <v/>
      </c>
      <c r="I967">
        <f>INDEX(products!$A$1:$G$49,MATCH(orders!$D967,products!$A$1:$A$49,0),MATCH(orders!I$1,products!$A$1:$G$1,0))</f>
        <v/>
      </c>
      <c r="J967">
        <f>INDEX(products!$A$1:$G$49,MATCH(orders!$D967,products!$A$1:$A$49,0),MATCH(orders!J$1,products!$A$1:$G$1,0))</f>
        <v/>
      </c>
      <c r="K967" s="4">
        <f>INDEX(products!$A$1:$G$49,MATCH(orders!$D967,products!$A$1:$A$49,0),MATCH(orders!K$1,products!$A$1:$G$1,0))</f>
        <v/>
      </c>
      <c r="L967" s="5">
        <f>INDEX(products!$A$1:$G$49,MATCH(orders!$D967,products!$A$1:$A$49,0),MATCH(orders!L$1,products!$A$1:$G$1,0))</f>
        <v/>
      </c>
      <c r="M967" s="5">
        <f>L967*E967</f>
        <v/>
      </c>
      <c r="N967">
        <f>IF(I967="Rob","Robusta",IF(I967="Exc","Excelsa",IF(I967="Ara","Arabica",IF(I967="Lib","Liberica",""))))</f>
        <v/>
      </c>
      <c r="O967">
        <f>IF(J967="M","Medium",IF(J967="L","Light",IF(J967="D","Dark","")))</f>
        <v/>
      </c>
      <c r="P967">
        <f>_xlfn.XLOOKUP(Orders[[#This Row],[Customer ID]],customers!$A$1:$A$1001,customers!$I$1:$I$1001,,0)</f>
        <v/>
      </c>
    </row>
    <row r="968">
      <c r="A968" s="2" t="inlineStr">
        <is>
          <t>O9278</t>
        </is>
      </c>
      <c r="B968" s="3" t="inlineStr">
        <is>
          <t>2022-10-05</t>
        </is>
      </c>
      <c r="C968" s="2" t="inlineStr">
        <is>
          <t>O4616</t>
        </is>
      </c>
      <c r="D968" t="inlineStr">
        <is>
          <t>O2342</t>
        </is>
      </c>
      <c r="E968" s="2" t="n">
        <v>150</v>
      </c>
      <c r="F968" s="2">
        <f>_xlfn.XLOOKUP(C968,customers!$A$1:$A$1001,customers!$B$1:$B$1001,,0)</f>
        <v/>
      </c>
      <c r="G968" s="2">
        <f>IF(_xlfn.XLOOKUP(C968,customers!$A$1:$A$1001,customers!$C$1:$C$1001,,0)=0,"",_xlfn.XLOOKUP(C968,customers!$A$1:$A$1001,customers!$C$1:$C$1001,,0))</f>
        <v/>
      </c>
      <c r="H968" s="2">
        <f>_xlfn.XLOOKUP(C968,customers!$A$1:$A$1001,customers!$G$1:$G$1001,,0)</f>
        <v/>
      </c>
      <c r="I968">
        <f>INDEX(products!$A$1:$G$49,MATCH(orders!$D968,products!$A$1:$A$49,0),MATCH(orders!I$1,products!$A$1:$G$1,0))</f>
        <v/>
      </c>
      <c r="J968">
        <f>INDEX(products!$A$1:$G$49,MATCH(orders!$D968,products!$A$1:$A$49,0),MATCH(orders!J$1,products!$A$1:$G$1,0))</f>
        <v/>
      </c>
      <c r="K968" s="4">
        <f>INDEX(products!$A$1:$G$49,MATCH(orders!$D968,products!$A$1:$A$49,0),MATCH(orders!K$1,products!$A$1:$G$1,0))</f>
        <v/>
      </c>
      <c r="L968" s="5">
        <f>INDEX(products!$A$1:$G$49,MATCH(orders!$D968,products!$A$1:$A$49,0),MATCH(orders!L$1,products!$A$1:$G$1,0))</f>
        <v/>
      </c>
      <c r="M968" s="5">
        <f>L968*E968</f>
        <v/>
      </c>
      <c r="N968">
        <f>IF(I968="Rob","Robusta",IF(I968="Exc","Excelsa",IF(I968="Ara","Arabica",IF(I968="Lib","Liberica",""))))</f>
        <v/>
      </c>
      <c r="O968">
        <f>IF(J968="M","Medium",IF(J968="L","Light",IF(J968="D","Dark","")))</f>
        <v/>
      </c>
      <c r="P968">
        <f>_xlfn.XLOOKUP(Orders[[#This Row],[Customer ID]],customers!$A$1:$A$1001,customers!$I$1:$I$1001,,0)</f>
        <v/>
      </c>
    </row>
    <row r="969">
      <c r="A969" s="2" t="inlineStr">
        <is>
          <t>O6194</t>
        </is>
      </c>
      <c r="B969" s="3" t="inlineStr">
        <is>
          <t>2020-07-23</t>
        </is>
      </c>
      <c r="C969" s="2" t="inlineStr">
        <is>
          <t>O5725</t>
        </is>
      </c>
      <c r="D969" t="inlineStr">
        <is>
          <t>O3048</t>
        </is>
      </c>
      <c r="E969" s="2" t="n">
        <v>246</v>
      </c>
      <c r="F969" s="2">
        <f>_xlfn.XLOOKUP(C969,customers!$A$1:$A$1001,customers!$B$1:$B$1001,,0)</f>
        <v/>
      </c>
      <c r="G969" s="2">
        <f>IF(_xlfn.XLOOKUP(C969,customers!$A$1:$A$1001,customers!$C$1:$C$1001,,0)=0,"",_xlfn.XLOOKUP(C969,customers!$A$1:$A$1001,customers!$C$1:$C$1001,,0))</f>
        <v/>
      </c>
      <c r="H969" s="2">
        <f>_xlfn.XLOOKUP(C969,customers!$A$1:$A$1001,customers!$G$1:$G$1001,,0)</f>
        <v/>
      </c>
      <c r="I969">
        <f>INDEX(products!$A$1:$G$49,MATCH(orders!$D969,products!$A$1:$A$49,0),MATCH(orders!I$1,products!$A$1:$G$1,0))</f>
        <v/>
      </c>
      <c r="J969">
        <f>INDEX(products!$A$1:$G$49,MATCH(orders!$D969,products!$A$1:$A$49,0),MATCH(orders!J$1,products!$A$1:$G$1,0))</f>
        <v/>
      </c>
      <c r="K969" s="4">
        <f>INDEX(products!$A$1:$G$49,MATCH(orders!$D969,products!$A$1:$A$49,0),MATCH(orders!K$1,products!$A$1:$G$1,0))</f>
        <v/>
      </c>
      <c r="L969" s="5">
        <f>INDEX(products!$A$1:$G$49,MATCH(orders!$D969,products!$A$1:$A$49,0),MATCH(orders!L$1,products!$A$1:$G$1,0))</f>
        <v/>
      </c>
      <c r="M969" s="5">
        <f>L969*E969</f>
        <v/>
      </c>
      <c r="N969">
        <f>IF(I969="Rob","Robusta",IF(I969="Exc","Excelsa",IF(I969="Ara","Arabica",IF(I969="Lib","Liberica",""))))</f>
        <v/>
      </c>
      <c r="O969">
        <f>IF(J969="M","Medium",IF(J969="L","Light",IF(J969="D","Dark","")))</f>
        <v/>
      </c>
      <c r="P969">
        <f>_xlfn.XLOOKUP(Orders[[#This Row],[Customer ID]],customers!$A$1:$A$1001,customers!$I$1:$I$1001,,0)</f>
        <v/>
      </c>
    </row>
    <row r="970">
      <c r="A970" s="2" t="inlineStr">
        <is>
          <t>O7930</t>
        </is>
      </c>
      <c r="B970" s="3" t="inlineStr">
        <is>
          <t>2025-05-14</t>
        </is>
      </c>
      <c r="C970" s="2" t="inlineStr">
        <is>
          <t>O1191</t>
        </is>
      </c>
      <c r="D970" t="inlineStr">
        <is>
          <t>O2279</t>
        </is>
      </c>
      <c r="E970" s="2" t="n">
        <v>60</v>
      </c>
      <c r="F970" s="2">
        <f>_xlfn.XLOOKUP(C970,customers!$A$1:$A$1001,customers!$B$1:$B$1001,,0)</f>
        <v/>
      </c>
      <c r="G970" s="2">
        <f>IF(_xlfn.XLOOKUP(C970,customers!$A$1:$A$1001,customers!$C$1:$C$1001,,0)=0,"",_xlfn.XLOOKUP(C970,customers!$A$1:$A$1001,customers!$C$1:$C$1001,,0))</f>
        <v/>
      </c>
      <c r="H970" s="2">
        <f>_xlfn.XLOOKUP(C970,customers!$A$1:$A$1001,customers!$G$1:$G$1001,,0)</f>
        <v/>
      </c>
      <c r="I970">
        <f>INDEX(products!$A$1:$G$49,MATCH(orders!$D970,products!$A$1:$A$49,0),MATCH(orders!I$1,products!$A$1:$G$1,0))</f>
        <v/>
      </c>
      <c r="J970">
        <f>INDEX(products!$A$1:$G$49,MATCH(orders!$D970,products!$A$1:$A$49,0),MATCH(orders!J$1,products!$A$1:$G$1,0))</f>
        <v/>
      </c>
      <c r="K970" s="4">
        <f>INDEX(products!$A$1:$G$49,MATCH(orders!$D970,products!$A$1:$A$49,0),MATCH(orders!K$1,products!$A$1:$G$1,0))</f>
        <v/>
      </c>
      <c r="L970" s="5">
        <f>INDEX(products!$A$1:$G$49,MATCH(orders!$D970,products!$A$1:$A$49,0),MATCH(orders!L$1,products!$A$1:$G$1,0))</f>
        <v/>
      </c>
      <c r="M970" s="5">
        <f>L970*E970</f>
        <v/>
      </c>
      <c r="N970">
        <f>IF(I970="Rob","Robusta",IF(I970="Exc","Excelsa",IF(I970="Ara","Arabica",IF(I970="Lib","Liberica",""))))</f>
        <v/>
      </c>
      <c r="O970">
        <f>IF(J970="M","Medium",IF(J970="L","Light",IF(J970="D","Dark","")))</f>
        <v/>
      </c>
      <c r="P970">
        <f>_xlfn.XLOOKUP(Orders[[#This Row],[Customer ID]],customers!$A$1:$A$1001,customers!$I$1:$I$1001,,0)</f>
        <v/>
      </c>
    </row>
    <row r="971">
      <c r="A971" s="2" t="inlineStr">
        <is>
          <t>O6571</t>
        </is>
      </c>
      <c r="B971" s="3" t="inlineStr">
        <is>
          <t>2023-08-07</t>
        </is>
      </c>
      <c r="C971" s="2" t="inlineStr">
        <is>
          <t>O9028</t>
        </is>
      </c>
      <c r="D971" t="inlineStr">
        <is>
          <t>O3612</t>
        </is>
      </c>
      <c r="E971" s="2" t="n">
        <v>148</v>
      </c>
      <c r="F971" s="2">
        <f>_xlfn.XLOOKUP(C971,customers!$A$1:$A$1001,customers!$B$1:$B$1001,,0)</f>
        <v/>
      </c>
      <c r="G971" s="2">
        <f>IF(_xlfn.XLOOKUP(C971,customers!$A$1:$A$1001,customers!$C$1:$C$1001,,0)=0,"",_xlfn.XLOOKUP(C971,customers!$A$1:$A$1001,customers!$C$1:$C$1001,,0))</f>
        <v/>
      </c>
      <c r="H971" s="2">
        <f>_xlfn.XLOOKUP(C971,customers!$A$1:$A$1001,customers!$G$1:$G$1001,,0)</f>
        <v/>
      </c>
      <c r="I971">
        <f>INDEX(products!$A$1:$G$49,MATCH(orders!$D971,products!$A$1:$A$49,0),MATCH(orders!I$1,products!$A$1:$G$1,0))</f>
        <v/>
      </c>
      <c r="J971">
        <f>INDEX(products!$A$1:$G$49,MATCH(orders!$D971,products!$A$1:$A$49,0),MATCH(orders!J$1,products!$A$1:$G$1,0))</f>
        <v/>
      </c>
      <c r="K971" s="4">
        <f>INDEX(products!$A$1:$G$49,MATCH(orders!$D971,products!$A$1:$A$49,0),MATCH(orders!K$1,products!$A$1:$G$1,0))</f>
        <v/>
      </c>
      <c r="L971" s="5">
        <f>INDEX(products!$A$1:$G$49,MATCH(orders!$D971,products!$A$1:$A$49,0),MATCH(orders!L$1,products!$A$1:$G$1,0))</f>
        <v/>
      </c>
      <c r="M971" s="5">
        <f>L971*E971</f>
        <v/>
      </c>
      <c r="N971">
        <f>IF(I971="Rob","Robusta",IF(I971="Exc","Excelsa",IF(I971="Ara","Arabica",IF(I971="Lib","Liberica",""))))</f>
        <v/>
      </c>
      <c r="O971">
        <f>IF(J971="M","Medium",IF(J971="L","Light",IF(J971="D","Dark","")))</f>
        <v/>
      </c>
      <c r="P971">
        <f>_xlfn.XLOOKUP(Orders[[#This Row],[Customer ID]],customers!$A$1:$A$1001,customers!$I$1:$I$1001,,0)</f>
        <v/>
      </c>
    </row>
    <row r="972">
      <c r="A972" s="2" t="inlineStr">
        <is>
          <t>O7693</t>
        </is>
      </c>
      <c r="B972" s="3" t="inlineStr">
        <is>
          <t>2021-09-02</t>
        </is>
      </c>
      <c r="C972" s="2" t="inlineStr">
        <is>
          <t>O7119</t>
        </is>
      </c>
      <c r="D972" t="inlineStr">
        <is>
          <t>O4255</t>
        </is>
      </c>
      <c r="E972" s="2" t="n">
        <v>465</v>
      </c>
      <c r="F972" s="2">
        <f>_xlfn.XLOOKUP(C972,customers!$A$1:$A$1001,customers!$B$1:$B$1001,,0)</f>
        <v/>
      </c>
      <c r="G972" s="2">
        <f>IF(_xlfn.XLOOKUP(C972,customers!$A$1:$A$1001,customers!$C$1:$C$1001,,0)=0,"",_xlfn.XLOOKUP(C972,customers!$A$1:$A$1001,customers!$C$1:$C$1001,,0))</f>
        <v/>
      </c>
      <c r="H972" s="2">
        <f>_xlfn.XLOOKUP(C972,customers!$A$1:$A$1001,customers!$G$1:$G$1001,,0)</f>
        <v/>
      </c>
      <c r="I972">
        <f>INDEX(products!$A$1:$G$49,MATCH(orders!$D972,products!$A$1:$A$49,0),MATCH(orders!I$1,products!$A$1:$G$1,0))</f>
        <v/>
      </c>
      <c r="J972">
        <f>INDEX(products!$A$1:$G$49,MATCH(orders!$D972,products!$A$1:$A$49,0),MATCH(orders!J$1,products!$A$1:$G$1,0))</f>
        <v/>
      </c>
      <c r="K972" s="4">
        <f>INDEX(products!$A$1:$G$49,MATCH(orders!$D972,products!$A$1:$A$49,0),MATCH(orders!K$1,products!$A$1:$G$1,0))</f>
        <v/>
      </c>
      <c r="L972" s="5">
        <f>INDEX(products!$A$1:$G$49,MATCH(orders!$D972,products!$A$1:$A$49,0),MATCH(orders!L$1,products!$A$1:$G$1,0))</f>
        <v/>
      </c>
      <c r="M972" s="5">
        <f>L972*E972</f>
        <v/>
      </c>
      <c r="N972">
        <f>IF(I972="Rob","Robusta",IF(I972="Exc","Excelsa",IF(I972="Ara","Arabica",IF(I972="Lib","Liberica",""))))</f>
        <v/>
      </c>
      <c r="O972">
        <f>IF(J972="M","Medium",IF(J972="L","Light",IF(J972="D","Dark","")))</f>
        <v/>
      </c>
      <c r="P972">
        <f>_xlfn.XLOOKUP(Orders[[#This Row],[Customer ID]],customers!$A$1:$A$1001,customers!$I$1:$I$1001,,0)</f>
        <v/>
      </c>
    </row>
    <row r="973">
      <c r="A973" s="2" t="inlineStr">
        <is>
          <t>O4468</t>
        </is>
      </c>
      <c r="B973" s="3" t="inlineStr">
        <is>
          <t>2025-01-13</t>
        </is>
      </c>
      <c r="C973" s="2" t="inlineStr">
        <is>
          <t>O1535</t>
        </is>
      </c>
      <c r="D973" t="inlineStr">
        <is>
          <t>O6835</t>
        </is>
      </c>
      <c r="E973" s="2" t="n">
        <v>319</v>
      </c>
      <c r="F973" s="2">
        <f>_xlfn.XLOOKUP(C973,customers!$A$1:$A$1001,customers!$B$1:$B$1001,,0)</f>
        <v/>
      </c>
      <c r="G973" s="2">
        <f>IF(_xlfn.XLOOKUP(C973,customers!$A$1:$A$1001,customers!$C$1:$C$1001,,0)=0,"",_xlfn.XLOOKUP(C973,customers!$A$1:$A$1001,customers!$C$1:$C$1001,,0))</f>
        <v/>
      </c>
      <c r="H973" s="2">
        <f>_xlfn.XLOOKUP(C973,customers!$A$1:$A$1001,customers!$G$1:$G$1001,,0)</f>
        <v/>
      </c>
      <c r="I973">
        <f>INDEX(products!$A$1:$G$49,MATCH(orders!$D973,products!$A$1:$A$49,0),MATCH(orders!I$1,products!$A$1:$G$1,0))</f>
        <v/>
      </c>
      <c r="J973">
        <f>INDEX(products!$A$1:$G$49,MATCH(orders!$D973,products!$A$1:$A$49,0),MATCH(orders!J$1,products!$A$1:$G$1,0))</f>
        <v/>
      </c>
      <c r="K973" s="4">
        <f>INDEX(products!$A$1:$G$49,MATCH(orders!$D973,products!$A$1:$A$49,0),MATCH(orders!K$1,products!$A$1:$G$1,0))</f>
        <v/>
      </c>
      <c r="L973" s="5">
        <f>INDEX(products!$A$1:$G$49,MATCH(orders!$D973,products!$A$1:$A$49,0),MATCH(orders!L$1,products!$A$1:$G$1,0))</f>
        <v/>
      </c>
      <c r="M973" s="5">
        <f>L973*E973</f>
        <v/>
      </c>
      <c r="N973">
        <f>IF(I973="Rob","Robusta",IF(I973="Exc","Excelsa",IF(I973="Ara","Arabica",IF(I973="Lib","Liberica",""))))</f>
        <v/>
      </c>
      <c r="O973">
        <f>IF(J973="M","Medium",IF(J973="L","Light",IF(J973="D","Dark","")))</f>
        <v/>
      </c>
      <c r="P973">
        <f>_xlfn.XLOOKUP(Orders[[#This Row],[Customer ID]],customers!$A$1:$A$1001,customers!$I$1:$I$1001,,0)</f>
        <v/>
      </c>
    </row>
    <row r="974">
      <c r="A974" s="2" t="inlineStr">
        <is>
          <t>O9441</t>
        </is>
      </c>
      <c r="B974" s="3" t="inlineStr">
        <is>
          <t>2023-11-14</t>
        </is>
      </c>
      <c r="C974" s="2" t="inlineStr">
        <is>
          <t>O6184</t>
        </is>
      </c>
      <c r="D974" t="inlineStr">
        <is>
          <t>O3808</t>
        </is>
      </c>
      <c r="E974" s="2" t="n">
        <v>190</v>
      </c>
      <c r="F974" s="2">
        <f>_xlfn.XLOOKUP(C974,customers!$A$1:$A$1001,customers!$B$1:$B$1001,,0)</f>
        <v/>
      </c>
      <c r="G974" s="2">
        <f>IF(_xlfn.XLOOKUP(C974,customers!$A$1:$A$1001,customers!$C$1:$C$1001,,0)=0,"",_xlfn.XLOOKUP(C974,customers!$A$1:$A$1001,customers!$C$1:$C$1001,,0))</f>
        <v/>
      </c>
      <c r="H974" s="2">
        <f>_xlfn.XLOOKUP(C974,customers!$A$1:$A$1001,customers!$G$1:$G$1001,,0)</f>
        <v/>
      </c>
      <c r="I974">
        <f>INDEX(products!$A$1:$G$49,MATCH(orders!$D974,products!$A$1:$A$49,0),MATCH(orders!I$1,products!$A$1:$G$1,0))</f>
        <v/>
      </c>
      <c r="J974">
        <f>INDEX(products!$A$1:$G$49,MATCH(orders!$D974,products!$A$1:$A$49,0),MATCH(orders!J$1,products!$A$1:$G$1,0))</f>
        <v/>
      </c>
      <c r="K974" s="4">
        <f>INDEX(products!$A$1:$G$49,MATCH(orders!$D974,products!$A$1:$A$49,0),MATCH(orders!K$1,products!$A$1:$G$1,0))</f>
        <v/>
      </c>
      <c r="L974" s="5">
        <f>INDEX(products!$A$1:$G$49,MATCH(orders!$D974,products!$A$1:$A$49,0),MATCH(orders!L$1,products!$A$1:$G$1,0))</f>
        <v/>
      </c>
      <c r="M974" s="5">
        <f>L974*E974</f>
        <v/>
      </c>
      <c r="N974">
        <f>IF(I974="Rob","Robusta",IF(I974="Exc","Excelsa",IF(I974="Ara","Arabica",IF(I974="Lib","Liberica",""))))</f>
        <v/>
      </c>
      <c r="O974">
        <f>IF(J974="M","Medium",IF(J974="L","Light",IF(J974="D","Dark","")))</f>
        <v/>
      </c>
      <c r="P974">
        <f>_xlfn.XLOOKUP(Orders[[#This Row],[Customer ID]],customers!$A$1:$A$1001,customers!$I$1:$I$1001,,0)</f>
        <v/>
      </c>
    </row>
    <row r="975">
      <c r="A975" s="2" t="inlineStr">
        <is>
          <t>O1787</t>
        </is>
      </c>
      <c r="B975" s="3" t="inlineStr">
        <is>
          <t>2022-11-27</t>
        </is>
      </c>
      <c r="C975" s="2" t="inlineStr">
        <is>
          <t>O1977</t>
        </is>
      </c>
      <c r="D975" t="inlineStr">
        <is>
          <t>O4731</t>
        </is>
      </c>
      <c r="E975" s="2" t="n">
        <v>79</v>
      </c>
      <c r="F975" s="2">
        <f>_xlfn.XLOOKUP(C975,customers!$A$1:$A$1001,customers!$B$1:$B$1001,,0)</f>
        <v/>
      </c>
      <c r="G975" s="2">
        <f>IF(_xlfn.XLOOKUP(C975,customers!$A$1:$A$1001,customers!$C$1:$C$1001,,0)=0,"",_xlfn.XLOOKUP(C975,customers!$A$1:$A$1001,customers!$C$1:$C$1001,,0))</f>
        <v/>
      </c>
      <c r="H975" s="2">
        <f>_xlfn.XLOOKUP(C975,customers!$A$1:$A$1001,customers!$G$1:$G$1001,,0)</f>
        <v/>
      </c>
      <c r="I975">
        <f>INDEX(products!$A$1:$G$49,MATCH(orders!$D975,products!$A$1:$A$49,0),MATCH(orders!I$1,products!$A$1:$G$1,0))</f>
        <v/>
      </c>
      <c r="J975">
        <f>INDEX(products!$A$1:$G$49,MATCH(orders!$D975,products!$A$1:$A$49,0),MATCH(orders!J$1,products!$A$1:$G$1,0))</f>
        <v/>
      </c>
      <c r="K975" s="4">
        <f>INDEX(products!$A$1:$G$49,MATCH(orders!$D975,products!$A$1:$A$49,0),MATCH(orders!K$1,products!$A$1:$G$1,0))</f>
        <v/>
      </c>
      <c r="L975" s="5">
        <f>INDEX(products!$A$1:$G$49,MATCH(orders!$D975,products!$A$1:$A$49,0),MATCH(orders!L$1,products!$A$1:$G$1,0))</f>
        <v/>
      </c>
      <c r="M975" s="5">
        <f>L975*E975</f>
        <v/>
      </c>
      <c r="N975">
        <f>IF(I975="Rob","Robusta",IF(I975="Exc","Excelsa",IF(I975="Ara","Arabica",IF(I975="Lib","Liberica",""))))</f>
        <v/>
      </c>
      <c r="O975">
        <f>IF(J975="M","Medium",IF(J975="L","Light",IF(J975="D","Dark","")))</f>
        <v/>
      </c>
      <c r="P975">
        <f>_xlfn.XLOOKUP(Orders[[#This Row],[Customer ID]],customers!$A$1:$A$1001,customers!$I$1:$I$1001,,0)</f>
        <v/>
      </c>
    </row>
    <row r="976">
      <c r="A976" s="2" t="inlineStr">
        <is>
          <t>O8188</t>
        </is>
      </c>
      <c r="B976" s="3" t="inlineStr">
        <is>
          <t>2020-08-15</t>
        </is>
      </c>
      <c r="C976" s="2" t="inlineStr">
        <is>
          <t>O6004</t>
        </is>
      </c>
      <c r="D976" t="inlineStr">
        <is>
          <t>O3872</t>
        </is>
      </c>
      <c r="E976" s="2" t="n">
        <v>22</v>
      </c>
      <c r="F976" s="2">
        <f>_xlfn.XLOOKUP(C976,customers!$A$1:$A$1001,customers!$B$1:$B$1001,,0)</f>
        <v/>
      </c>
      <c r="G976" s="2">
        <f>IF(_xlfn.XLOOKUP(C976,customers!$A$1:$A$1001,customers!$C$1:$C$1001,,0)=0,"",_xlfn.XLOOKUP(C976,customers!$A$1:$A$1001,customers!$C$1:$C$1001,,0))</f>
        <v/>
      </c>
      <c r="H976" s="2">
        <f>_xlfn.XLOOKUP(C976,customers!$A$1:$A$1001,customers!$G$1:$G$1001,,0)</f>
        <v/>
      </c>
      <c r="I976">
        <f>INDEX(products!$A$1:$G$49,MATCH(orders!$D976,products!$A$1:$A$49,0),MATCH(orders!I$1,products!$A$1:$G$1,0))</f>
        <v/>
      </c>
      <c r="J976">
        <f>INDEX(products!$A$1:$G$49,MATCH(orders!$D976,products!$A$1:$A$49,0),MATCH(orders!J$1,products!$A$1:$G$1,0))</f>
        <v/>
      </c>
      <c r="K976" s="4">
        <f>INDEX(products!$A$1:$G$49,MATCH(orders!$D976,products!$A$1:$A$49,0),MATCH(orders!K$1,products!$A$1:$G$1,0))</f>
        <v/>
      </c>
      <c r="L976" s="5">
        <f>INDEX(products!$A$1:$G$49,MATCH(orders!$D976,products!$A$1:$A$49,0),MATCH(orders!L$1,products!$A$1:$G$1,0))</f>
        <v/>
      </c>
      <c r="M976" s="5">
        <f>L976*E976</f>
        <v/>
      </c>
      <c r="N976">
        <f>IF(I976="Rob","Robusta",IF(I976="Exc","Excelsa",IF(I976="Ara","Arabica",IF(I976="Lib","Liberica",""))))</f>
        <v/>
      </c>
      <c r="O976">
        <f>IF(J976="M","Medium",IF(J976="L","Light",IF(J976="D","Dark","")))</f>
        <v/>
      </c>
      <c r="P976">
        <f>_xlfn.XLOOKUP(Orders[[#This Row],[Customer ID]],customers!$A$1:$A$1001,customers!$I$1:$I$1001,,0)</f>
        <v/>
      </c>
    </row>
    <row r="977">
      <c r="A977" s="2" t="inlineStr">
        <is>
          <t>O7299</t>
        </is>
      </c>
      <c r="B977" s="3" t="inlineStr">
        <is>
          <t>2024-12-27</t>
        </is>
      </c>
      <c r="C977" s="2" t="inlineStr">
        <is>
          <t>O6095</t>
        </is>
      </c>
      <c r="D977" t="inlineStr">
        <is>
          <t>O6330</t>
        </is>
      </c>
      <c r="E977" s="2" t="n">
        <v>341</v>
      </c>
      <c r="F977" s="2">
        <f>_xlfn.XLOOKUP(C977,customers!$A$1:$A$1001,customers!$B$1:$B$1001,,0)</f>
        <v/>
      </c>
      <c r="G977" s="2">
        <f>IF(_xlfn.XLOOKUP(C977,customers!$A$1:$A$1001,customers!$C$1:$C$1001,,0)=0,"",_xlfn.XLOOKUP(C977,customers!$A$1:$A$1001,customers!$C$1:$C$1001,,0))</f>
        <v/>
      </c>
      <c r="H977" s="2">
        <f>_xlfn.XLOOKUP(C977,customers!$A$1:$A$1001,customers!$G$1:$G$1001,,0)</f>
        <v/>
      </c>
      <c r="I977">
        <f>INDEX(products!$A$1:$G$49,MATCH(orders!$D977,products!$A$1:$A$49,0),MATCH(orders!I$1,products!$A$1:$G$1,0))</f>
        <v/>
      </c>
      <c r="J977">
        <f>INDEX(products!$A$1:$G$49,MATCH(orders!$D977,products!$A$1:$A$49,0),MATCH(orders!J$1,products!$A$1:$G$1,0))</f>
        <v/>
      </c>
      <c r="K977" s="4">
        <f>INDEX(products!$A$1:$G$49,MATCH(orders!$D977,products!$A$1:$A$49,0),MATCH(orders!K$1,products!$A$1:$G$1,0))</f>
        <v/>
      </c>
      <c r="L977" s="5">
        <f>INDEX(products!$A$1:$G$49,MATCH(orders!$D977,products!$A$1:$A$49,0),MATCH(orders!L$1,products!$A$1:$G$1,0))</f>
        <v/>
      </c>
      <c r="M977" s="5">
        <f>L977*E977</f>
        <v/>
      </c>
      <c r="N977">
        <f>IF(I977="Rob","Robusta",IF(I977="Exc","Excelsa",IF(I977="Ara","Arabica",IF(I977="Lib","Liberica",""))))</f>
        <v/>
      </c>
      <c r="O977">
        <f>IF(J977="M","Medium",IF(J977="L","Light",IF(J977="D","Dark","")))</f>
        <v/>
      </c>
      <c r="P977">
        <f>_xlfn.XLOOKUP(Orders[[#This Row],[Customer ID]],customers!$A$1:$A$1001,customers!$I$1:$I$1001,,0)</f>
        <v/>
      </c>
    </row>
    <row r="978">
      <c r="A978" s="2" t="inlineStr">
        <is>
          <t>O4326</t>
        </is>
      </c>
      <c r="B978" s="3" t="inlineStr">
        <is>
          <t>2025-09-28</t>
        </is>
      </c>
      <c r="C978" s="2" t="inlineStr">
        <is>
          <t>O1011</t>
        </is>
      </c>
      <c r="D978" t="inlineStr">
        <is>
          <t>O7268</t>
        </is>
      </c>
      <c r="E978" s="2" t="n">
        <v>109</v>
      </c>
      <c r="F978" s="2">
        <f>_xlfn.XLOOKUP(C978,customers!$A$1:$A$1001,customers!$B$1:$B$1001,,0)</f>
        <v/>
      </c>
      <c r="G978" s="2">
        <f>IF(_xlfn.XLOOKUP(C978,customers!$A$1:$A$1001,customers!$C$1:$C$1001,,0)=0,"",_xlfn.XLOOKUP(C978,customers!$A$1:$A$1001,customers!$C$1:$C$1001,,0))</f>
        <v/>
      </c>
      <c r="H978" s="2">
        <f>_xlfn.XLOOKUP(C978,customers!$A$1:$A$1001,customers!$G$1:$G$1001,,0)</f>
        <v/>
      </c>
      <c r="I978">
        <f>INDEX(products!$A$1:$G$49,MATCH(orders!$D978,products!$A$1:$A$49,0),MATCH(orders!I$1,products!$A$1:$G$1,0))</f>
        <v/>
      </c>
      <c r="J978">
        <f>INDEX(products!$A$1:$G$49,MATCH(orders!$D978,products!$A$1:$A$49,0),MATCH(orders!J$1,products!$A$1:$G$1,0))</f>
        <v/>
      </c>
      <c r="K978" s="4">
        <f>INDEX(products!$A$1:$G$49,MATCH(orders!$D978,products!$A$1:$A$49,0),MATCH(orders!K$1,products!$A$1:$G$1,0))</f>
        <v/>
      </c>
      <c r="L978" s="5">
        <f>INDEX(products!$A$1:$G$49,MATCH(orders!$D978,products!$A$1:$A$49,0),MATCH(orders!L$1,products!$A$1:$G$1,0))</f>
        <v/>
      </c>
      <c r="M978" s="5">
        <f>L978*E978</f>
        <v/>
      </c>
      <c r="N978">
        <f>IF(I978="Rob","Robusta",IF(I978="Exc","Excelsa",IF(I978="Ara","Arabica",IF(I978="Lib","Liberica",""))))</f>
        <v/>
      </c>
      <c r="O978">
        <f>IF(J978="M","Medium",IF(J978="L","Light",IF(J978="D","Dark","")))</f>
        <v/>
      </c>
      <c r="P978">
        <f>_xlfn.XLOOKUP(Orders[[#This Row],[Customer ID]],customers!$A$1:$A$1001,customers!$I$1:$I$1001,,0)</f>
        <v/>
      </c>
    </row>
    <row r="979">
      <c r="A979" s="2" t="inlineStr">
        <is>
          <t>O7342</t>
        </is>
      </c>
      <c r="B979" s="3" t="inlineStr">
        <is>
          <t>2024-04-06</t>
        </is>
      </c>
      <c r="C979" s="2" t="inlineStr">
        <is>
          <t>O8221</t>
        </is>
      </c>
      <c r="D979" t="inlineStr">
        <is>
          <t>O5150</t>
        </is>
      </c>
      <c r="E979" s="2" t="n">
        <v>313</v>
      </c>
      <c r="F979" s="2">
        <f>_xlfn.XLOOKUP(C979,customers!$A$1:$A$1001,customers!$B$1:$B$1001,,0)</f>
        <v/>
      </c>
      <c r="G979" s="2">
        <f>IF(_xlfn.XLOOKUP(C979,customers!$A$1:$A$1001,customers!$C$1:$C$1001,,0)=0,"",_xlfn.XLOOKUP(C979,customers!$A$1:$A$1001,customers!$C$1:$C$1001,,0))</f>
        <v/>
      </c>
      <c r="H979" s="2">
        <f>_xlfn.XLOOKUP(C979,customers!$A$1:$A$1001,customers!$G$1:$G$1001,,0)</f>
        <v/>
      </c>
      <c r="I979">
        <f>INDEX(products!$A$1:$G$49,MATCH(orders!$D979,products!$A$1:$A$49,0),MATCH(orders!I$1,products!$A$1:$G$1,0))</f>
        <v/>
      </c>
      <c r="J979">
        <f>INDEX(products!$A$1:$G$49,MATCH(orders!$D979,products!$A$1:$A$49,0),MATCH(orders!J$1,products!$A$1:$G$1,0))</f>
        <v/>
      </c>
      <c r="K979" s="4">
        <f>INDEX(products!$A$1:$G$49,MATCH(orders!$D979,products!$A$1:$A$49,0),MATCH(orders!K$1,products!$A$1:$G$1,0))</f>
        <v/>
      </c>
      <c r="L979" s="5">
        <f>INDEX(products!$A$1:$G$49,MATCH(orders!$D979,products!$A$1:$A$49,0),MATCH(orders!L$1,products!$A$1:$G$1,0))</f>
        <v/>
      </c>
      <c r="M979" s="5">
        <f>L979*E979</f>
        <v/>
      </c>
      <c r="N979">
        <f>IF(I979="Rob","Robusta",IF(I979="Exc","Excelsa",IF(I979="Ara","Arabica",IF(I979="Lib","Liberica",""))))</f>
        <v/>
      </c>
      <c r="O979">
        <f>IF(J979="M","Medium",IF(J979="L","Light",IF(J979="D","Dark","")))</f>
        <v/>
      </c>
      <c r="P979">
        <f>_xlfn.XLOOKUP(Orders[[#This Row],[Customer ID]],customers!$A$1:$A$1001,customers!$I$1:$I$1001,,0)</f>
        <v/>
      </c>
    </row>
    <row r="980">
      <c r="A980" s="2" t="inlineStr">
        <is>
          <t>O3531</t>
        </is>
      </c>
      <c r="B980" s="3" t="inlineStr">
        <is>
          <t>2025-07-09</t>
        </is>
      </c>
      <c r="C980" s="2" t="inlineStr">
        <is>
          <t>O2576</t>
        </is>
      </c>
      <c r="D980" t="inlineStr">
        <is>
          <t>O5382</t>
        </is>
      </c>
      <c r="E980" s="2" t="n">
        <v>459</v>
      </c>
      <c r="F980" s="2">
        <f>_xlfn.XLOOKUP(C980,customers!$A$1:$A$1001,customers!$B$1:$B$1001,,0)</f>
        <v/>
      </c>
      <c r="G980" s="2">
        <f>IF(_xlfn.XLOOKUP(C980,customers!$A$1:$A$1001,customers!$C$1:$C$1001,,0)=0,"",_xlfn.XLOOKUP(C980,customers!$A$1:$A$1001,customers!$C$1:$C$1001,,0))</f>
        <v/>
      </c>
      <c r="H980" s="2">
        <f>_xlfn.XLOOKUP(C980,customers!$A$1:$A$1001,customers!$G$1:$G$1001,,0)</f>
        <v/>
      </c>
      <c r="I980">
        <f>INDEX(products!$A$1:$G$49,MATCH(orders!$D980,products!$A$1:$A$49,0),MATCH(orders!I$1,products!$A$1:$G$1,0))</f>
        <v/>
      </c>
      <c r="J980">
        <f>INDEX(products!$A$1:$G$49,MATCH(orders!$D980,products!$A$1:$A$49,0),MATCH(orders!J$1,products!$A$1:$G$1,0))</f>
        <v/>
      </c>
      <c r="K980" s="4">
        <f>INDEX(products!$A$1:$G$49,MATCH(orders!$D980,products!$A$1:$A$49,0),MATCH(orders!K$1,products!$A$1:$G$1,0))</f>
        <v/>
      </c>
      <c r="L980" s="5">
        <f>INDEX(products!$A$1:$G$49,MATCH(orders!$D980,products!$A$1:$A$49,0),MATCH(orders!L$1,products!$A$1:$G$1,0))</f>
        <v/>
      </c>
      <c r="M980" s="5">
        <f>L980*E980</f>
        <v/>
      </c>
      <c r="N980">
        <f>IF(I980="Rob","Robusta",IF(I980="Exc","Excelsa",IF(I980="Ara","Arabica",IF(I980="Lib","Liberica",""))))</f>
        <v/>
      </c>
      <c r="O980">
        <f>IF(J980="M","Medium",IF(J980="L","Light",IF(J980="D","Dark","")))</f>
        <v/>
      </c>
      <c r="P980">
        <f>_xlfn.XLOOKUP(Orders[[#This Row],[Customer ID]],customers!$A$1:$A$1001,customers!$I$1:$I$1001,,0)</f>
        <v/>
      </c>
    </row>
    <row r="981">
      <c r="A981" s="2" t="inlineStr">
        <is>
          <t>O4943</t>
        </is>
      </c>
      <c r="B981" s="3" t="inlineStr">
        <is>
          <t>2021-12-06</t>
        </is>
      </c>
      <c r="C981" s="2" t="inlineStr">
        <is>
          <t>O8795</t>
        </is>
      </c>
      <c r="D981" t="inlineStr">
        <is>
          <t>O9633</t>
        </is>
      </c>
      <c r="E981" s="2" t="n">
        <v>427</v>
      </c>
      <c r="F981" s="2">
        <f>_xlfn.XLOOKUP(C981,customers!$A$1:$A$1001,customers!$B$1:$B$1001,,0)</f>
        <v/>
      </c>
      <c r="G981" s="2">
        <f>IF(_xlfn.XLOOKUP(C981,customers!$A$1:$A$1001,customers!$C$1:$C$1001,,0)=0,"",_xlfn.XLOOKUP(C981,customers!$A$1:$A$1001,customers!$C$1:$C$1001,,0))</f>
        <v/>
      </c>
      <c r="H981" s="2">
        <f>_xlfn.XLOOKUP(C981,customers!$A$1:$A$1001,customers!$G$1:$G$1001,,0)</f>
        <v/>
      </c>
      <c r="I981">
        <f>INDEX(products!$A$1:$G$49,MATCH(orders!$D981,products!$A$1:$A$49,0),MATCH(orders!I$1,products!$A$1:$G$1,0))</f>
        <v/>
      </c>
      <c r="J981">
        <f>INDEX(products!$A$1:$G$49,MATCH(orders!$D981,products!$A$1:$A$49,0),MATCH(orders!J$1,products!$A$1:$G$1,0))</f>
        <v/>
      </c>
      <c r="K981" s="4">
        <f>INDEX(products!$A$1:$G$49,MATCH(orders!$D981,products!$A$1:$A$49,0),MATCH(orders!K$1,products!$A$1:$G$1,0))</f>
        <v/>
      </c>
      <c r="L981" s="5">
        <f>INDEX(products!$A$1:$G$49,MATCH(orders!$D981,products!$A$1:$A$49,0),MATCH(orders!L$1,products!$A$1:$G$1,0))</f>
        <v/>
      </c>
      <c r="M981" s="5">
        <f>L981*E981</f>
        <v/>
      </c>
      <c r="N981">
        <f>IF(I981="Rob","Robusta",IF(I981="Exc","Excelsa",IF(I981="Ara","Arabica",IF(I981="Lib","Liberica",""))))</f>
        <v/>
      </c>
      <c r="O981">
        <f>IF(J981="M","Medium",IF(J981="L","Light",IF(J981="D","Dark","")))</f>
        <v/>
      </c>
      <c r="P981">
        <f>_xlfn.XLOOKUP(Orders[[#This Row],[Customer ID]],customers!$A$1:$A$1001,customers!$I$1:$I$1001,,0)</f>
        <v/>
      </c>
    </row>
    <row r="982">
      <c r="A982" s="2" t="inlineStr">
        <is>
          <t>O4951</t>
        </is>
      </c>
      <c r="B982" s="3" t="inlineStr">
        <is>
          <t>2022-09-02</t>
        </is>
      </c>
      <c r="C982" s="2" t="inlineStr">
        <is>
          <t>O6375</t>
        </is>
      </c>
      <c r="D982" t="inlineStr">
        <is>
          <t>O8959</t>
        </is>
      </c>
      <c r="E982" s="2" t="n">
        <v>250</v>
      </c>
      <c r="F982" s="2">
        <f>_xlfn.XLOOKUP(C982,customers!$A$1:$A$1001,customers!$B$1:$B$1001,,0)</f>
        <v/>
      </c>
      <c r="G982" s="2">
        <f>IF(_xlfn.XLOOKUP(C982,customers!$A$1:$A$1001,customers!$C$1:$C$1001,,0)=0,"",_xlfn.XLOOKUP(C982,customers!$A$1:$A$1001,customers!$C$1:$C$1001,,0))</f>
        <v/>
      </c>
      <c r="H982" s="2">
        <f>_xlfn.XLOOKUP(C982,customers!$A$1:$A$1001,customers!$G$1:$G$1001,,0)</f>
        <v/>
      </c>
      <c r="I982">
        <f>INDEX(products!$A$1:$G$49,MATCH(orders!$D982,products!$A$1:$A$49,0),MATCH(orders!I$1,products!$A$1:$G$1,0))</f>
        <v/>
      </c>
      <c r="J982">
        <f>INDEX(products!$A$1:$G$49,MATCH(orders!$D982,products!$A$1:$A$49,0),MATCH(orders!J$1,products!$A$1:$G$1,0))</f>
        <v/>
      </c>
      <c r="K982" s="4">
        <f>INDEX(products!$A$1:$G$49,MATCH(orders!$D982,products!$A$1:$A$49,0),MATCH(orders!K$1,products!$A$1:$G$1,0))</f>
        <v/>
      </c>
      <c r="L982" s="5">
        <f>INDEX(products!$A$1:$G$49,MATCH(orders!$D982,products!$A$1:$A$49,0),MATCH(orders!L$1,products!$A$1:$G$1,0))</f>
        <v/>
      </c>
      <c r="M982" s="5">
        <f>L982*E982</f>
        <v/>
      </c>
      <c r="N982">
        <f>IF(I982="Rob","Robusta",IF(I982="Exc","Excelsa",IF(I982="Ara","Arabica",IF(I982="Lib","Liberica",""))))</f>
        <v/>
      </c>
      <c r="O982">
        <f>IF(J982="M","Medium",IF(J982="L","Light",IF(J982="D","Dark","")))</f>
        <v/>
      </c>
      <c r="P982">
        <f>_xlfn.XLOOKUP(Orders[[#This Row],[Customer ID]],customers!$A$1:$A$1001,customers!$I$1:$I$1001,,0)</f>
        <v/>
      </c>
    </row>
    <row r="983">
      <c r="A983" s="2" t="inlineStr">
        <is>
          <t>O1823</t>
        </is>
      </c>
      <c r="B983" s="3" t="inlineStr">
        <is>
          <t>2022-07-14</t>
        </is>
      </c>
      <c r="C983" s="2" t="inlineStr">
        <is>
          <t>O5105</t>
        </is>
      </c>
      <c r="D983" t="inlineStr">
        <is>
          <t>O5921</t>
        </is>
      </c>
      <c r="E983" s="2" t="n">
        <v>77</v>
      </c>
      <c r="F983" s="2">
        <f>_xlfn.XLOOKUP(C983,customers!$A$1:$A$1001,customers!$B$1:$B$1001,,0)</f>
        <v/>
      </c>
      <c r="G983" s="2">
        <f>IF(_xlfn.XLOOKUP(C983,customers!$A$1:$A$1001,customers!$C$1:$C$1001,,0)=0,"",_xlfn.XLOOKUP(C983,customers!$A$1:$A$1001,customers!$C$1:$C$1001,,0))</f>
        <v/>
      </c>
      <c r="H983" s="2">
        <f>_xlfn.XLOOKUP(C983,customers!$A$1:$A$1001,customers!$G$1:$G$1001,,0)</f>
        <v/>
      </c>
      <c r="I983">
        <f>INDEX(products!$A$1:$G$49,MATCH(orders!$D983,products!$A$1:$A$49,0),MATCH(orders!I$1,products!$A$1:$G$1,0))</f>
        <v/>
      </c>
      <c r="J983">
        <f>INDEX(products!$A$1:$G$49,MATCH(orders!$D983,products!$A$1:$A$49,0),MATCH(orders!J$1,products!$A$1:$G$1,0))</f>
        <v/>
      </c>
      <c r="K983" s="4">
        <f>INDEX(products!$A$1:$G$49,MATCH(orders!$D983,products!$A$1:$A$49,0),MATCH(orders!K$1,products!$A$1:$G$1,0))</f>
        <v/>
      </c>
      <c r="L983" s="5">
        <f>INDEX(products!$A$1:$G$49,MATCH(orders!$D983,products!$A$1:$A$49,0),MATCH(orders!L$1,products!$A$1:$G$1,0))</f>
        <v/>
      </c>
      <c r="M983" s="5">
        <f>L983*E983</f>
        <v/>
      </c>
      <c r="N983">
        <f>IF(I983="Rob","Robusta",IF(I983="Exc","Excelsa",IF(I983="Ara","Arabica",IF(I983="Lib","Liberica",""))))</f>
        <v/>
      </c>
      <c r="O983">
        <f>IF(J983="M","Medium",IF(J983="L","Light",IF(J983="D","Dark","")))</f>
        <v/>
      </c>
      <c r="P983">
        <f>_xlfn.XLOOKUP(Orders[[#This Row],[Customer ID]],customers!$A$1:$A$1001,customers!$I$1:$I$1001,,0)</f>
        <v/>
      </c>
    </row>
    <row r="984">
      <c r="A984" s="2" t="inlineStr">
        <is>
          <t>O8296</t>
        </is>
      </c>
      <c r="B984" s="3" t="inlineStr">
        <is>
          <t>2023-11-22</t>
        </is>
      </c>
      <c r="C984" s="2" t="inlineStr">
        <is>
          <t>O1400</t>
        </is>
      </c>
      <c r="D984" t="inlineStr">
        <is>
          <t>O4320</t>
        </is>
      </c>
      <c r="E984" s="2" t="n">
        <v>18</v>
      </c>
      <c r="F984" s="2">
        <f>_xlfn.XLOOKUP(C984,customers!$A$1:$A$1001,customers!$B$1:$B$1001,,0)</f>
        <v/>
      </c>
      <c r="G984" s="2">
        <f>IF(_xlfn.XLOOKUP(C984,customers!$A$1:$A$1001,customers!$C$1:$C$1001,,0)=0,"",_xlfn.XLOOKUP(C984,customers!$A$1:$A$1001,customers!$C$1:$C$1001,,0))</f>
        <v/>
      </c>
      <c r="H984" s="2">
        <f>_xlfn.XLOOKUP(C984,customers!$A$1:$A$1001,customers!$G$1:$G$1001,,0)</f>
        <v/>
      </c>
      <c r="I984">
        <f>INDEX(products!$A$1:$G$49,MATCH(orders!$D984,products!$A$1:$A$49,0),MATCH(orders!I$1,products!$A$1:$G$1,0))</f>
        <v/>
      </c>
      <c r="J984">
        <f>INDEX(products!$A$1:$G$49,MATCH(orders!$D984,products!$A$1:$A$49,0),MATCH(orders!J$1,products!$A$1:$G$1,0))</f>
        <v/>
      </c>
      <c r="K984" s="4">
        <f>INDEX(products!$A$1:$G$49,MATCH(orders!$D984,products!$A$1:$A$49,0),MATCH(orders!K$1,products!$A$1:$G$1,0))</f>
        <v/>
      </c>
      <c r="L984" s="5">
        <f>INDEX(products!$A$1:$G$49,MATCH(orders!$D984,products!$A$1:$A$49,0),MATCH(orders!L$1,products!$A$1:$G$1,0))</f>
        <v/>
      </c>
      <c r="M984" s="5">
        <f>L984*E984</f>
        <v/>
      </c>
      <c r="N984">
        <f>IF(I984="Rob","Robusta",IF(I984="Exc","Excelsa",IF(I984="Ara","Arabica",IF(I984="Lib","Liberica",""))))</f>
        <v/>
      </c>
      <c r="O984">
        <f>IF(J984="M","Medium",IF(J984="L","Light",IF(J984="D","Dark","")))</f>
        <v/>
      </c>
      <c r="P984">
        <f>_xlfn.XLOOKUP(Orders[[#This Row],[Customer ID]],customers!$A$1:$A$1001,customers!$I$1:$I$1001,,0)</f>
        <v/>
      </c>
    </row>
    <row r="985">
      <c r="A985" s="2" t="inlineStr">
        <is>
          <t>O3707</t>
        </is>
      </c>
      <c r="B985" s="3" t="inlineStr">
        <is>
          <t>2021-03-06</t>
        </is>
      </c>
      <c r="C985" s="2" t="inlineStr">
        <is>
          <t>O6689</t>
        </is>
      </c>
      <c r="D985" t="inlineStr">
        <is>
          <t>O6131</t>
        </is>
      </c>
      <c r="E985" s="2" t="n">
        <v>401</v>
      </c>
      <c r="F985" s="2">
        <f>_xlfn.XLOOKUP(C985,customers!$A$1:$A$1001,customers!$B$1:$B$1001,,0)</f>
        <v/>
      </c>
      <c r="G985" s="2">
        <f>IF(_xlfn.XLOOKUP(C985,customers!$A$1:$A$1001,customers!$C$1:$C$1001,,0)=0,"",_xlfn.XLOOKUP(C985,customers!$A$1:$A$1001,customers!$C$1:$C$1001,,0))</f>
        <v/>
      </c>
      <c r="H985" s="2">
        <f>_xlfn.XLOOKUP(C985,customers!$A$1:$A$1001,customers!$G$1:$G$1001,,0)</f>
        <v/>
      </c>
      <c r="I985">
        <f>INDEX(products!$A$1:$G$49,MATCH(orders!$D985,products!$A$1:$A$49,0),MATCH(orders!I$1,products!$A$1:$G$1,0))</f>
        <v/>
      </c>
      <c r="J985">
        <f>INDEX(products!$A$1:$G$49,MATCH(orders!$D985,products!$A$1:$A$49,0),MATCH(orders!J$1,products!$A$1:$G$1,0))</f>
        <v/>
      </c>
      <c r="K985" s="4">
        <f>INDEX(products!$A$1:$G$49,MATCH(orders!$D985,products!$A$1:$A$49,0),MATCH(orders!K$1,products!$A$1:$G$1,0))</f>
        <v/>
      </c>
      <c r="L985" s="5">
        <f>INDEX(products!$A$1:$G$49,MATCH(orders!$D985,products!$A$1:$A$49,0),MATCH(orders!L$1,products!$A$1:$G$1,0))</f>
        <v/>
      </c>
      <c r="M985" s="5">
        <f>L985*E985</f>
        <v/>
      </c>
      <c r="N985">
        <f>IF(I985="Rob","Robusta",IF(I985="Exc","Excelsa",IF(I985="Ara","Arabica",IF(I985="Lib","Liberica",""))))</f>
        <v/>
      </c>
      <c r="O985">
        <f>IF(J985="M","Medium",IF(J985="L","Light",IF(J985="D","Dark","")))</f>
        <v/>
      </c>
      <c r="P985">
        <f>_xlfn.XLOOKUP(Orders[[#This Row],[Customer ID]],customers!$A$1:$A$1001,customers!$I$1:$I$1001,,0)</f>
        <v/>
      </c>
    </row>
    <row r="986">
      <c r="A986" s="2" t="inlineStr">
        <is>
          <t>O8314</t>
        </is>
      </c>
      <c r="B986" s="3" t="inlineStr">
        <is>
          <t>2024-11-26</t>
        </is>
      </c>
      <c r="C986" s="2" t="inlineStr">
        <is>
          <t>O6102</t>
        </is>
      </c>
      <c r="D986" t="inlineStr">
        <is>
          <t>O9896</t>
        </is>
      </c>
      <c r="E986" s="2" t="n">
        <v>375</v>
      </c>
      <c r="F986" s="2">
        <f>_xlfn.XLOOKUP(C986,customers!$A$1:$A$1001,customers!$B$1:$B$1001,,0)</f>
        <v/>
      </c>
      <c r="G986" s="2">
        <f>IF(_xlfn.XLOOKUP(C986,customers!$A$1:$A$1001,customers!$C$1:$C$1001,,0)=0,"",_xlfn.XLOOKUP(C986,customers!$A$1:$A$1001,customers!$C$1:$C$1001,,0))</f>
        <v/>
      </c>
      <c r="H986" s="2">
        <f>_xlfn.XLOOKUP(C986,customers!$A$1:$A$1001,customers!$G$1:$G$1001,,0)</f>
        <v/>
      </c>
      <c r="I986">
        <f>INDEX(products!$A$1:$G$49,MATCH(orders!$D986,products!$A$1:$A$49,0),MATCH(orders!I$1,products!$A$1:$G$1,0))</f>
        <v/>
      </c>
      <c r="J986">
        <f>INDEX(products!$A$1:$G$49,MATCH(orders!$D986,products!$A$1:$A$49,0),MATCH(orders!J$1,products!$A$1:$G$1,0))</f>
        <v/>
      </c>
      <c r="K986" s="4">
        <f>INDEX(products!$A$1:$G$49,MATCH(orders!$D986,products!$A$1:$A$49,0),MATCH(orders!K$1,products!$A$1:$G$1,0))</f>
        <v/>
      </c>
      <c r="L986" s="5">
        <f>INDEX(products!$A$1:$G$49,MATCH(orders!$D986,products!$A$1:$A$49,0),MATCH(orders!L$1,products!$A$1:$G$1,0))</f>
        <v/>
      </c>
      <c r="M986" s="5">
        <f>L986*E986</f>
        <v/>
      </c>
      <c r="N986">
        <f>IF(I986="Rob","Robusta",IF(I986="Exc","Excelsa",IF(I986="Ara","Arabica",IF(I986="Lib","Liberica",""))))</f>
        <v/>
      </c>
      <c r="O986">
        <f>IF(J986="M","Medium",IF(J986="L","Light",IF(J986="D","Dark","")))</f>
        <v/>
      </c>
      <c r="P986">
        <f>_xlfn.XLOOKUP(Orders[[#This Row],[Customer ID]],customers!$A$1:$A$1001,customers!$I$1:$I$1001,,0)</f>
        <v/>
      </c>
    </row>
    <row r="987">
      <c r="A987" s="2" t="inlineStr">
        <is>
          <t>O6758</t>
        </is>
      </c>
      <c r="B987" s="3" t="inlineStr">
        <is>
          <t>2021-07-03</t>
        </is>
      </c>
      <c r="C987" s="2" t="inlineStr">
        <is>
          <t>O9596</t>
        </is>
      </c>
      <c r="D987" t="inlineStr">
        <is>
          <t>O8228</t>
        </is>
      </c>
      <c r="E987" s="2" t="n">
        <v>87</v>
      </c>
      <c r="F987" s="2">
        <f>_xlfn.XLOOKUP(C987,customers!$A$1:$A$1001,customers!$B$1:$B$1001,,0)</f>
        <v/>
      </c>
      <c r="G987" s="2">
        <f>IF(_xlfn.XLOOKUP(C987,customers!$A$1:$A$1001,customers!$C$1:$C$1001,,0)=0,"",_xlfn.XLOOKUP(C987,customers!$A$1:$A$1001,customers!$C$1:$C$1001,,0))</f>
        <v/>
      </c>
      <c r="H987" s="2">
        <f>_xlfn.XLOOKUP(C987,customers!$A$1:$A$1001,customers!$G$1:$G$1001,,0)</f>
        <v/>
      </c>
      <c r="I987">
        <f>INDEX(products!$A$1:$G$49,MATCH(orders!$D987,products!$A$1:$A$49,0),MATCH(orders!I$1,products!$A$1:$G$1,0))</f>
        <v/>
      </c>
      <c r="J987">
        <f>INDEX(products!$A$1:$G$49,MATCH(orders!$D987,products!$A$1:$A$49,0),MATCH(orders!J$1,products!$A$1:$G$1,0))</f>
        <v/>
      </c>
      <c r="K987" s="4">
        <f>INDEX(products!$A$1:$G$49,MATCH(orders!$D987,products!$A$1:$A$49,0),MATCH(orders!K$1,products!$A$1:$G$1,0))</f>
        <v/>
      </c>
      <c r="L987" s="5">
        <f>INDEX(products!$A$1:$G$49,MATCH(orders!$D987,products!$A$1:$A$49,0),MATCH(orders!L$1,products!$A$1:$G$1,0))</f>
        <v/>
      </c>
      <c r="M987" s="5">
        <f>L987*E987</f>
        <v/>
      </c>
      <c r="N987">
        <f>IF(I987="Rob","Robusta",IF(I987="Exc","Excelsa",IF(I987="Ara","Arabica",IF(I987="Lib","Liberica",""))))</f>
        <v/>
      </c>
      <c r="O987">
        <f>IF(J987="M","Medium",IF(J987="L","Light",IF(J987="D","Dark","")))</f>
        <v/>
      </c>
      <c r="P987">
        <f>_xlfn.XLOOKUP(Orders[[#This Row],[Customer ID]],customers!$A$1:$A$1001,customers!$I$1:$I$1001,,0)</f>
        <v/>
      </c>
    </row>
    <row r="988">
      <c r="A988" s="2" t="inlineStr">
        <is>
          <t>O5816</t>
        </is>
      </c>
      <c r="B988" s="3" t="inlineStr">
        <is>
          <t>2021-02-22</t>
        </is>
      </c>
      <c r="C988" s="2" t="inlineStr">
        <is>
          <t>O4225</t>
        </is>
      </c>
      <c r="D988" t="inlineStr">
        <is>
          <t>O1779</t>
        </is>
      </c>
      <c r="E988" s="2" t="n">
        <v>70</v>
      </c>
      <c r="F988" s="2">
        <f>_xlfn.XLOOKUP(C988,customers!$A$1:$A$1001,customers!$B$1:$B$1001,,0)</f>
        <v/>
      </c>
      <c r="G988" s="2">
        <f>IF(_xlfn.XLOOKUP(C988,customers!$A$1:$A$1001,customers!$C$1:$C$1001,,0)=0,"",_xlfn.XLOOKUP(C988,customers!$A$1:$A$1001,customers!$C$1:$C$1001,,0))</f>
        <v/>
      </c>
      <c r="H988" s="2">
        <f>_xlfn.XLOOKUP(C988,customers!$A$1:$A$1001,customers!$G$1:$G$1001,,0)</f>
        <v/>
      </c>
      <c r="I988">
        <f>INDEX(products!$A$1:$G$49,MATCH(orders!$D988,products!$A$1:$A$49,0),MATCH(orders!I$1,products!$A$1:$G$1,0))</f>
        <v/>
      </c>
      <c r="J988">
        <f>INDEX(products!$A$1:$G$49,MATCH(orders!$D988,products!$A$1:$A$49,0),MATCH(orders!J$1,products!$A$1:$G$1,0))</f>
        <v/>
      </c>
      <c r="K988" s="4">
        <f>INDEX(products!$A$1:$G$49,MATCH(orders!$D988,products!$A$1:$A$49,0),MATCH(orders!K$1,products!$A$1:$G$1,0))</f>
        <v/>
      </c>
      <c r="L988" s="5">
        <f>INDEX(products!$A$1:$G$49,MATCH(orders!$D988,products!$A$1:$A$49,0),MATCH(orders!L$1,products!$A$1:$G$1,0))</f>
        <v/>
      </c>
      <c r="M988" s="5">
        <f>L988*E988</f>
        <v/>
      </c>
      <c r="N988">
        <f>IF(I988="Rob","Robusta",IF(I988="Exc","Excelsa",IF(I988="Ara","Arabica",IF(I988="Lib","Liberica",""))))</f>
        <v/>
      </c>
      <c r="O988">
        <f>IF(J988="M","Medium",IF(J988="L","Light",IF(J988="D","Dark","")))</f>
        <v/>
      </c>
      <c r="P988">
        <f>_xlfn.XLOOKUP(Orders[[#This Row],[Customer ID]],customers!$A$1:$A$1001,customers!$I$1:$I$1001,,0)</f>
        <v/>
      </c>
    </row>
    <row r="989">
      <c r="A989" s="2" t="inlineStr">
        <is>
          <t>O7038</t>
        </is>
      </c>
      <c r="B989" s="3" t="inlineStr">
        <is>
          <t>2025-03-29</t>
        </is>
      </c>
      <c r="C989" s="2" t="inlineStr">
        <is>
          <t>O9486</t>
        </is>
      </c>
      <c r="D989" t="inlineStr">
        <is>
          <t>O3008</t>
        </is>
      </c>
      <c r="E989" s="2" t="n">
        <v>51</v>
      </c>
      <c r="F989" s="2">
        <f>_xlfn.XLOOKUP(C989,customers!$A$1:$A$1001,customers!$B$1:$B$1001,,0)</f>
        <v/>
      </c>
      <c r="G989" s="2">
        <f>IF(_xlfn.XLOOKUP(C989,customers!$A$1:$A$1001,customers!$C$1:$C$1001,,0)=0,"",_xlfn.XLOOKUP(C989,customers!$A$1:$A$1001,customers!$C$1:$C$1001,,0))</f>
        <v/>
      </c>
      <c r="H989" s="2">
        <f>_xlfn.XLOOKUP(C989,customers!$A$1:$A$1001,customers!$G$1:$G$1001,,0)</f>
        <v/>
      </c>
      <c r="I989">
        <f>INDEX(products!$A$1:$G$49,MATCH(orders!$D989,products!$A$1:$A$49,0),MATCH(orders!I$1,products!$A$1:$G$1,0))</f>
        <v/>
      </c>
      <c r="J989">
        <f>INDEX(products!$A$1:$G$49,MATCH(orders!$D989,products!$A$1:$A$49,0),MATCH(orders!J$1,products!$A$1:$G$1,0))</f>
        <v/>
      </c>
      <c r="K989" s="4">
        <f>INDEX(products!$A$1:$G$49,MATCH(orders!$D989,products!$A$1:$A$49,0),MATCH(orders!K$1,products!$A$1:$G$1,0))</f>
        <v/>
      </c>
      <c r="L989" s="5">
        <f>INDEX(products!$A$1:$G$49,MATCH(orders!$D989,products!$A$1:$A$49,0),MATCH(orders!L$1,products!$A$1:$G$1,0))</f>
        <v/>
      </c>
      <c r="M989" s="5">
        <f>L989*E989</f>
        <v/>
      </c>
      <c r="N989">
        <f>IF(I989="Rob","Robusta",IF(I989="Exc","Excelsa",IF(I989="Ara","Arabica",IF(I989="Lib","Liberica",""))))</f>
        <v/>
      </c>
      <c r="O989">
        <f>IF(J989="M","Medium",IF(J989="L","Light",IF(J989="D","Dark","")))</f>
        <v/>
      </c>
      <c r="P989">
        <f>_xlfn.XLOOKUP(Orders[[#This Row],[Customer ID]],customers!$A$1:$A$1001,customers!$I$1:$I$1001,,0)</f>
        <v/>
      </c>
    </row>
    <row r="990">
      <c r="A990" s="2" t="inlineStr">
        <is>
          <t>O3969</t>
        </is>
      </c>
      <c r="B990" s="3" t="inlineStr">
        <is>
          <t>2023-01-24</t>
        </is>
      </c>
      <c r="C990" s="2" t="inlineStr">
        <is>
          <t>O6268</t>
        </is>
      </c>
      <c r="D990" t="inlineStr">
        <is>
          <t>O1303</t>
        </is>
      </c>
      <c r="E990" s="2" t="n">
        <v>7</v>
      </c>
      <c r="F990" s="2">
        <f>_xlfn.XLOOKUP(C990,customers!$A$1:$A$1001,customers!$B$1:$B$1001,,0)</f>
        <v/>
      </c>
      <c r="G990" s="2">
        <f>IF(_xlfn.XLOOKUP(C990,customers!$A$1:$A$1001,customers!$C$1:$C$1001,,0)=0,"",_xlfn.XLOOKUP(C990,customers!$A$1:$A$1001,customers!$C$1:$C$1001,,0))</f>
        <v/>
      </c>
      <c r="H990" s="2">
        <f>_xlfn.XLOOKUP(C990,customers!$A$1:$A$1001,customers!$G$1:$G$1001,,0)</f>
        <v/>
      </c>
      <c r="I990">
        <f>INDEX(products!$A$1:$G$49,MATCH(orders!$D990,products!$A$1:$A$49,0),MATCH(orders!I$1,products!$A$1:$G$1,0))</f>
        <v/>
      </c>
      <c r="J990">
        <f>INDEX(products!$A$1:$G$49,MATCH(orders!$D990,products!$A$1:$A$49,0),MATCH(orders!J$1,products!$A$1:$G$1,0))</f>
        <v/>
      </c>
      <c r="K990" s="4">
        <f>INDEX(products!$A$1:$G$49,MATCH(orders!$D990,products!$A$1:$A$49,0),MATCH(orders!K$1,products!$A$1:$G$1,0))</f>
        <v/>
      </c>
      <c r="L990" s="5">
        <f>INDEX(products!$A$1:$G$49,MATCH(orders!$D990,products!$A$1:$A$49,0),MATCH(orders!L$1,products!$A$1:$G$1,0))</f>
        <v/>
      </c>
      <c r="M990" s="5">
        <f>L990*E990</f>
        <v/>
      </c>
      <c r="N990">
        <f>IF(I990="Rob","Robusta",IF(I990="Exc","Excelsa",IF(I990="Ara","Arabica",IF(I990="Lib","Liberica",""))))</f>
        <v/>
      </c>
      <c r="O990">
        <f>IF(J990="M","Medium",IF(J990="L","Light",IF(J990="D","Dark","")))</f>
        <v/>
      </c>
      <c r="P990">
        <f>_xlfn.XLOOKUP(Orders[[#This Row],[Customer ID]],customers!$A$1:$A$1001,customers!$I$1:$I$1001,,0)</f>
        <v/>
      </c>
    </row>
    <row r="991">
      <c r="A991" s="2" t="inlineStr">
        <is>
          <t>O3340</t>
        </is>
      </c>
      <c r="B991" s="3" t="inlineStr">
        <is>
          <t>2021-06-27</t>
        </is>
      </c>
      <c r="C991" s="2" t="inlineStr">
        <is>
          <t>O3842</t>
        </is>
      </c>
      <c r="D991" t="inlineStr">
        <is>
          <t>O7276</t>
        </is>
      </c>
      <c r="E991" s="2" t="n">
        <v>356</v>
      </c>
      <c r="F991" s="2">
        <f>_xlfn.XLOOKUP(C991,customers!$A$1:$A$1001,customers!$B$1:$B$1001,,0)</f>
        <v/>
      </c>
      <c r="G991" s="2">
        <f>IF(_xlfn.XLOOKUP(C991,customers!$A$1:$A$1001,customers!$C$1:$C$1001,,0)=0,"",_xlfn.XLOOKUP(C991,customers!$A$1:$A$1001,customers!$C$1:$C$1001,,0))</f>
        <v/>
      </c>
      <c r="H991" s="2">
        <f>_xlfn.XLOOKUP(C991,customers!$A$1:$A$1001,customers!$G$1:$G$1001,,0)</f>
        <v/>
      </c>
      <c r="I991">
        <f>INDEX(products!$A$1:$G$49,MATCH(orders!$D991,products!$A$1:$A$49,0),MATCH(orders!I$1,products!$A$1:$G$1,0))</f>
        <v/>
      </c>
      <c r="J991">
        <f>INDEX(products!$A$1:$G$49,MATCH(orders!$D991,products!$A$1:$A$49,0),MATCH(orders!J$1,products!$A$1:$G$1,0))</f>
        <v/>
      </c>
      <c r="K991" s="4">
        <f>INDEX(products!$A$1:$G$49,MATCH(orders!$D991,products!$A$1:$A$49,0),MATCH(orders!K$1,products!$A$1:$G$1,0))</f>
        <v/>
      </c>
      <c r="L991" s="5">
        <f>INDEX(products!$A$1:$G$49,MATCH(orders!$D991,products!$A$1:$A$49,0),MATCH(orders!L$1,products!$A$1:$G$1,0))</f>
        <v/>
      </c>
      <c r="M991" s="5">
        <f>L991*E991</f>
        <v/>
      </c>
      <c r="N991">
        <f>IF(I991="Rob","Robusta",IF(I991="Exc","Excelsa",IF(I991="Ara","Arabica",IF(I991="Lib","Liberica",""))))</f>
        <v/>
      </c>
      <c r="O991">
        <f>IF(J991="M","Medium",IF(J991="L","Light",IF(J991="D","Dark","")))</f>
        <v/>
      </c>
      <c r="P991">
        <f>_xlfn.XLOOKUP(Orders[[#This Row],[Customer ID]],customers!$A$1:$A$1001,customers!$I$1:$I$1001,,0)</f>
        <v/>
      </c>
    </row>
    <row r="992">
      <c r="A992" s="2" t="inlineStr">
        <is>
          <t>O8690</t>
        </is>
      </c>
      <c r="B992" s="3" t="inlineStr">
        <is>
          <t>2024-04-27</t>
        </is>
      </c>
      <c r="C992" s="2" t="inlineStr">
        <is>
          <t>O6184</t>
        </is>
      </c>
      <c r="D992" t="inlineStr">
        <is>
          <t>O8024</t>
        </is>
      </c>
      <c r="E992" s="2" t="n">
        <v>368</v>
      </c>
      <c r="F992" s="2">
        <f>_xlfn.XLOOKUP(C992,customers!$A$1:$A$1001,customers!$B$1:$B$1001,,0)</f>
        <v/>
      </c>
      <c r="G992" s="2">
        <f>IF(_xlfn.XLOOKUP(C992,customers!$A$1:$A$1001,customers!$C$1:$C$1001,,0)=0,"",_xlfn.XLOOKUP(C992,customers!$A$1:$A$1001,customers!$C$1:$C$1001,,0))</f>
        <v/>
      </c>
      <c r="H992" s="2">
        <f>_xlfn.XLOOKUP(C992,customers!$A$1:$A$1001,customers!$G$1:$G$1001,,0)</f>
        <v/>
      </c>
      <c r="I992">
        <f>INDEX(products!$A$1:$G$49,MATCH(orders!$D992,products!$A$1:$A$49,0),MATCH(orders!I$1,products!$A$1:$G$1,0))</f>
        <v/>
      </c>
      <c r="J992">
        <f>INDEX(products!$A$1:$G$49,MATCH(orders!$D992,products!$A$1:$A$49,0),MATCH(orders!J$1,products!$A$1:$G$1,0))</f>
        <v/>
      </c>
      <c r="K992" s="4">
        <f>INDEX(products!$A$1:$G$49,MATCH(orders!$D992,products!$A$1:$A$49,0),MATCH(orders!K$1,products!$A$1:$G$1,0))</f>
        <v/>
      </c>
      <c r="L992" s="5">
        <f>INDEX(products!$A$1:$G$49,MATCH(orders!$D992,products!$A$1:$A$49,0),MATCH(orders!L$1,products!$A$1:$G$1,0))</f>
        <v/>
      </c>
      <c r="M992" s="5">
        <f>L992*E992</f>
        <v/>
      </c>
      <c r="N992">
        <f>IF(I992="Rob","Robusta",IF(I992="Exc","Excelsa",IF(I992="Ara","Arabica",IF(I992="Lib","Liberica",""))))</f>
        <v/>
      </c>
      <c r="O992">
        <f>IF(J992="M","Medium",IF(J992="L","Light",IF(J992="D","Dark","")))</f>
        <v/>
      </c>
      <c r="P992">
        <f>_xlfn.XLOOKUP(Orders[[#This Row],[Customer ID]],customers!$A$1:$A$1001,customers!$I$1:$I$1001,,0)</f>
        <v/>
      </c>
    </row>
    <row r="993">
      <c r="A993" s="2" t="inlineStr">
        <is>
          <t>O8686</t>
        </is>
      </c>
      <c r="B993" s="3" t="inlineStr">
        <is>
          <t>2024-10-27</t>
        </is>
      </c>
      <c r="C993" s="2" t="inlineStr">
        <is>
          <t>O3288</t>
        </is>
      </c>
      <c r="D993" t="inlineStr">
        <is>
          <t>O3166</t>
        </is>
      </c>
      <c r="E993" s="2" t="n">
        <v>500</v>
      </c>
      <c r="F993" s="2">
        <f>_xlfn.XLOOKUP(C993,customers!$A$1:$A$1001,customers!$B$1:$B$1001,,0)</f>
        <v/>
      </c>
      <c r="G993" s="2">
        <f>IF(_xlfn.XLOOKUP(C993,customers!$A$1:$A$1001,customers!$C$1:$C$1001,,0)=0,"",_xlfn.XLOOKUP(C993,customers!$A$1:$A$1001,customers!$C$1:$C$1001,,0))</f>
        <v/>
      </c>
      <c r="H993" s="2">
        <f>_xlfn.XLOOKUP(C993,customers!$A$1:$A$1001,customers!$G$1:$G$1001,,0)</f>
        <v/>
      </c>
      <c r="I993">
        <f>INDEX(products!$A$1:$G$49,MATCH(orders!$D993,products!$A$1:$A$49,0),MATCH(orders!I$1,products!$A$1:$G$1,0))</f>
        <v/>
      </c>
      <c r="J993">
        <f>INDEX(products!$A$1:$G$49,MATCH(orders!$D993,products!$A$1:$A$49,0),MATCH(orders!J$1,products!$A$1:$G$1,0))</f>
        <v/>
      </c>
      <c r="K993" s="4">
        <f>INDEX(products!$A$1:$G$49,MATCH(orders!$D993,products!$A$1:$A$49,0),MATCH(orders!K$1,products!$A$1:$G$1,0))</f>
        <v/>
      </c>
      <c r="L993" s="5">
        <f>INDEX(products!$A$1:$G$49,MATCH(orders!$D993,products!$A$1:$A$49,0),MATCH(orders!L$1,products!$A$1:$G$1,0))</f>
        <v/>
      </c>
      <c r="M993" s="5">
        <f>L993*E993</f>
        <v/>
      </c>
      <c r="N993">
        <f>IF(I993="Rob","Robusta",IF(I993="Exc","Excelsa",IF(I993="Ara","Arabica",IF(I993="Lib","Liberica",""))))</f>
        <v/>
      </c>
      <c r="O993">
        <f>IF(J993="M","Medium",IF(J993="L","Light",IF(J993="D","Dark","")))</f>
        <v/>
      </c>
      <c r="P993">
        <f>_xlfn.XLOOKUP(Orders[[#This Row],[Customer ID]],customers!$A$1:$A$1001,customers!$I$1:$I$1001,,0)</f>
        <v/>
      </c>
    </row>
    <row r="994">
      <c r="A994" s="2" t="inlineStr">
        <is>
          <t>O5857</t>
        </is>
      </c>
      <c r="B994" s="3" t="inlineStr">
        <is>
          <t>2021-05-17</t>
        </is>
      </c>
      <c r="C994" s="2" t="inlineStr">
        <is>
          <t>O4037</t>
        </is>
      </c>
      <c r="D994" t="inlineStr">
        <is>
          <t>O8187</t>
        </is>
      </c>
      <c r="E994" s="2" t="n">
        <v>441</v>
      </c>
      <c r="F994" s="2">
        <f>_xlfn.XLOOKUP(C994,customers!$A$1:$A$1001,customers!$B$1:$B$1001,,0)</f>
        <v/>
      </c>
      <c r="G994" s="2">
        <f>IF(_xlfn.XLOOKUP(C994,customers!$A$1:$A$1001,customers!$C$1:$C$1001,,0)=0,"",_xlfn.XLOOKUP(C994,customers!$A$1:$A$1001,customers!$C$1:$C$1001,,0))</f>
        <v/>
      </c>
      <c r="H994" s="2">
        <f>_xlfn.XLOOKUP(C994,customers!$A$1:$A$1001,customers!$G$1:$G$1001,,0)</f>
        <v/>
      </c>
      <c r="I994">
        <f>INDEX(products!$A$1:$G$49,MATCH(orders!$D994,products!$A$1:$A$49,0),MATCH(orders!I$1,products!$A$1:$G$1,0))</f>
        <v/>
      </c>
      <c r="J994">
        <f>INDEX(products!$A$1:$G$49,MATCH(orders!$D994,products!$A$1:$A$49,0),MATCH(orders!J$1,products!$A$1:$G$1,0))</f>
        <v/>
      </c>
      <c r="K994" s="4">
        <f>INDEX(products!$A$1:$G$49,MATCH(orders!$D994,products!$A$1:$A$49,0),MATCH(orders!K$1,products!$A$1:$G$1,0))</f>
        <v/>
      </c>
      <c r="L994" s="5">
        <f>INDEX(products!$A$1:$G$49,MATCH(orders!$D994,products!$A$1:$A$49,0),MATCH(orders!L$1,products!$A$1:$G$1,0))</f>
        <v/>
      </c>
      <c r="M994" s="5">
        <f>L994*E994</f>
        <v/>
      </c>
      <c r="N994">
        <f>IF(I994="Rob","Robusta",IF(I994="Exc","Excelsa",IF(I994="Ara","Arabica",IF(I994="Lib","Liberica",""))))</f>
        <v/>
      </c>
      <c r="O994">
        <f>IF(J994="M","Medium",IF(J994="L","Light",IF(J994="D","Dark","")))</f>
        <v/>
      </c>
      <c r="P994">
        <f>_xlfn.XLOOKUP(Orders[[#This Row],[Customer ID]],customers!$A$1:$A$1001,customers!$I$1:$I$1001,,0)</f>
        <v/>
      </c>
    </row>
    <row r="995">
      <c r="A995" s="2" t="inlineStr">
        <is>
          <t>O6469</t>
        </is>
      </c>
      <c r="B995" s="3" t="inlineStr">
        <is>
          <t>2023-01-31</t>
        </is>
      </c>
      <c r="C995" s="2" t="inlineStr">
        <is>
          <t>O3309</t>
        </is>
      </c>
      <c r="D995" t="inlineStr">
        <is>
          <t>O9144</t>
        </is>
      </c>
      <c r="E995" s="2" t="n">
        <v>400</v>
      </c>
      <c r="F995" s="2">
        <f>_xlfn.XLOOKUP(C995,customers!$A$1:$A$1001,customers!$B$1:$B$1001,,0)</f>
        <v/>
      </c>
      <c r="G995" s="2">
        <f>IF(_xlfn.XLOOKUP(C995,customers!$A$1:$A$1001,customers!$C$1:$C$1001,,0)=0,"",_xlfn.XLOOKUP(C995,customers!$A$1:$A$1001,customers!$C$1:$C$1001,,0))</f>
        <v/>
      </c>
      <c r="H995" s="2">
        <f>_xlfn.XLOOKUP(C995,customers!$A$1:$A$1001,customers!$G$1:$G$1001,,0)</f>
        <v/>
      </c>
      <c r="I995">
        <f>INDEX(products!$A$1:$G$49,MATCH(orders!$D995,products!$A$1:$A$49,0),MATCH(orders!I$1,products!$A$1:$G$1,0))</f>
        <v/>
      </c>
      <c r="J995">
        <f>INDEX(products!$A$1:$G$49,MATCH(orders!$D995,products!$A$1:$A$49,0),MATCH(orders!J$1,products!$A$1:$G$1,0))</f>
        <v/>
      </c>
      <c r="K995" s="4">
        <f>INDEX(products!$A$1:$G$49,MATCH(orders!$D995,products!$A$1:$A$49,0),MATCH(orders!K$1,products!$A$1:$G$1,0))</f>
        <v/>
      </c>
      <c r="L995" s="5">
        <f>INDEX(products!$A$1:$G$49,MATCH(orders!$D995,products!$A$1:$A$49,0),MATCH(orders!L$1,products!$A$1:$G$1,0))</f>
        <v/>
      </c>
      <c r="M995" s="5">
        <f>L995*E995</f>
        <v/>
      </c>
      <c r="N995">
        <f>IF(I995="Rob","Robusta",IF(I995="Exc","Excelsa",IF(I995="Ara","Arabica",IF(I995="Lib","Liberica",""))))</f>
        <v/>
      </c>
      <c r="O995">
        <f>IF(J995="M","Medium",IF(J995="L","Light",IF(J995="D","Dark","")))</f>
        <v/>
      </c>
      <c r="P995">
        <f>_xlfn.XLOOKUP(Orders[[#This Row],[Customer ID]],customers!$A$1:$A$1001,customers!$I$1:$I$1001,,0)</f>
        <v/>
      </c>
    </row>
    <row r="996">
      <c r="A996" s="2" t="inlineStr">
        <is>
          <t>O4130</t>
        </is>
      </c>
      <c r="B996" s="3" t="inlineStr">
        <is>
          <t>2022-08-21</t>
        </is>
      </c>
      <c r="C996" s="2" t="inlineStr">
        <is>
          <t>O5654</t>
        </is>
      </c>
      <c r="D996" t="inlineStr">
        <is>
          <t>O9383</t>
        </is>
      </c>
      <c r="E996" s="2" t="n">
        <v>221</v>
      </c>
      <c r="F996" s="2">
        <f>_xlfn.XLOOKUP(C996,customers!$A$1:$A$1001,customers!$B$1:$B$1001,,0)</f>
        <v/>
      </c>
      <c r="G996" s="2">
        <f>IF(_xlfn.XLOOKUP(C996,customers!$A$1:$A$1001,customers!$C$1:$C$1001,,0)=0,"",_xlfn.XLOOKUP(C996,customers!$A$1:$A$1001,customers!$C$1:$C$1001,,0))</f>
        <v/>
      </c>
      <c r="H996" s="2">
        <f>_xlfn.XLOOKUP(C996,customers!$A$1:$A$1001,customers!$G$1:$G$1001,,0)</f>
        <v/>
      </c>
      <c r="I996">
        <f>INDEX(products!$A$1:$G$49,MATCH(orders!$D996,products!$A$1:$A$49,0),MATCH(orders!I$1,products!$A$1:$G$1,0))</f>
        <v/>
      </c>
      <c r="J996">
        <f>INDEX(products!$A$1:$G$49,MATCH(orders!$D996,products!$A$1:$A$49,0),MATCH(orders!J$1,products!$A$1:$G$1,0))</f>
        <v/>
      </c>
      <c r="K996" s="4">
        <f>INDEX(products!$A$1:$G$49,MATCH(orders!$D996,products!$A$1:$A$49,0),MATCH(orders!K$1,products!$A$1:$G$1,0))</f>
        <v/>
      </c>
      <c r="L996" s="5">
        <f>INDEX(products!$A$1:$G$49,MATCH(orders!$D996,products!$A$1:$A$49,0),MATCH(orders!L$1,products!$A$1:$G$1,0))</f>
        <v/>
      </c>
      <c r="M996" s="5">
        <f>L996*E996</f>
        <v/>
      </c>
      <c r="N996">
        <f>IF(I996="Rob","Robusta",IF(I996="Exc","Excelsa",IF(I996="Ara","Arabica",IF(I996="Lib","Liberica",""))))</f>
        <v/>
      </c>
      <c r="O996">
        <f>IF(J996="M","Medium",IF(J996="L","Light",IF(J996="D","Dark","")))</f>
        <v/>
      </c>
      <c r="P996">
        <f>_xlfn.XLOOKUP(Orders[[#This Row],[Customer ID]],customers!$A$1:$A$1001,customers!$I$1:$I$1001,,0)</f>
        <v/>
      </c>
    </row>
    <row r="997">
      <c r="A997" s="2" t="inlineStr">
        <is>
          <t>O4561</t>
        </is>
      </c>
      <c r="B997" s="3" t="inlineStr">
        <is>
          <t>2022-03-26</t>
        </is>
      </c>
      <c r="C997" s="2" t="inlineStr">
        <is>
          <t>O2705</t>
        </is>
      </c>
      <c r="D997" t="inlineStr">
        <is>
          <t>O2703</t>
        </is>
      </c>
      <c r="E997" s="2" t="n">
        <v>277</v>
      </c>
      <c r="F997" s="2">
        <f>_xlfn.XLOOKUP(C997,customers!$A$1:$A$1001,customers!$B$1:$B$1001,,0)</f>
        <v/>
      </c>
      <c r="G997" s="2">
        <f>IF(_xlfn.XLOOKUP(C997,customers!$A$1:$A$1001,customers!$C$1:$C$1001,,0)=0,"",_xlfn.XLOOKUP(C997,customers!$A$1:$A$1001,customers!$C$1:$C$1001,,0))</f>
        <v/>
      </c>
      <c r="H997" s="2">
        <f>_xlfn.XLOOKUP(C997,customers!$A$1:$A$1001,customers!$G$1:$G$1001,,0)</f>
        <v/>
      </c>
      <c r="I997">
        <f>INDEX(products!$A$1:$G$49,MATCH(orders!$D997,products!$A$1:$A$49,0),MATCH(orders!I$1,products!$A$1:$G$1,0))</f>
        <v/>
      </c>
      <c r="J997">
        <f>INDEX(products!$A$1:$G$49,MATCH(orders!$D997,products!$A$1:$A$49,0),MATCH(orders!J$1,products!$A$1:$G$1,0))</f>
        <v/>
      </c>
      <c r="K997" s="4">
        <f>INDEX(products!$A$1:$G$49,MATCH(orders!$D997,products!$A$1:$A$49,0),MATCH(orders!K$1,products!$A$1:$G$1,0))</f>
        <v/>
      </c>
      <c r="L997" s="5">
        <f>INDEX(products!$A$1:$G$49,MATCH(orders!$D997,products!$A$1:$A$49,0),MATCH(orders!L$1,products!$A$1:$G$1,0))</f>
        <v/>
      </c>
      <c r="M997" s="5">
        <f>L997*E997</f>
        <v/>
      </c>
      <c r="N997">
        <f>IF(I997="Rob","Robusta",IF(I997="Exc","Excelsa",IF(I997="Ara","Arabica",IF(I997="Lib","Liberica",""))))</f>
        <v/>
      </c>
      <c r="O997">
        <f>IF(J997="M","Medium",IF(J997="L","Light",IF(J997="D","Dark","")))</f>
        <v/>
      </c>
      <c r="P997">
        <f>_xlfn.XLOOKUP(Orders[[#This Row],[Customer ID]],customers!$A$1:$A$1001,customers!$I$1:$I$1001,,0)</f>
        <v/>
      </c>
    </row>
    <row r="998">
      <c r="A998" s="2" t="inlineStr">
        <is>
          <t>O4543</t>
        </is>
      </c>
      <c r="B998" s="3" t="inlineStr">
        <is>
          <t>2024-07-06</t>
        </is>
      </c>
      <c r="C998" s="2" t="inlineStr">
        <is>
          <t>O4768</t>
        </is>
      </c>
      <c r="D998" t="inlineStr">
        <is>
          <t>O5618</t>
        </is>
      </c>
      <c r="E998" s="2" t="n">
        <v>26</v>
      </c>
      <c r="F998" s="2">
        <f>_xlfn.XLOOKUP(C998,customers!$A$1:$A$1001,customers!$B$1:$B$1001,,0)</f>
        <v/>
      </c>
      <c r="G998" s="2">
        <f>IF(_xlfn.XLOOKUP(C998,customers!$A$1:$A$1001,customers!$C$1:$C$1001,,0)=0,"",_xlfn.XLOOKUP(C998,customers!$A$1:$A$1001,customers!$C$1:$C$1001,,0))</f>
        <v/>
      </c>
      <c r="H998" s="2">
        <f>_xlfn.XLOOKUP(C998,customers!$A$1:$A$1001,customers!$G$1:$G$1001,,0)</f>
        <v/>
      </c>
      <c r="I998">
        <f>INDEX(products!$A$1:$G$49,MATCH(orders!$D998,products!$A$1:$A$49,0),MATCH(orders!I$1,products!$A$1:$G$1,0))</f>
        <v/>
      </c>
      <c r="J998">
        <f>INDEX(products!$A$1:$G$49,MATCH(orders!$D998,products!$A$1:$A$49,0),MATCH(orders!J$1,products!$A$1:$G$1,0))</f>
        <v/>
      </c>
      <c r="K998" s="4">
        <f>INDEX(products!$A$1:$G$49,MATCH(orders!$D998,products!$A$1:$A$49,0),MATCH(orders!K$1,products!$A$1:$G$1,0))</f>
        <v/>
      </c>
      <c r="L998" s="5">
        <f>INDEX(products!$A$1:$G$49,MATCH(orders!$D998,products!$A$1:$A$49,0),MATCH(orders!L$1,products!$A$1:$G$1,0))</f>
        <v/>
      </c>
      <c r="M998" s="5">
        <f>L998*E998</f>
        <v/>
      </c>
      <c r="N998">
        <f>IF(I998="Rob","Robusta",IF(I998="Exc","Excelsa",IF(I998="Ara","Arabica",IF(I998="Lib","Liberica",""))))</f>
        <v/>
      </c>
      <c r="O998">
        <f>IF(J998="M","Medium",IF(J998="L","Light",IF(J998="D","Dark","")))</f>
        <v/>
      </c>
      <c r="P998">
        <f>_xlfn.XLOOKUP(Orders[[#This Row],[Customer ID]],customers!$A$1:$A$1001,customers!$I$1:$I$1001,,0)</f>
        <v/>
      </c>
    </row>
    <row r="999">
      <c r="A999" s="2" t="inlineStr">
        <is>
          <t>O9454</t>
        </is>
      </c>
      <c r="B999" s="3" t="inlineStr">
        <is>
          <t>2024-12-04</t>
        </is>
      </c>
      <c r="C999" s="2" t="inlineStr">
        <is>
          <t>O5225</t>
        </is>
      </c>
      <c r="D999" t="inlineStr">
        <is>
          <t>O8631</t>
        </is>
      </c>
      <c r="E999" s="2" t="n">
        <v>280</v>
      </c>
      <c r="F999" s="2">
        <f>_xlfn.XLOOKUP(C999,customers!$A$1:$A$1001,customers!$B$1:$B$1001,,0)</f>
        <v/>
      </c>
      <c r="G999" s="2">
        <f>IF(_xlfn.XLOOKUP(C999,customers!$A$1:$A$1001,customers!$C$1:$C$1001,,0)=0,"",_xlfn.XLOOKUP(C999,customers!$A$1:$A$1001,customers!$C$1:$C$1001,,0))</f>
        <v/>
      </c>
      <c r="H999" s="2">
        <f>_xlfn.XLOOKUP(C999,customers!$A$1:$A$1001,customers!$G$1:$G$1001,,0)</f>
        <v/>
      </c>
      <c r="I999">
        <f>INDEX(products!$A$1:$G$49,MATCH(orders!$D999,products!$A$1:$A$49,0),MATCH(orders!I$1,products!$A$1:$G$1,0))</f>
        <v/>
      </c>
      <c r="J999">
        <f>INDEX(products!$A$1:$G$49,MATCH(orders!$D999,products!$A$1:$A$49,0),MATCH(orders!J$1,products!$A$1:$G$1,0))</f>
        <v/>
      </c>
      <c r="K999" s="4">
        <f>INDEX(products!$A$1:$G$49,MATCH(orders!$D999,products!$A$1:$A$49,0),MATCH(orders!K$1,products!$A$1:$G$1,0))</f>
        <v/>
      </c>
      <c r="L999" s="5">
        <f>INDEX(products!$A$1:$G$49,MATCH(orders!$D999,products!$A$1:$A$49,0),MATCH(orders!L$1,products!$A$1:$G$1,0))</f>
        <v/>
      </c>
      <c r="M999" s="5">
        <f>L999*E999</f>
        <v/>
      </c>
      <c r="N999">
        <f>IF(I999="Rob","Robusta",IF(I999="Exc","Excelsa",IF(I999="Ara","Arabica",IF(I999="Lib","Liberica",""))))</f>
        <v/>
      </c>
      <c r="O999">
        <f>IF(J999="M","Medium",IF(J999="L","Light",IF(J999="D","Dark","")))</f>
        <v/>
      </c>
      <c r="P999">
        <f>_xlfn.XLOOKUP(Orders[[#This Row],[Customer ID]],customers!$A$1:$A$1001,customers!$I$1:$I$1001,,0)</f>
        <v/>
      </c>
    </row>
    <row r="1000">
      <c r="A1000" s="2" t="inlineStr">
        <is>
          <t>O8562</t>
        </is>
      </c>
      <c r="B1000" s="3" t="inlineStr">
        <is>
          <t>2022-02-19</t>
        </is>
      </c>
      <c r="C1000" s="2" t="inlineStr">
        <is>
          <t>O7683</t>
        </is>
      </c>
      <c r="D1000" t="inlineStr">
        <is>
          <t>O8199</t>
        </is>
      </c>
      <c r="E1000" s="2" t="n">
        <v>59</v>
      </c>
      <c r="F1000" s="2">
        <f>_xlfn.XLOOKUP(C1000,customers!$A$1:$A$1001,customers!$B$1:$B$1001,,0)</f>
        <v/>
      </c>
      <c r="G1000" s="2">
        <f>IF(_xlfn.XLOOKUP(C1000,customers!$A$1:$A$1001,customers!$C$1:$C$1001,,0)=0,"",_xlfn.XLOOKUP(C1000,customers!$A$1:$A$1001,customers!$C$1:$C$1001,,0))</f>
        <v/>
      </c>
      <c r="H1000" s="2">
        <f>_xlfn.XLOOKUP(C1000,customers!$A$1:$A$1001,customers!$G$1:$G$1001,,0)</f>
        <v/>
      </c>
      <c r="I1000">
        <f>INDEX(products!$A$1:$G$49,MATCH(orders!$D1000,products!$A$1:$A$49,0),MATCH(orders!I$1,products!$A$1:$G$1,0))</f>
        <v/>
      </c>
      <c r="J1000">
        <f>INDEX(products!$A$1:$G$49,MATCH(orders!$D1000,products!$A$1:$A$49,0),MATCH(orders!J$1,products!$A$1:$G$1,0))</f>
        <v/>
      </c>
      <c r="K1000" s="4">
        <f>INDEX(products!$A$1:$G$49,MATCH(orders!$D1000,products!$A$1:$A$49,0),MATCH(orders!K$1,products!$A$1:$G$1,0))</f>
        <v/>
      </c>
      <c r="L1000" s="5">
        <f>INDEX(products!$A$1:$G$49,MATCH(orders!$D1000,products!$A$1:$A$49,0),MATCH(orders!L$1,products!$A$1:$G$1,0))</f>
        <v/>
      </c>
      <c r="M1000" s="5">
        <f>L1000*E1000</f>
        <v/>
      </c>
      <c r="N1000">
        <f>IF(I1000="Rob","Robusta",IF(I1000="Exc","Excelsa",IF(I1000="Ara","Arabica",IF(I1000="Lib","Liberica",""))))</f>
        <v/>
      </c>
      <c r="O1000">
        <f>IF(J1000="M","Medium",IF(J1000="L","Light",IF(J1000="D","Dark","")))</f>
        <v/>
      </c>
      <c r="P1000">
        <f>_xlfn.XLOOKUP(Orders[[#This Row],[Customer ID]],customers!$A$1:$A$1001,customers!$I$1:$I$1001,,0)</f>
        <v/>
      </c>
    </row>
    <row r="1001">
      <c r="A1001" s="2" t="inlineStr">
        <is>
          <t>O2697</t>
        </is>
      </c>
      <c r="B1001" s="3" t="inlineStr">
        <is>
          <t>2025-04-15</t>
        </is>
      </c>
      <c r="C1001" s="2" t="inlineStr">
        <is>
          <t>O3637</t>
        </is>
      </c>
      <c r="D1001" t="inlineStr">
        <is>
          <t>O1270</t>
        </is>
      </c>
      <c r="E1001" s="2" t="n">
        <v>419</v>
      </c>
      <c r="F1001" s="2">
        <f>_xlfn.XLOOKUP(C1001,customers!$A$1:$A$1001,customers!$B$1:$B$1001,,0)</f>
        <v/>
      </c>
      <c r="G1001" s="2">
        <f>IF(_xlfn.XLOOKUP(C1001,customers!$A$1:$A$1001,customers!$C$1:$C$1001,,0)=0,"",_xlfn.XLOOKUP(C1001,customers!$A$1:$A$1001,customers!$C$1:$C$1001,,0))</f>
        <v/>
      </c>
      <c r="H1001" s="2">
        <f>_xlfn.XLOOKUP(C1001,customers!$A$1:$A$1001,customers!$G$1:$G$1001,,0)</f>
        <v/>
      </c>
      <c r="I1001">
        <f>INDEX(products!$A$1:$G$49,MATCH(orders!$D1001,products!$A$1:$A$49,0),MATCH(orders!I$1,products!$A$1:$G$1,0))</f>
        <v/>
      </c>
      <c r="J1001">
        <f>INDEX(products!$A$1:$G$49,MATCH(orders!$D1001,products!$A$1:$A$49,0),MATCH(orders!J$1,products!$A$1:$G$1,0))</f>
        <v/>
      </c>
      <c r="K1001" s="4">
        <f>INDEX(products!$A$1:$G$49,MATCH(orders!$D1001,products!$A$1:$A$49,0),MATCH(orders!K$1,products!$A$1:$G$1,0))</f>
        <v/>
      </c>
      <c r="L1001" s="5">
        <f>INDEX(products!$A$1:$G$49,MATCH(orders!$D1001,products!$A$1:$A$49,0),MATCH(orders!L$1,products!$A$1:$G$1,0))</f>
        <v/>
      </c>
      <c r="M1001" s="5">
        <f>L1001*E1001</f>
        <v/>
      </c>
      <c r="N1001">
        <f>IF(I1001="Rob","Robusta",IF(I1001="Exc","Excelsa",IF(I1001="Ara","Arabica",IF(I1001="Lib","Liberica",""))))</f>
        <v/>
      </c>
      <c r="O1001">
        <f>IF(J1001="M","Medium",IF(J1001="L","Light",IF(J1001="D","Dark","")))</f>
        <v/>
      </c>
      <c r="P1001">
        <f>_xlfn.XLOOKUP(Orders[[#This Row],[Customer ID]],customers!$A$1:$A$1001,customers!$I$1:$I$1001,,0)</f>
        <v/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2" sqref="A2"/>
    </sheetView>
  </sheetViews>
  <sheetFormatPr baseColWidth="8" defaultRowHeight="14.5"/>
  <cols>
    <col width="16.26953125" bestFit="1" customWidth="1" min="1" max="1"/>
    <col width="23.7265625" bestFit="1" customWidth="1" min="2" max="2"/>
    <col width="39.453125" bestFit="1" customWidth="1" min="3" max="3"/>
    <col width="18.26953125" bestFit="1" customWidth="1" min="4" max="4"/>
    <col width="27" bestFit="1" customWidth="1" min="5" max="5"/>
    <col width="20.7265625" bestFit="1" customWidth="1" min="6" max="6"/>
    <col width="15.453125" bestFit="1" customWidth="1" min="7" max="7"/>
    <col width="11.7265625" bestFit="1" customWidth="1" min="9" max="9"/>
  </cols>
  <sheetData>
    <row r="1">
      <c r="A1" s="2" t="inlineStr">
        <is>
          <t>Customer ID</t>
        </is>
      </c>
      <c r="B1" s="2" t="inlineStr">
        <is>
          <t>Customer Name</t>
        </is>
      </c>
      <c r="C1" s="2" t="inlineStr">
        <is>
          <t>Email</t>
        </is>
      </c>
      <c r="D1" s="2" t="inlineStr">
        <is>
          <t>Phone Number</t>
        </is>
      </c>
      <c r="E1" s="2" t="inlineStr">
        <is>
          <t>Address Line 1</t>
        </is>
      </c>
      <c r="F1" s="2" t="inlineStr">
        <is>
          <t>City</t>
        </is>
      </c>
      <c r="G1" s="2" t="inlineStr">
        <is>
          <t>Country</t>
        </is>
      </c>
      <c r="H1" s="2" t="inlineStr">
        <is>
          <t>Postcode</t>
        </is>
      </c>
      <c r="I1" s="2" t="inlineStr">
        <is>
          <t>Loyalty Card</t>
        </is>
      </c>
    </row>
    <row r="2">
      <c r="A2" s="2" t="inlineStr">
        <is>
          <t>C7285</t>
        </is>
      </c>
      <c r="B2" s="2" t="inlineStr">
        <is>
          <t>Brandon Brown</t>
        </is>
      </c>
      <c r="C2" s="2" t="inlineStr">
        <is>
          <t>hahnkaren@yahoo.com</t>
        </is>
      </c>
      <c r="D2" s="2" t="inlineStr">
        <is>
          <t>+1-914-306-3083x7520</t>
        </is>
      </c>
      <c r="E2" s="2" t="inlineStr">
        <is>
          <t>Unit 5751 Box 3600, DPO AE 34456</t>
        </is>
      </c>
      <c r="F2" s="2" t="inlineStr">
        <is>
          <t>Emilyview</t>
        </is>
      </c>
      <c r="G2" s="2" t="inlineStr">
        <is>
          <t>Afghanistan</t>
        </is>
      </c>
      <c r="H2" s="2" t="inlineStr">
        <is>
          <t>land</t>
        </is>
      </c>
      <c r="I2" t="inlineStr">
        <is>
          <t>a</t>
        </is>
      </c>
    </row>
    <row r="3">
      <c r="A3" s="2" t="inlineStr">
        <is>
          <t>C7188</t>
        </is>
      </c>
      <c r="B3" s="2" t="inlineStr">
        <is>
          <t>Brianna Williams</t>
        </is>
      </c>
      <c r="C3" s="2" t="inlineStr">
        <is>
          <t>payneholly@dennis.org</t>
        </is>
      </c>
      <c r="D3" s="2" t="inlineStr">
        <is>
          <t>060-786-2159x36453</t>
        </is>
      </c>
      <c r="E3" s="2" t="inlineStr">
        <is>
          <t>946 Hill Freeway Suite 073, North Kelly, SC 43833</t>
        </is>
      </c>
      <c r="F3" s="2" t="inlineStr">
        <is>
          <t>Hayesview</t>
        </is>
      </c>
      <c r="G3" s="2" t="inlineStr">
        <is>
          <t>Bouvet Island (Bouvetoya)</t>
        </is>
      </c>
      <c r="H3" s="2" t="inlineStr">
        <is>
          <t>any</t>
        </is>
      </c>
      <c r="I3" t="inlineStr">
        <is>
          <t>still</t>
        </is>
      </c>
    </row>
    <row r="4">
      <c r="A4" s="2" t="inlineStr">
        <is>
          <t>C3307</t>
        </is>
      </c>
      <c r="B4" s="2" t="inlineStr">
        <is>
          <t>Christopher Hall</t>
        </is>
      </c>
      <c r="C4" s="2" t="inlineStr">
        <is>
          <t>hjones@russell.biz</t>
        </is>
      </c>
      <c r="D4" s="2" t="inlineStr">
        <is>
          <t>+1-689-057-8384x5753</t>
        </is>
      </c>
      <c r="E4" s="2" t="inlineStr">
        <is>
          <t>30923 Heather Motorway Suite 807, New Jasonberg, AR 91464</t>
        </is>
      </c>
      <c r="F4" s="2" t="inlineStr">
        <is>
          <t>Michaelside</t>
        </is>
      </c>
      <c r="G4" s="2" t="inlineStr">
        <is>
          <t>Trinidad and Tobago</t>
        </is>
      </c>
      <c r="H4" s="2" t="inlineStr">
        <is>
          <t>fact</t>
        </is>
      </c>
      <c r="I4" t="inlineStr">
        <is>
          <t>deep</t>
        </is>
      </c>
    </row>
    <row r="5">
      <c r="A5" s="2" t="inlineStr">
        <is>
          <t>C5820</t>
        </is>
      </c>
      <c r="B5" s="2" t="inlineStr">
        <is>
          <t>Anthony Harrison</t>
        </is>
      </c>
      <c r="C5" s="2" t="inlineStr">
        <is>
          <t>yvonne84@yahoo.com</t>
        </is>
      </c>
      <c r="D5" s="2" t="inlineStr">
        <is>
          <t>391.955.9048x1041</t>
        </is>
      </c>
      <c r="E5" s="2" t="inlineStr">
        <is>
          <t>1473 Lawrence Stream Apt. 491, North Brandonport, VT 90560</t>
        </is>
      </c>
      <c r="F5" s="2" t="inlineStr">
        <is>
          <t>Wallacemouth</t>
        </is>
      </c>
      <c r="G5" s="2" t="inlineStr">
        <is>
          <t>Armenia</t>
        </is>
      </c>
      <c r="H5" s="2" t="inlineStr">
        <is>
          <t>particularly</t>
        </is>
      </c>
      <c r="I5" t="inlineStr">
        <is>
          <t>guy</t>
        </is>
      </c>
    </row>
    <row r="6">
      <c r="A6" s="2" t="inlineStr">
        <is>
          <t>C5338</t>
        </is>
      </c>
      <c r="B6" s="2" t="inlineStr">
        <is>
          <t>Deanna Bartlett</t>
        </is>
      </c>
      <c r="C6" s="2" t="inlineStr">
        <is>
          <t>john76@gmail.com</t>
        </is>
      </c>
      <c r="D6" s="2" t="inlineStr">
        <is>
          <t>263.086.7928x2743</t>
        </is>
      </c>
      <c r="E6" s="2" t="inlineStr">
        <is>
          <t>8775 Johnson Springs Apt. 088, Garrettstad, CA 96776</t>
        </is>
      </c>
      <c r="F6" s="2" t="inlineStr">
        <is>
          <t>East Brian</t>
        </is>
      </c>
      <c r="G6" s="2" t="inlineStr">
        <is>
          <t>Iraq</t>
        </is>
      </c>
      <c r="H6" s="2" t="inlineStr">
        <is>
          <t>still</t>
        </is>
      </c>
      <c r="I6" t="inlineStr">
        <is>
          <t>attack</t>
        </is>
      </c>
    </row>
    <row r="7">
      <c r="A7" s="2" t="inlineStr">
        <is>
          <t>C4818</t>
        </is>
      </c>
      <c r="B7" s="2" t="inlineStr">
        <is>
          <t>Richard Nicholson</t>
        </is>
      </c>
      <c r="C7" s="2" t="inlineStr">
        <is>
          <t>johnsonbryce@lynch-torres.info</t>
        </is>
      </c>
      <c r="D7" s="2" t="inlineStr">
        <is>
          <t>251.224.4515x32191</t>
        </is>
      </c>
      <c r="E7" s="2" t="inlineStr">
        <is>
          <t>275 Espinoza Keys, Lambport, OK 28884</t>
        </is>
      </c>
      <c r="F7" s="2" t="inlineStr">
        <is>
          <t>Shellyview</t>
        </is>
      </c>
      <c r="G7" s="2" t="inlineStr">
        <is>
          <t>Guadeloupe</t>
        </is>
      </c>
      <c r="H7" s="2" t="inlineStr">
        <is>
          <t>also</t>
        </is>
      </c>
      <c r="I7" t="inlineStr">
        <is>
          <t>ago</t>
        </is>
      </c>
    </row>
    <row r="8">
      <c r="A8" s="2" t="inlineStr">
        <is>
          <t>C5389</t>
        </is>
      </c>
      <c r="B8" s="2" t="inlineStr">
        <is>
          <t>Jennifer Terrell</t>
        </is>
      </c>
      <c r="C8" s="2" t="inlineStr">
        <is>
          <t>stoutmichelle@bryant-best.biz</t>
        </is>
      </c>
      <c r="D8" s="2" t="inlineStr">
        <is>
          <t>7152615493</t>
        </is>
      </c>
      <c r="E8" s="2" t="inlineStr">
        <is>
          <t>678 Ashley Mission, East Kimberlyshire, SC 67488</t>
        </is>
      </c>
      <c r="F8" s="2" t="inlineStr">
        <is>
          <t>Alexandriastad</t>
        </is>
      </c>
      <c r="G8" s="2" t="inlineStr">
        <is>
          <t>Falkland Islands (Malvinas)</t>
        </is>
      </c>
      <c r="H8" s="2" t="inlineStr">
        <is>
          <t>yet</t>
        </is>
      </c>
      <c r="I8" t="inlineStr">
        <is>
          <t>material</t>
        </is>
      </c>
    </row>
    <row r="9">
      <c r="A9" s="2" t="inlineStr">
        <is>
          <t>C1307</t>
        </is>
      </c>
      <c r="B9" s="2" t="inlineStr">
        <is>
          <t>Judith Hart</t>
        </is>
      </c>
      <c r="C9" s="2" t="inlineStr">
        <is>
          <t>joshua02@white.com</t>
        </is>
      </c>
      <c r="D9" s="2" t="inlineStr">
        <is>
          <t>690-165-2704x11745</t>
        </is>
      </c>
      <c r="E9" s="2" t="inlineStr">
        <is>
          <t>3847 Johnson Stream Apt. 796, West Pamelaborough, RI 91872</t>
        </is>
      </c>
      <c r="F9" s="2" t="inlineStr">
        <is>
          <t>New Jessicaport</t>
        </is>
      </c>
      <c r="G9" s="2" t="inlineStr">
        <is>
          <t>Belarus</t>
        </is>
      </c>
      <c r="H9" s="2" t="inlineStr">
        <is>
          <t>modern</t>
        </is>
      </c>
      <c r="I9" t="inlineStr">
        <is>
          <t>rate</t>
        </is>
      </c>
    </row>
    <row r="10">
      <c r="A10" s="2" t="inlineStr">
        <is>
          <t>C4021</t>
        </is>
      </c>
      <c r="B10" s="2" t="inlineStr">
        <is>
          <t>Alan Kelly</t>
        </is>
      </c>
      <c r="C10" s="2" t="inlineStr">
        <is>
          <t>awells@gmail.com</t>
        </is>
      </c>
      <c r="D10" s="2" t="inlineStr">
        <is>
          <t>511.150.0381</t>
        </is>
      </c>
      <c r="E10" s="2" t="inlineStr">
        <is>
          <t>95333 Hopkins Stream Apt. 418, Jeffreychester, AZ 26832</t>
        </is>
      </c>
      <c r="F10" s="2" t="inlineStr">
        <is>
          <t>East Emily</t>
        </is>
      </c>
      <c r="G10" s="2" t="inlineStr">
        <is>
          <t>Fiji</t>
        </is>
      </c>
      <c r="H10" s="2" t="inlineStr">
        <is>
          <t>face</t>
        </is>
      </c>
      <c r="I10" t="inlineStr">
        <is>
          <t>science</t>
        </is>
      </c>
    </row>
    <row r="11">
      <c r="A11" s="2" t="inlineStr">
        <is>
          <t>C4569</t>
        </is>
      </c>
      <c r="B11" s="2" t="inlineStr">
        <is>
          <t>Robin Jenkins</t>
        </is>
      </c>
      <c r="C11" s="2" t="inlineStr">
        <is>
          <t>lindsey30@hotmail.com</t>
        </is>
      </c>
      <c r="D11" s="2" t="inlineStr">
        <is>
          <t>611.852.3274</t>
        </is>
      </c>
      <c r="E11" s="2" t="inlineStr">
        <is>
          <t>53384 Donovan Mission Apt. 023, Carlchester, AK 96303</t>
        </is>
      </c>
      <c r="F11" s="2" t="inlineStr">
        <is>
          <t>Higginsville</t>
        </is>
      </c>
      <c r="G11" s="2" t="inlineStr">
        <is>
          <t>Poland</t>
        </is>
      </c>
      <c r="H11" s="2" t="inlineStr">
        <is>
          <t>cup</t>
        </is>
      </c>
      <c r="I11" t="inlineStr">
        <is>
          <t>garden</t>
        </is>
      </c>
    </row>
    <row r="12">
      <c r="A12" s="2" t="inlineStr">
        <is>
          <t>C2678</t>
        </is>
      </c>
      <c r="B12" s="2" t="inlineStr">
        <is>
          <t>Barbara Chavez</t>
        </is>
      </c>
      <c r="C12" s="2" t="inlineStr">
        <is>
          <t>onelson@wiley.com</t>
        </is>
      </c>
      <c r="D12" s="2" t="inlineStr">
        <is>
          <t>(730)252-5614</t>
        </is>
      </c>
      <c r="E12" s="2" t="inlineStr">
        <is>
          <t>9630 Seth Walk, Ramirezside, NC 63686</t>
        </is>
      </c>
      <c r="F12" s="2" t="inlineStr">
        <is>
          <t>North Brenda</t>
        </is>
      </c>
      <c r="G12" s="2" t="inlineStr">
        <is>
          <t>Sierra Leone</t>
        </is>
      </c>
      <c r="H12" s="2" t="inlineStr">
        <is>
          <t>parent</t>
        </is>
      </c>
      <c r="I12" t="inlineStr">
        <is>
          <t>change</t>
        </is>
      </c>
    </row>
    <row r="13">
      <c r="A13" s="2" t="inlineStr">
        <is>
          <t>C6358</t>
        </is>
      </c>
      <c r="B13" s="2" t="inlineStr">
        <is>
          <t>Janice Rose</t>
        </is>
      </c>
      <c r="C13" s="2" t="inlineStr">
        <is>
          <t>danielstristan@yahoo.com</t>
        </is>
      </c>
      <c r="D13" s="2" t="inlineStr">
        <is>
          <t>246.180.8515</t>
        </is>
      </c>
      <c r="E13" s="2" t="inlineStr">
        <is>
          <t>39512 Ricky Road Apt. 132, Elizabethtown, GA 53626</t>
        </is>
      </c>
      <c r="F13" s="2" t="inlineStr">
        <is>
          <t>South Sarahhaven</t>
        </is>
      </c>
      <c r="G13" s="2" t="inlineStr">
        <is>
          <t>Guinea-Bissau</t>
        </is>
      </c>
      <c r="H13" s="2" t="inlineStr">
        <is>
          <t>college</t>
        </is>
      </c>
      <c r="I13" t="inlineStr">
        <is>
          <t>party</t>
        </is>
      </c>
    </row>
    <row r="14">
      <c r="A14" s="2" t="inlineStr">
        <is>
          <t>C3438</t>
        </is>
      </c>
      <c r="B14" s="2" t="inlineStr">
        <is>
          <t>James Rivera</t>
        </is>
      </c>
      <c r="C14" s="2" t="inlineStr">
        <is>
          <t>wrobertson@yahoo.com</t>
        </is>
      </c>
      <c r="D14" s="2" t="inlineStr">
        <is>
          <t>001-522-530-9955</t>
        </is>
      </c>
      <c r="E14" s="2" t="inlineStr">
        <is>
          <t>82542 Zimmerman Way, Sydneyton, MD 12550</t>
        </is>
      </c>
      <c r="F14" s="2" t="inlineStr">
        <is>
          <t>North Andrewmouth</t>
        </is>
      </c>
      <c r="G14" s="2" t="inlineStr">
        <is>
          <t>Luxembourg</t>
        </is>
      </c>
      <c r="H14" s="2" t="inlineStr">
        <is>
          <t>these</t>
        </is>
      </c>
      <c r="I14" t="inlineStr">
        <is>
          <t>ask</t>
        </is>
      </c>
    </row>
    <row r="15">
      <c r="A15" s="2" t="inlineStr">
        <is>
          <t>C7401</t>
        </is>
      </c>
      <c r="B15" s="2" t="inlineStr">
        <is>
          <t>Derrick Thompson</t>
        </is>
      </c>
      <c r="C15" s="2" t="inlineStr">
        <is>
          <t>raytabitha@yahoo.com</t>
        </is>
      </c>
      <c r="D15" s="2" t="inlineStr">
        <is>
          <t>437-175-9776</t>
        </is>
      </c>
      <c r="E15" s="2" t="inlineStr">
        <is>
          <t>29415 Matthew Summit Apt. 740, Lesterhaven, AZ 09349</t>
        </is>
      </c>
      <c r="F15" s="2" t="inlineStr">
        <is>
          <t>West David</t>
        </is>
      </c>
      <c r="G15" s="2" t="inlineStr">
        <is>
          <t>Ukraine</t>
        </is>
      </c>
      <c r="H15" s="2" t="inlineStr">
        <is>
          <t>western</t>
        </is>
      </c>
      <c r="I15" t="inlineStr">
        <is>
          <t>foot</t>
        </is>
      </c>
    </row>
    <row r="16">
      <c r="A16" s="2" t="inlineStr">
        <is>
          <t>C4513</t>
        </is>
      </c>
      <c r="B16" s="2" t="inlineStr">
        <is>
          <t>Michelle Anderson</t>
        </is>
      </c>
      <c r="C16" s="2" t="inlineStr">
        <is>
          <t>thomas72@hotmail.com</t>
        </is>
      </c>
      <c r="D16" s="2" t="inlineStr">
        <is>
          <t>(678)844-9644x386</t>
        </is>
      </c>
      <c r="E16" s="2" t="inlineStr">
        <is>
          <t>650 Wilson Vista, Jenniferland, MA 83323</t>
        </is>
      </c>
      <c r="F16" s="2" t="inlineStr">
        <is>
          <t>Jessicamouth</t>
        </is>
      </c>
      <c r="G16" s="2" t="inlineStr">
        <is>
          <t>Sao Tome and Principe</t>
        </is>
      </c>
      <c r="H16" s="2" t="inlineStr">
        <is>
          <t>painting</t>
        </is>
      </c>
      <c r="I16" t="inlineStr">
        <is>
          <t>stand</t>
        </is>
      </c>
    </row>
    <row r="17">
      <c r="A17" s="2" t="inlineStr">
        <is>
          <t>C2334</t>
        </is>
      </c>
      <c r="B17" s="2" t="inlineStr">
        <is>
          <t>Jessica Hahn</t>
        </is>
      </c>
      <c r="C17" s="2" t="inlineStr">
        <is>
          <t>breannawalton@hotmail.com</t>
        </is>
      </c>
      <c r="D17" s="2" t="inlineStr">
        <is>
          <t>(143)267-8419x3335</t>
        </is>
      </c>
      <c r="E17" s="2" t="inlineStr">
        <is>
          <t>113 Simpson Inlet, Aguilarside, FL 05035</t>
        </is>
      </c>
      <c r="F17" s="2" t="inlineStr">
        <is>
          <t>Andrewton</t>
        </is>
      </c>
      <c r="G17" s="2" t="inlineStr">
        <is>
          <t>Grenada</t>
        </is>
      </c>
      <c r="H17" s="2" t="inlineStr">
        <is>
          <t>tend</t>
        </is>
      </c>
      <c r="I17" t="inlineStr">
        <is>
          <t>age</t>
        </is>
      </c>
    </row>
    <row r="18">
      <c r="A18" s="2" t="inlineStr">
        <is>
          <t>C3055</t>
        </is>
      </c>
      <c r="B18" s="2" t="inlineStr">
        <is>
          <t>Stephanie Cooper</t>
        </is>
      </c>
      <c r="C18" s="2" t="inlineStr">
        <is>
          <t>morganjoseph@keith-shields.net</t>
        </is>
      </c>
      <c r="D18" s="2" t="inlineStr">
        <is>
          <t>057-737-3283x28929</t>
        </is>
      </c>
      <c r="E18" s="2" t="inlineStr">
        <is>
          <t>97486 David Divide, Lestermouth, NJ 68326</t>
        </is>
      </c>
      <c r="F18" s="2" t="inlineStr">
        <is>
          <t>Joshuamouth</t>
        </is>
      </c>
      <c r="G18" s="2" t="inlineStr">
        <is>
          <t>Swaziland</t>
        </is>
      </c>
      <c r="H18" s="2" t="inlineStr">
        <is>
          <t>letter</t>
        </is>
      </c>
      <c r="I18" t="inlineStr">
        <is>
          <t>never</t>
        </is>
      </c>
    </row>
    <row r="19">
      <c r="A19" s="2" t="inlineStr">
        <is>
          <t>C7787</t>
        </is>
      </c>
      <c r="B19" s="2" t="inlineStr">
        <is>
          <t>Joseph Hernandez</t>
        </is>
      </c>
      <c r="C19" s="2" t="inlineStr">
        <is>
          <t>deborah59@yahoo.com</t>
        </is>
      </c>
      <c r="D19" s="2" t="inlineStr">
        <is>
          <t>001-650-382-5291x937</t>
        </is>
      </c>
      <c r="E19" s="2" t="inlineStr">
        <is>
          <t>04462 Lewis Overpass, Ericfurt, WV 35311</t>
        </is>
      </c>
      <c r="F19" s="2" t="inlineStr">
        <is>
          <t>New Bobbyfurt</t>
        </is>
      </c>
      <c r="G19" s="2" t="inlineStr">
        <is>
          <t>Thailand</t>
        </is>
      </c>
      <c r="H19" s="2" t="inlineStr">
        <is>
          <t>watch</t>
        </is>
      </c>
      <c r="I19" t="inlineStr">
        <is>
          <t>central</t>
        </is>
      </c>
    </row>
    <row r="20">
      <c r="A20" s="2" t="inlineStr">
        <is>
          <t>C6629</t>
        </is>
      </c>
      <c r="B20" s="2" t="inlineStr">
        <is>
          <t>Jessica Coleman</t>
        </is>
      </c>
      <c r="C20" s="2" t="inlineStr">
        <is>
          <t>qmcdonald@cisneros-manning.com</t>
        </is>
      </c>
      <c r="D20" s="2" t="inlineStr">
        <is>
          <t>001-391-215-6042x291</t>
        </is>
      </c>
      <c r="E20" s="2" t="inlineStr">
        <is>
          <t>0034 Anne Park, Jefferytown, VT 89868</t>
        </is>
      </c>
      <c r="F20" s="2" t="inlineStr">
        <is>
          <t>Lake Alexandra</t>
        </is>
      </c>
      <c r="G20" s="2" t="inlineStr">
        <is>
          <t>Panama</t>
        </is>
      </c>
      <c r="H20" s="2" t="inlineStr">
        <is>
          <t>after</t>
        </is>
      </c>
      <c r="I20" t="inlineStr">
        <is>
          <t>quickly</t>
        </is>
      </c>
    </row>
    <row r="21">
      <c r="A21" s="2" t="inlineStr">
        <is>
          <t>C1275</t>
        </is>
      </c>
      <c r="B21" s="2" t="inlineStr">
        <is>
          <t>Sean Chandler</t>
        </is>
      </c>
      <c r="C21" s="2" t="inlineStr">
        <is>
          <t>jesus15@cline.com</t>
        </is>
      </c>
      <c r="D21" s="2" t="inlineStr">
        <is>
          <t>291.285.2166</t>
        </is>
      </c>
      <c r="E21" s="2" t="inlineStr">
        <is>
          <t>PSC 4775, Box 3982, APO AA 67820</t>
        </is>
      </c>
      <c r="F21" s="2" t="inlineStr">
        <is>
          <t>North Julia</t>
        </is>
      </c>
      <c r="G21" s="2" t="inlineStr">
        <is>
          <t>Jamaica</t>
        </is>
      </c>
      <c r="H21" s="2" t="inlineStr">
        <is>
          <t>rock</t>
        </is>
      </c>
      <c r="I21" t="inlineStr">
        <is>
          <t>TV</t>
        </is>
      </c>
    </row>
    <row r="22">
      <c r="A22" s="2" t="inlineStr">
        <is>
          <t>C6054</t>
        </is>
      </c>
      <c r="B22" s="2" t="inlineStr">
        <is>
          <t>Teresa Parsons</t>
        </is>
      </c>
      <c r="C22" s="2" t="inlineStr">
        <is>
          <t>pwilliamson@vaughan-spencer.com</t>
        </is>
      </c>
      <c r="D22" s="2" t="inlineStr">
        <is>
          <t>371.503.2817</t>
        </is>
      </c>
      <c r="E22" s="2" t="inlineStr">
        <is>
          <t>5817 Williams Lodge Suite 852, Whiteberg, PA 71876</t>
        </is>
      </c>
      <c r="F22" s="2" t="inlineStr">
        <is>
          <t>Janetshire</t>
        </is>
      </c>
      <c r="G22" s="2" t="inlineStr">
        <is>
          <t>Nicaragua</t>
        </is>
      </c>
      <c r="H22" s="2" t="inlineStr">
        <is>
          <t>option</t>
        </is>
      </c>
      <c r="I22" t="inlineStr">
        <is>
          <t>visit</t>
        </is>
      </c>
    </row>
    <row r="23">
      <c r="A23" s="2" t="inlineStr">
        <is>
          <t>C8432</t>
        </is>
      </c>
      <c r="B23" s="2" t="inlineStr">
        <is>
          <t>Joanna Fuller</t>
        </is>
      </c>
      <c r="C23" s="2" t="inlineStr">
        <is>
          <t>lance90@mccoy-scott.com</t>
        </is>
      </c>
      <c r="D23" s="2" t="inlineStr">
        <is>
          <t>583.167.4320x51558</t>
        </is>
      </c>
      <c r="E23" s="2" t="inlineStr">
        <is>
          <t>1432 Rodney Shores, North Brandiport, NY 71226</t>
        </is>
      </c>
      <c r="F23" s="2" t="inlineStr">
        <is>
          <t>Susanchester</t>
        </is>
      </c>
      <c r="G23" s="2" t="inlineStr">
        <is>
          <t>Sudan</t>
        </is>
      </c>
      <c r="H23" s="2" t="inlineStr">
        <is>
          <t>account</t>
        </is>
      </c>
      <c r="I23" t="inlineStr">
        <is>
          <t>create</t>
        </is>
      </c>
    </row>
    <row r="24">
      <c r="A24" s="2" t="inlineStr">
        <is>
          <t>C9052</t>
        </is>
      </c>
      <c r="B24" s="2" t="inlineStr">
        <is>
          <t>Jordan Castillo</t>
        </is>
      </c>
      <c r="C24" s="2" t="inlineStr">
        <is>
          <t>mmcdonald@baker.info</t>
        </is>
      </c>
      <c r="D24" s="2" t="inlineStr">
        <is>
          <t>+1-793-223-2817x7425</t>
        </is>
      </c>
      <c r="E24" s="2" t="inlineStr">
        <is>
          <t>928 Nicolas Flats Apt. 613, Shawville, KY 42014</t>
        </is>
      </c>
      <c r="F24" s="2" t="inlineStr">
        <is>
          <t>Suemouth</t>
        </is>
      </c>
      <c r="G24" s="2" t="inlineStr">
        <is>
          <t>Lebanon</t>
        </is>
      </c>
      <c r="H24" s="2" t="inlineStr">
        <is>
          <t>clearly</t>
        </is>
      </c>
      <c r="I24" t="inlineStr">
        <is>
          <t>share</t>
        </is>
      </c>
    </row>
    <row r="25">
      <c r="A25" s="2" t="inlineStr">
        <is>
          <t>C6509</t>
        </is>
      </c>
      <c r="B25" s="2" t="inlineStr">
        <is>
          <t>Jason Davis</t>
        </is>
      </c>
      <c r="C25" s="2" t="inlineStr">
        <is>
          <t>brian81@baker.info</t>
        </is>
      </c>
      <c r="D25" s="2" t="inlineStr">
        <is>
          <t>(058)097-3693x2334</t>
        </is>
      </c>
      <c r="E25" s="2" t="inlineStr">
        <is>
          <t>868 Kimberly Parkway Apt. 412, East Aaron, MD 66664</t>
        </is>
      </c>
      <c r="F25" s="2" t="inlineStr">
        <is>
          <t>Port Molly</t>
        </is>
      </c>
      <c r="G25" s="2" t="inlineStr">
        <is>
          <t>Brunei Darussalam</t>
        </is>
      </c>
      <c r="H25" s="2" t="inlineStr">
        <is>
          <t>build</t>
        </is>
      </c>
      <c r="I25" t="inlineStr">
        <is>
          <t>down</t>
        </is>
      </c>
    </row>
    <row r="26">
      <c r="A26" s="2" t="inlineStr">
        <is>
          <t>C2302</t>
        </is>
      </c>
      <c r="B26" s="2" t="inlineStr">
        <is>
          <t>Justin Reyes</t>
        </is>
      </c>
      <c r="C26" s="2" t="inlineStr">
        <is>
          <t>clarkmark@yahoo.com</t>
        </is>
      </c>
      <c r="D26" s="2" t="inlineStr">
        <is>
          <t>244-375-6353x29189</t>
        </is>
      </c>
      <c r="E26" s="2" t="inlineStr">
        <is>
          <t>47543 Douglas Crossroad Apt. 213, East Ashley, OK 73097</t>
        </is>
      </c>
      <c r="F26" s="2" t="inlineStr">
        <is>
          <t>Lake Jose</t>
        </is>
      </c>
      <c r="G26" s="2" t="inlineStr">
        <is>
          <t>Poland</t>
        </is>
      </c>
      <c r="H26" s="2" t="inlineStr">
        <is>
          <t>listen</t>
        </is>
      </c>
      <c r="I26" t="inlineStr">
        <is>
          <t>bit</t>
        </is>
      </c>
    </row>
    <row r="27">
      <c r="A27" s="2" t="inlineStr">
        <is>
          <t>C5761</t>
        </is>
      </c>
      <c r="B27" s="2" t="inlineStr">
        <is>
          <t>Denise Campbell</t>
        </is>
      </c>
      <c r="C27" s="2" t="inlineStr">
        <is>
          <t>rachel15@green-alexander.info</t>
        </is>
      </c>
      <c r="D27" s="2" t="inlineStr">
        <is>
          <t>0689966725</t>
        </is>
      </c>
      <c r="E27" s="2" t="inlineStr">
        <is>
          <t>37088 Thompson Islands Suite 204, Port Wendyport, IA 96237</t>
        </is>
      </c>
      <c r="F27" s="2" t="inlineStr">
        <is>
          <t>Acostahaven</t>
        </is>
      </c>
      <c r="G27" s="2" t="inlineStr">
        <is>
          <t>Bouvet Island (Bouvetoya)</t>
        </is>
      </c>
      <c r="H27" s="2" t="inlineStr">
        <is>
          <t>class</t>
        </is>
      </c>
      <c r="I27" t="inlineStr">
        <is>
          <t>he</t>
        </is>
      </c>
    </row>
    <row r="28">
      <c r="A28" s="2" t="inlineStr">
        <is>
          <t>C2849</t>
        </is>
      </c>
      <c r="B28" s="2" t="inlineStr">
        <is>
          <t>Kevin Huff</t>
        </is>
      </c>
      <c r="C28" s="2" t="inlineStr">
        <is>
          <t>xjohnson@gmail.com</t>
        </is>
      </c>
      <c r="D28" s="2" t="inlineStr">
        <is>
          <t>651.597.6538</t>
        </is>
      </c>
      <c r="E28" s="2" t="inlineStr">
        <is>
          <t>2451 Justin Cliffs Suite 133, North Davidchester, NV 53183</t>
        </is>
      </c>
      <c r="F28" s="2" t="inlineStr">
        <is>
          <t>North Davidland</t>
        </is>
      </c>
      <c r="G28" s="2" t="inlineStr">
        <is>
          <t>Germany</t>
        </is>
      </c>
      <c r="H28" s="2" t="inlineStr">
        <is>
          <t>kind</t>
        </is>
      </c>
      <c r="I28" t="inlineStr">
        <is>
          <t>item</t>
        </is>
      </c>
    </row>
    <row r="29">
      <c r="A29" s="2" t="inlineStr">
        <is>
          <t>C9004</t>
        </is>
      </c>
      <c r="B29" s="2" t="inlineStr">
        <is>
          <t>Shawn Simpson</t>
        </is>
      </c>
      <c r="C29" s="2" t="inlineStr">
        <is>
          <t>ystephens@yahoo.com</t>
        </is>
      </c>
      <c r="D29" s="2" t="inlineStr">
        <is>
          <t>2293700377</t>
        </is>
      </c>
      <c r="E29" s="2" t="inlineStr">
        <is>
          <t>782 Kathryn Ranch, New Dennisburgh, MS 77423</t>
        </is>
      </c>
      <c r="F29" s="2" t="inlineStr">
        <is>
          <t>Jimenezhaven</t>
        </is>
      </c>
      <c r="G29" s="2" t="inlineStr">
        <is>
          <t>South Africa</t>
        </is>
      </c>
      <c r="H29" s="2" t="inlineStr">
        <is>
          <t>edge</t>
        </is>
      </c>
      <c r="I29" t="inlineStr">
        <is>
          <t>hour</t>
        </is>
      </c>
    </row>
    <row r="30">
      <c r="A30" s="2" t="inlineStr">
        <is>
          <t>C8090</t>
        </is>
      </c>
      <c r="B30" s="2" t="inlineStr">
        <is>
          <t>Mrs. Stacy Mckenzie</t>
        </is>
      </c>
      <c r="C30" s="2" t="inlineStr">
        <is>
          <t>andreazimmerman@short.com</t>
        </is>
      </c>
      <c r="D30" s="2" t="inlineStr">
        <is>
          <t>(475)566-6886x2224</t>
        </is>
      </c>
      <c r="E30" s="2" t="inlineStr">
        <is>
          <t>896 Joshua Course Suite 014, South Lisa, GA 61595</t>
        </is>
      </c>
      <c r="F30" s="2" t="inlineStr">
        <is>
          <t>South Eric</t>
        </is>
      </c>
      <c r="G30" s="2" t="inlineStr">
        <is>
          <t>Nicaragua</t>
        </is>
      </c>
      <c r="H30" s="2" t="inlineStr">
        <is>
          <t>growth</t>
        </is>
      </c>
      <c r="I30" t="inlineStr">
        <is>
          <t>together</t>
        </is>
      </c>
    </row>
    <row r="31">
      <c r="A31" s="2" t="inlineStr">
        <is>
          <t>C4340</t>
        </is>
      </c>
      <c r="B31" s="2" t="inlineStr">
        <is>
          <t>Lisa Rodriguez</t>
        </is>
      </c>
      <c r="C31" s="2" t="inlineStr">
        <is>
          <t>amorgan@johnson.com</t>
        </is>
      </c>
      <c r="D31" s="2" t="inlineStr">
        <is>
          <t>+1-120-260-0738</t>
        </is>
      </c>
      <c r="E31" s="2" t="inlineStr">
        <is>
          <t>89290 Arnold Garden, Port Carlyville, IN 46835</t>
        </is>
      </c>
      <c r="F31" s="2" t="inlineStr">
        <is>
          <t>South Brittney</t>
        </is>
      </c>
      <c r="G31" s="2" t="inlineStr">
        <is>
          <t>New Zealand</t>
        </is>
      </c>
      <c r="H31" s="2" t="inlineStr">
        <is>
          <t>ahead</t>
        </is>
      </c>
      <c r="I31" t="inlineStr">
        <is>
          <t>official</t>
        </is>
      </c>
    </row>
    <row r="32">
      <c r="A32" s="2" t="inlineStr">
        <is>
          <t>C3776</t>
        </is>
      </c>
      <c r="B32" s="2" t="inlineStr">
        <is>
          <t>David Allen</t>
        </is>
      </c>
      <c r="C32" s="2" t="inlineStr">
        <is>
          <t>keithwilliam@yahoo.com</t>
        </is>
      </c>
      <c r="D32" s="2" t="inlineStr">
        <is>
          <t>826.023.6273x44690</t>
        </is>
      </c>
      <c r="E32" s="2" t="inlineStr">
        <is>
          <t>9391 Tina Drive, Kimview, MN 09783</t>
        </is>
      </c>
      <c r="F32" s="2" t="inlineStr">
        <is>
          <t>Adamsstad</t>
        </is>
      </c>
      <c r="G32" s="2" t="inlineStr">
        <is>
          <t>Norfolk Island</t>
        </is>
      </c>
      <c r="H32" s="2" t="inlineStr">
        <is>
          <t>sort</t>
        </is>
      </c>
      <c r="I32" t="inlineStr">
        <is>
          <t>prove</t>
        </is>
      </c>
    </row>
    <row r="33">
      <c r="A33" s="2" t="inlineStr">
        <is>
          <t>C2521</t>
        </is>
      </c>
      <c r="B33" s="2" t="inlineStr">
        <is>
          <t>Cesar Bradley</t>
        </is>
      </c>
      <c r="C33" s="2" t="inlineStr">
        <is>
          <t>jonesalexander@hotmail.com</t>
        </is>
      </c>
      <c r="D33" s="2" t="inlineStr">
        <is>
          <t>+1-735-670-9595x10504</t>
        </is>
      </c>
      <c r="E33" s="2" t="inlineStr">
        <is>
          <t>846 Lopez Forks Apt. 928, East Tiffanybury, HI 60491</t>
        </is>
      </c>
      <c r="F33" s="2" t="inlineStr">
        <is>
          <t>Mendezland</t>
        </is>
      </c>
      <c r="G33" s="2" t="inlineStr">
        <is>
          <t>Andorra</t>
        </is>
      </c>
      <c r="H33" s="2" t="inlineStr">
        <is>
          <t>stop</t>
        </is>
      </c>
      <c r="I33" t="inlineStr">
        <is>
          <t>people</t>
        </is>
      </c>
    </row>
    <row r="34">
      <c r="A34" s="2" t="inlineStr">
        <is>
          <t>C7530</t>
        </is>
      </c>
      <c r="B34" s="2" t="inlineStr">
        <is>
          <t>Angel Webb</t>
        </is>
      </c>
      <c r="C34" s="2" t="inlineStr">
        <is>
          <t>stephen72@daniel-schultz.com</t>
        </is>
      </c>
      <c r="D34" s="2" t="inlineStr">
        <is>
          <t>(687)977-6625x188</t>
        </is>
      </c>
      <c r="E34" s="2" t="inlineStr">
        <is>
          <t>PSC 4615, Box 9426, APO AE 32684</t>
        </is>
      </c>
      <c r="F34" s="2" t="inlineStr">
        <is>
          <t>South Kellyville</t>
        </is>
      </c>
      <c r="G34" s="2" t="inlineStr">
        <is>
          <t>Uzbekistan</t>
        </is>
      </c>
      <c r="H34" s="2" t="inlineStr">
        <is>
          <t>single</t>
        </is>
      </c>
      <c r="I34" t="inlineStr">
        <is>
          <t>scene</t>
        </is>
      </c>
    </row>
    <row r="35">
      <c r="A35" s="2" t="inlineStr">
        <is>
          <t>C1330</t>
        </is>
      </c>
      <c r="B35" s="2" t="inlineStr">
        <is>
          <t>Hailey Hoffman</t>
        </is>
      </c>
      <c r="C35" s="2" t="inlineStr">
        <is>
          <t>griffineric@singleton.info</t>
        </is>
      </c>
      <c r="D35" s="2" t="inlineStr">
        <is>
          <t>965.949.7743x7557</t>
        </is>
      </c>
      <c r="E35" s="2" t="inlineStr">
        <is>
          <t>6958 Dana Village, Lake Desiree, IA 56184</t>
        </is>
      </c>
      <c r="F35" s="2" t="inlineStr">
        <is>
          <t>Lake Taylor</t>
        </is>
      </c>
      <c r="G35" s="2" t="inlineStr">
        <is>
          <t>Bhutan</t>
        </is>
      </c>
      <c r="H35" s="2" t="inlineStr">
        <is>
          <t>against</t>
        </is>
      </c>
      <c r="I35" t="inlineStr">
        <is>
          <t>radio</t>
        </is>
      </c>
    </row>
    <row r="36">
      <c r="A36" s="2" t="inlineStr">
        <is>
          <t>C3538</t>
        </is>
      </c>
      <c r="B36" s="2" t="inlineStr">
        <is>
          <t>Anthony Stewart</t>
        </is>
      </c>
      <c r="C36" s="2" t="inlineStr">
        <is>
          <t>thomas35@jones-boyd.org</t>
        </is>
      </c>
      <c r="D36" s="2" t="inlineStr">
        <is>
          <t>001-647-902-6749</t>
        </is>
      </c>
      <c r="E36" s="2" t="inlineStr">
        <is>
          <t>USNS Mercado, FPO AP 59502</t>
        </is>
      </c>
      <c r="F36" s="2" t="inlineStr">
        <is>
          <t>Harperton</t>
        </is>
      </c>
      <c r="G36" s="2" t="inlineStr">
        <is>
          <t>Barbados</t>
        </is>
      </c>
      <c r="H36" s="2" t="inlineStr">
        <is>
          <t>less</t>
        </is>
      </c>
      <c r="I36" t="inlineStr">
        <is>
          <t>strategy</t>
        </is>
      </c>
    </row>
    <row r="37">
      <c r="A37" s="2" t="inlineStr">
        <is>
          <t>C6982</t>
        </is>
      </c>
      <c r="B37" s="2" t="inlineStr">
        <is>
          <t>James Mason</t>
        </is>
      </c>
      <c r="C37" s="2" t="inlineStr">
        <is>
          <t>gallowaycharles@lewis.info</t>
        </is>
      </c>
      <c r="D37" s="2" t="inlineStr">
        <is>
          <t>476-832-0089</t>
        </is>
      </c>
      <c r="E37" s="2" t="inlineStr">
        <is>
          <t>00908 Michael Underpass Suite 283, Elizabethhaven, PA 65675</t>
        </is>
      </c>
      <c r="F37" s="2" t="inlineStr">
        <is>
          <t>North Elizabethhaven</t>
        </is>
      </c>
      <c r="G37" s="2" t="inlineStr">
        <is>
          <t>British Virgin Islands</t>
        </is>
      </c>
      <c r="H37" s="2" t="inlineStr">
        <is>
          <t>visit</t>
        </is>
      </c>
      <c r="I37" t="inlineStr">
        <is>
          <t>pretty</t>
        </is>
      </c>
    </row>
    <row r="38">
      <c r="A38" s="2" t="inlineStr">
        <is>
          <t>C6090</t>
        </is>
      </c>
      <c r="B38" s="2" t="inlineStr">
        <is>
          <t>Rebekah Willis</t>
        </is>
      </c>
      <c r="C38" s="2" t="inlineStr">
        <is>
          <t>theresa79@daugherty-wright.com</t>
        </is>
      </c>
      <c r="D38" s="2" t="inlineStr">
        <is>
          <t>438.876.1985x82439</t>
        </is>
      </c>
      <c r="E38" s="2" t="inlineStr">
        <is>
          <t>415 Franklin Burgs Suite 929, Elizabethview, IA 05654</t>
        </is>
      </c>
      <c r="F38" s="2" t="inlineStr">
        <is>
          <t>East Lisa</t>
        </is>
      </c>
      <c r="G38" s="2" t="inlineStr">
        <is>
          <t>Palestinian Territory</t>
        </is>
      </c>
      <c r="H38" s="2" t="inlineStr">
        <is>
          <t>tonight</t>
        </is>
      </c>
      <c r="I38" t="inlineStr">
        <is>
          <t>community</t>
        </is>
      </c>
    </row>
    <row r="39">
      <c r="A39" s="2" t="inlineStr">
        <is>
          <t>C1468</t>
        </is>
      </c>
      <c r="B39" s="2" t="inlineStr">
        <is>
          <t>Andres Riley</t>
        </is>
      </c>
      <c r="C39" s="2" t="inlineStr">
        <is>
          <t>bowmancourtney@holmes-nicholson.com</t>
        </is>
      </c>
      <c r="D39" s="2" t="inlineStr">
        <is>
          <t>(676)499-8697x954</t>
        </is>
      </c>
      <c r="E39" s="2" t="inlineStr">
        <is>
          <t>1039 Brooks Mall, Reynoldsburgh, MS 66168</t>
        </is>
      </c>
      <c r="F39" s="2" t="inlineStr">
        <is>
          <t>North Johnhaven</t>
        </is>
      </c>
      <c r="G39" s="2" t="inlineStr">
        <is>
          <t>Sierra Leone</t>
        </is>
      </c>
      <c r="H39" s="2" t="inlineStr">
        <is>
          <t>pay</t>
        </is>
      </c>
      <c r="I39" t="inlineStr">
        <is>
          <t>teach</t>
        </is>
      </c>
    </row>
    <row r="40">
      <c r="A40" s="2" t="inlineStr">
        <is>
          <t>C7203</t>
        </is>
      </c>
      <c r="B40" s="2" t="inlineStr">
        <is>
          <t>Aaron Shea</t>
        </is>
      </c>
      <c r="C40" s="2" t="inlineStr">
        <is>
          <t>cindy49@lee-mayer.com</t>
        </is>
      </c>
      <c r="D40" s="2" t="inlineStr">
        <is>
          <t>613-228-1870x94892</t>
        </is>
      </c>
      <c r="E40" s="2" t="inlineStr">
        <is>
          <t>809 William Landing Suite 974, Cherylfort, ID 64173</t>
        </is>
      </c>
      <c r="F40" s="2" t="inlineStr">
        <is>
          <t>Bakerville</t>
        </is>
      </c>
      <c r="G40" s="2" t="inlineStr">
        <is>
          <t>San Marino</t>
        </is>
      </c>
      <c r="H40" s="2" t="inlineStr">
        <is>
          <t>provide</t>
        </is>
      </c>
      <c r="I40" t="inlineStr">
        <is>
          <t>civil</t>
        </is>
      </c>
    </row>
    <row r="41">
      <c r="A41" s="2" t="inlineStr">
        <is>
          <t>C8731</t>
        </is>
      </c>
      <c r="B41" s="2" t="inlineStr">
        <is>
          <t>Marie Casey</t>
        </is>
      </c>
      <c r="C41" s="2" t="inlineStr">
        <is>
          <t>imccormick@harper-wolf.com</t>
        </is>
      </c>
      <c r="D41" s="2" t="inlineStr">
        <is>
          <t>9753348401</t>
        </is>
      </c>
      <c r="E41" s="2" t="inlineStr">
        <is>
          <t>3608 Choi Prairie Suite 343, Salazarland, AZ 70608</t>
        </is>
      </c>
      <c r="F41" s="2" t="inlineStr">
        <is>
          <t>East Markfurt</t>
        </is>
      </c>
      <c r="G41" s="2" t="inlineStr">
        <is>
          <t>Morocco</t>
        </is>
      </c>
      <c r="H41" s="2" t="inlineStr">
        <is>
          <t>region</t>
        </is>
      </c>
      <c r="I41" t="inlineStr">
        <is>
          <t>improve</t>
        </is>
      </c>
    </row>
    <row r="42">
      <c r="A42" s="2" t="inlineStr">
        <is>
          <t>C7776</t>
        </is>
      </c>
      <c r="B42" s="2" t="inlineStr">
        <is>
          <t>William Buchanan</t>
        </is>
      </c>
      <c r="C42" s="2" t="inlineStr">
        <is>
          <t>sara67@yahoo.com</t>
        </is>
      </c>
      <c r="D42" s="2" t="inlineStr">
        <is>
          <t>157.698.4556</t>
        </is>
      </c>
      <c r="E42" s="2" t="inlineStr">
        <is>
          <t>07528 Deborah Inlet Suite 140, Jessicaport, VA 90573</t>
        </is>
      </c>
      <c r="F42" s="2" t="inlineStr">
        <is>
          <t>West Steventown</t>
        </is>
      </c>
      <c r="G42" s="2" t="inlineStr">
        <is>
          <t>Brazil</t>
        </is>
      </c>
      <c r="H42" s="2" t="inlineStr">
        <is>
          <t>head</t>
        </is>
      </c>
      <c r="I42" t="inlineStr">
        <is>
          <t>natural</t>
        </is>
      </c>
    </row>
    <row r="43">
      <c r="A43" s="2" t="inlineStr">
        <is>
          <t>C1567</t>
        </is>
      </c>
      <c r="B43" s="2" t="inlineStr">
        <is>
          <t>Douglas Jackson</t>
        </is>
      </c>
      <c r="C43" s="2" t="inlineStr">
        <is>
          <t>shawkristin@yahoo.com</t>
        </is>
      </c>
      <c r="D43" s="2" t="inlineStr">
        <is>
          <t>249.894.0141</t>
        </is>
      </c>
      <c r="E43" s="2" t="inlineStr">
        <is>
          <t>147 Lisa Walk Apt. 273, Lake Susan, CO 30317</t>
        </is>
      </c>
      <c r="F43" s="2" t="inlineStr">
        <is>
          <t>Branchfort</t>
        </is>
      </c>
      <c r="G43" s="2" t="inlineStr">
        <is>
          <t>Guinea-Bissau</t>
        </is>
      </c>
      <c r="H43" s="2" t="inlineStr">
        <is>
          <t>among</t>
        </is>
      </c>
      <c r="I43" t="inlineStr">
        <is>
          <t>buy</t>
        </is>
      </c>
    </row>
    <row r="44">
      <c r="A44" s="2" t="inlineStr">
        <is>
          <t>C7776</t>
        </is>
      </c>
      <c r="B44" s="2" t="inlineStr">
        <is>
          <t>Anita Collins</t>
        </is>
      </c>
      <c r="C44" s="2" t="inlineStr">
        <is>
          <t>ghanna@fowler-brown.com</t>
        </is>
      </c>
      <c r="D44" s="2" t="inlineStr">
        <is>
          <t>(389)083-4639x8316</t>
        </is>
      </c>
      <c r="E44" s="2" t="inlineStr">
        <is>
          <t>5438 Megan Locks Suite 740, Port Lisaland, MO 98476</t>
        </is>
      </c>
      <c r="F44" s="2" t="inlineStr">
        <is>
          <t>New Laura</t>
        </is>
      </c>
      <c r="G44" s="2" t="inlineStr">
        <is>
          <t>Saudi Arabia</t>
        </is>
      </c>
      <c r="H44" s="2" t="inlineStr">
        <is>
          <t>group</t>
        </is>
      </c>
      <c r="I44" t="inlineStr">
        <is>
          <t>address</t>
        </is>
      </c>
    </row>
    <row r="45">
      <c r="A45" s="2" t="inlineStr">
        <is>
          <t>C8479</t>
        </is>
      </c>
      <c r="B45" s="2" t="inlineStr">
        <is>
          <t>Raymond Martinez</t>
        </is>
      </c>
      <c r="C45" s="2" t="inlineStr">
        <is>
          <t>danielanderson@powell.info</t>
        </is>
      </c>
      <c r="D45" s="2" t="inlineStr">
        <is>
          <t>029.679.2431x0432</t>
        </is>
      </c>
      <c r="E45" s="2" t="inlineStr">
        <is>
          <t>Unit 9209 Box 8848, DPO AP 09414</t>
        </is>
      </c>
      <c r="F45" s="2" t="inlineStr">
        <is>
          <t>New Lauriechester</t>
        </is>
      </c>
      <c r="G45" s="2" t="inlineStr">
        <is>
          <t>Iran</t>
        </is>
      </c>
      <c r="H45" s="2" t="inlineStr">
        <is>
          <t>maybe</t>
        </is>
      </c>
      <c r="I45" t="inlineStr">
        <is>
          <t>memory</t>
        </is>
      </c>
    </row>
    <row r="46">
      <c r="A46" s="2" t="inlineStr">
        <is>
          <t>C2226</t>
        </is>
      </c>
      <c r="B46" s="2" t="inlineStr">
        <is>
          <t>Dr. Rachel Reynolds</t>
        </is>
      </c>
      <c r="C46" s="2" t="inlineStr">
        <is>
          <t>russell98@donovan-murphy.info</t>
        </is>
      </c>
      <c r="D46" s="2" t="inlineStr">
        <is>
          <t>(889)699-0614x55433</t>
        </is>
      </c>
      <c r="E46" s="2" t="inlineStr">
        <is>
          <t>USNV Martinez, FPO AE 99623</t>
        </is>
      </c>
      <c r="F46" s="2" t="inlineStr">
        <is>
          <t>Pattersonborough</t>
        </is>
      </c>
      <c r="G46" s="2" t="inlineStr">
        <is>
          <t>Tunisia</t>
        </is>
      </c>
      <c r="H46" s="2" t="inlineStr">
        <is>
          <t>imagine</t>
        </is>
      </c>
      <c r="I46" t="inlineStr">
        <is>
          <t>specific</t>
        </is>
      </c>
    </row>
    <row r="47">
      <c r="A47" s="2" t="inlineStr">
        <is>
          <t>C4089</t>
        </is>
      </c>
      <c r="B47" s="2" t="inlineStr">
        <is>
          <t>Jessica Gonzales</t>
        </is>
      </c>
      <c r="C47" s="2" t="inlineStr">
        <is>
          <t>swilliams@rodriguez-spencer.com</t>
        </is>
      </c>
      <c r="D47" s="2" t="inlineStr">
        <is>
          <t>(000)106-8763x65932</t>
        </is>
      </c>
      <c r="E47" s="2" t="inlineStr">
        <is>
          <t>75769 James Forges, North Denise, LA 52937</t>
        </is>
      </c>
      <c r="F47" s="2" t="inlineStr">
        <is>
          <t>Port George</t>
        </is>
      </c>
      <c r="G47" s="2" t="inlineStr">
        <is>
          <t>Cocos (Keeling) Islands</t>
        </is>
      </c>
      <c r="H47" s="2" t="inlineStr">
        <is>
          <t>sure</t>
        </is>
      </c>
      <c r="I47" t="inlineStr">
        <is>
          <t>especially</t>
        </is>
      </c>
    </row>
    <row r="48">
      <c r="A48" s="2" t="inlineStr">
        <is>
          <t>C4114</t>
        </is>
      </c>
      <c r="B48" s="2" t="inlineStr">
        <is>
          <t>Sandra Lowe</t>
        </is>
      </c>
      <c r="C48" s="2" t="inlineStr">
        <is>
          <t>clarkroy@phillips-russell.com</t>
        </is>
      </c>
      <c r="D48" s="2" t="inlineStr">
        <is>
          <t>312-981-1013x6648</t>
        </is>
      </c>
      <c r="E48" s="2" t="inlineStr">
        <is>
          <t>851 Misty Landing Apt. 443, South Stephanie, CT 65813</t>
        </is>
      </c>
      <c r="F48" s="2" t="inlineStr">
        <is>
          <t>Ayalabury</t>
        </is>
      </c>
      <c r="G48" s="2" t="inlineStr">
        <is>
          <t>Denmark</t>
        </is>
      </c>
      <c r="H48" s="2" t="inlineStr">
        <is>
          <t>other</t>
        </is>
      </c>
      <c r="I48" t="inlineStr">
        <is>
          <t>particularly</t>
        </is>
      </c>
    </row>
    <row r="49">
      <c r="A49" s="2" t="inlineStr">
        <is>
          <t>C4403</t>
        </is>
      </c>
      <c r="B49" s="2" t="inlineStr">
        <is>
          <t>Gina Ho</t>
        </is>
      </c>
      <c r="C49" s="2" t="inlineStr">
        <is>
          <t>lynnhudson@gmail.com</t>
        </is>
      </c>
      <c r="D49" s="2" t="inlineStr">
        <is>
          <t>613-658-1615x5269</t>
        </is>
      </c>
      <c r="E49" s="2" t="inlineStr">
        <is>
          <t>80950 Middleton Streets, West Cynthiaberg, KS 97567</t>
        </is>
      </c>
      <c r="F49" s="2" t="inlineStr">
        <is>
          <t>Hughesmouth</t>
        </is>
      </c>
      <c r="G49" s="2" t="inlineStr">
        <is>
          <t>Oman</t>
        </is>
      </c>
      <c r="H49" s="2" t="inlineStr">
        <is>
          <t>I</t>
        </is>
      </c>
      <c r="I49" t="inlineStr">
        <is>
          <t>save</t>
        </is>
      </c>
    </row>
    <row r="50">
      <c r="A50" s="2" t="inlineStr">
        <is>
          <t>C1614</t>
        </is>
      </c>
      <c r="B50" s="2" t="inlineStr">
        <is>
          <t>Monica Johnson</t>
        </is>
      </c>
      <c r="C50" s="2" t="inlineStr">
        <is>
          <t>richard64@yahoo.com</t>
        </is>
      </c>
      <c r="D50" s="2" t="inlineStr">
        <is>
          <t>001-935-086-6755</t>
        </is>
      </c>
      <c r="E50" s="2" t="inlineStr">
        <is>
          <t>2043 Carrie Inlet, Laurenside, KY 81183</t>
        </is>
      </c>
      <c r="F50" s="2" t="inlineStr">
        <is>
          <t>Andersonmouth</t>
        </is>
      </c>
      <c r="G50" s="2" t="inlineStr">
        <is>
          <t>Solomon Islands</t>
        </is>
      </c>
      <c r="H50" s="2" t="inlineStr">
        <is>
          <t>relate</t>
        </is>
      </c>
      <c r="I50" t="inlineStr">
        <is>
          <t>event</t>
        </is>
      </c>
    </row>
    <row r="51">
      <c r="A51" s="2" t="inlineStr">
        <is>
          <t>C2427</t>
        </is>
      </c>
      <c r="B51" s="2" t="inlineStr">
        <is>
          <t>Anne Robinson</t>
        </is>
      </c>
      <c r="C51" s="2" t="inlineStr">
        <is>
          <t>leonardjohnson@mcguire.com</t>
        </is>
      </c>
      <c r="D51" s="2" t="inlineStr">
        <is>
          <t>001-365-087-3018x1501</t>
        </is>
      </c>
      <c r="E51" s="2" t="inlineStr">
        <is>
          <t>892 Duncan Underpass, Marcusburgh, CT 56181</t>
        </is>
      </c>
      <c r="F51" s="2" t="inlineStr">
        <is>
          <t>North Jessicaville</t>
        </is>
      </c>
      <c r="G51" s="2" t="inlineStr">
        <is>
          <t>Ireland</t>
        </is>
      </c>
      <c r="H51" s="2" t="inlineStr">
        <is>
          <t>another</t>
        </is>
      </c>
      <c r="I51" t="inlineStr">
        <is>
          <t>door</t>
        </is>
      </c>
    </row>
    <row r="52">
      <c r="A52" s="2" t="inlineStr">
        <is>
          <t>C6975</t>
        </is>
      </c>
      <c r="B52" s="2" t="inlineStr">
        <is>
          <t>Kristen Hays</t>
        </is>
      </c>
      <c r="C52" s="2" t="inlineStr">
        <is>
          <t>cooperkendra@hotmail.com</t>
        </is>
      </c>
      <c r="D52" s="2" t="inlineStr">
        <is>
          <t>001-539-732-0109x9579</t>
        </is>
      </c>
      <c r="E52" s="2" t="inlineStr">
        <is>
          <t>1913 Barber Pine Apt. 288, Lake Julie, AZ 73063</t>
        </is>
      </c>
      <c r="F52" s="2" t="inlineStr">
        <is>
          <t>Port Karinaland</t>
        </is>
      </c>
      <c r="G52" s="2" t="inlineStr">
        <is>
          <t>Isle of Man</t>
        </is>
      </c>
      <c r="H52" s="2" t="inlineStr">
        <is>
          <t>place</t>
        </is>
      </c>
      <c r="I52" t="inlineStr">
        <is>
          <t>ahead</t>
        </is>
      </c>
    </row>
    <row r="53">
      <c r="A53" s="2" t="inlineStr">
        <is>
          <t>C1405</t>
        </is>
      </c>
      <c r="B53" s="2" t="inlineStr">
        <is>
          <t>Glenn Callahan</t>
        </is>
      </c>
      <c r="C53" s="2" t="inlineStr">
        <is>
          <t>scott93@hill.com</t>
        </is>
      </c>
      <c r="D53" s="2" t="inlineStr">
        <is>
          <t>(434)162-5655</t>
        </is>
      </c>
      <c r="E53" s="2" t="inlineStr">
        <is>
          <t>3732 Don Fall Apt. 803, West David, WV 94609</t>
        </is>
      </c>
      <c r="F53" s="2" t="inlineStr">
        <is>
          <t>Lake Frank</t>
        </is>
      </c>
      <c r="G53" s="2" t="inlineStr">
        <is>
          <t>Palau</t>
        </is>
      </c>
      <c r="H53" s="2" t="inlineStr">
        <is>
          <t>outside</t>
        </is>
      </c>
      <c r="I53" t="inlineStr">
        <is>
          <t>put</t>
        </is>
      </c>
    </row>
    <row r="54">
      <c r="A54" s="2" t="inlineStr">
        <is>
          <t>C4978</t>
        </is>
      </c>
      <c r="B54" s="2" t="inlineStr">
        <is>
          <t>Amy Thompson</t>
        </is>
      </c>
      <c r="C54" s="2" t="inlineStr">
        <is>
          <t>danielle35@gmail.com</t>
        </is>
      </c>
      <c r="D54" s="2" t="inlineStr">
        <is>
          <t>(301)804-0240x25513</t>
        </is>
      </c>
      <c r="E54" s="2" t="inlineStr">
        <is>
          <t>993 Schmidt Rest Suite 287, East Adam, SD 08059</t>
        </is>
      </c>
      <c r="F54" s="2" t="inlineStr">
        <is>
          <t>Kristinshire</t>
        </is>
      </c>
      <c r="G54" s="2" t="inlineStr">
        <is>
          <t>Burkina Faso</t>
        </is>
      </c>
      <c r="H54" s="2" t="inlineStr">
        <is>
          <t>data</t>
        </is>
      </c>
      <c r="I54" t="inlineStr">
        <is>
          <t>sign</t>
        </is>
      </c>
    </row>
    <row r="55">
      <c r="A55" s="2" t="inlineStr">
        <is>
          <t>C8045</t>
        </is>
      </c>
      <c r="B55" s="2" t="inlineStr">
        <is>
          <t>Matthew Alvarez</t>
        </is>
      </c>
      <c r="C55" s="2" t="inlineStr">
        <is>
          <t>jerryhall@rice.com</t>
        </is>
      </c>
      <c r="D55" s="2" t="inlineStr">
        <is>
          <t>001-174-827-8419</t>
        </is>
      </c>
      <c r="E55" s="2" t="inlineStr">
        <is>
          <t>20565 Peter Lock, North Lindsey, MS 28002</t>
        </is>
      </c>
      <c r="F55" s="2" t="inlineStr">
        <is>
          <t>Lake Jamie</t>
        </is>
      </c>
      <c r="G55" s="2" t="inlineStr">
        <is>
          <t>Palestinian Territory</t>
        </is>
      </c>
      <c r="H55" s="2" t="inlineStr">
        <is>
          <t>actually</t>
        </is>
      </c>
      <c r="I55" t="inlineStr">
        <is>
          <t>involve</t>
        </is>
      </c>
    </row>
    <row r="56">
      <c r="A56" s="2" t="inlineStr">
        <is>
          <t>C6848</t>
        </is>
      </c>
      <c r="B56" s="2" t="inlineStr">
        <is>
          <t>Norma Long</t>
        </is>
      </c>
      <c r="C56" s="2" t="inlineStr">
        <is>
          <t>jameskennedy@mcgee.com</t>
        </is>
      </c>
      <c r="D56" s="2" t="inlineStr">
        <is>
          <t>118-169-4546</t>
        </is>
      </c>
      <c r="E56" s="2" t="inlineStr">
        <is>
          <t>9483 Mark Orchard Suite 865, Crossberg, CA 17763</t>
        </is>
      </c>
      <c r="F56" s="2" t="inlineStr">
        <is>
          <t>Smithtown</t>
        </is>
      </c>
      <c r="G56" s="2" t="inlineStr">
        <is>
          <t>Bosnia and Herzegovina</t>
        </is>
      </c>
      <c r="H56" s="2" t="inlineStr">
        <is>
          <t>make</t>
        </is>
      </c>
      <c r="I56" t="inlineStr">
        <is>
          <t>place</t>
        </is>
      </c>
    </row>
    <row r="57">
      <c r="A57" s="2" t="inlineStr">
        <is>
          <t>C1183</t>
        </is>
      </c>
      <c r="B57" s="2" t="inlineStr">
        <is>
          <t>Michelle Freeman</t>
        </is>
      </c>
      <c r="C57" s="2" t="inlineStr">
        <is>
          <t>donnajordan@gmail.com</t>
        </is>
      </c>
      <c r="D57" s="2" t="inlineStr">
        <is>
          <t>280-940-4874</t>
        </is>
      </c>
      <c r="E57" s="2" t="inlineStr">
        <is>
          <t>3281 Darlene Well, North Michael, WY 69511</t>
        </is>
      </c>
      <c r="F57" s="2" t="inlineStr">
        <is>
          <t>Franklinstad</t>
        </is>
      </c>
      <c r="G57" s="2" t="inlineStr">
        <is>
          <t>Mauritius</t>
        </is>
      </c>
      <c r="H57" s="2" t="inlineStr">
        <is>
          <t>Mrs</t>
        </is>
      </c>
      <c r="I57" t="inlineStr">
        <is>
          <t>girl</t>
        </is>
      </c>
    </row>
    <row r="58">
      <c r="A58" s="2" t="inlineStr">
        <is>
          <t>C2074</t>
        </is>
      </c>
      <c r="B58" s="2" t="inlineStr">
        <is>
          <t>Mary Daugherty</t>
        </is>
      </c>
      <c r="C58" s="2" t="inlineStr">
        <is>
          <t>fostersarah@gray.com</t>
        </is>
      </c>
      <c r="D58" s="2" t="inlineStr">
        <is>
          <t>(399)770-8489x6774</t>
        </is>
      </c>
      <c r="E58" s="2" t="inlineStr">
        <is>
          <t>89271 Carr Cape Suite 446, Feliciafurt, KS 67567</t>
        </is>
      </c>
      <c r="F58" s="2" t="inlineStr">
        <is>
          <t>Alexanderbury</t>
        </is>
      </c>
      <c r="G58" s="2" t="inlineStr">
        <is>
          <t>Ethiopia</t>
        </is>
      </c>
      <c r="H58" s="2" t="inlineStr">
        <is>
          <t>through</t>
        </is>
      </c>
      <c r="I58" t="inlineStr">
        <is>
          <t>treat</t>
        </is>
      </c>
    </row>
    <row r="59">
      <c r="A59" s="2" t="inlineStr">
        <is>
          <t>C7407</t>
        </is>
      </c>
      <c r="B59" s="2" t="inlineStr">
        <is>
          <t>Angel Smith</t>
        </is>
      </c>
      <c r="C59" s="2" t="inlineStr">
        <is>
          <t>troychavez@roberson.org</t>
        </is>
      </c>
      <c r="D59" s="2" t="inlineStr">
        <is>
          <t>714.694.9703</t>
        </is>
      </c>
      <c r="E59" s="2" t="inlineStr">
        <is>
          <t>6034 Pena Meadow Suite 419, East Edwinburgh, MT 91557</t>
        </is>
      </c>
      <c r="F59" s="2" t="inlineStr">
        <is>
          <t>Mariastad</t>
        </is>
      </c>
      <c r="G59" s="2" t="inlineStr">
        <is>
          <t>Albania</t>
        </is>
      </c>
      <c r="H59" s="2" t="inlineStr">
        <is>
          <t>party</t>
        </is>
      </c>
      <c r="I59" t="inlineStr">
        <is>
          <t>treatment</t>
        </is>
      </c>
    </row>
    <row r="60">
      <c r="A60" s="2" t="inlineStr">
        <is>
          <t>C5069</t>
        </is>
      </c>
      <c r="B60" s="2" t="inlineStr">
        <is>
          <t>Christopher Henderson</t>
        </is>
      </c>
      <c r="C60" s="2" t="inlineStr">
        <is>
          <t>danielking@hutchinson-ross.biz</t>
        </is>
      </c>
      <c r="D60" s="2" t="inlineStr">
        <is>
          <t>+1-450-534-0609x906</t>
        </is>
      </c>
      <c r="E60" s="2" t="inlineStr">
        <is>
          <t>3275 Elizabeth Inlet Apt. 925, Martinezville, LA 65463</t>
        </is>
      </c>
      <c r="F60" s="2" t="inlineStr">
        <is>
          <t>Robertview</t>
        </is>
      </c>
      <c r="G60" s="2" t="inlineStr">
        <is>
          <t>Central African Republic</t>
        </is>
      </c>
      <c r="H60" s="2" t="inlineStr">
        <is>
          <t>his</t>
        </is>
      </c>
      <c r="I60" t="inlineStr">
        <is>
          <t>easy</t>
        </is>
      </c>
    </row>
    <row r="61">
      <c r="A61" s="2" t="inlineStr">
        <is>
          <t>C7907</t>
        </is>
      </c>
      <c r="B61" s="2" t="inlineStr">
        <is>
          <t>Jonathan Luna</t>
        </is>
      </c>
      <c r="C61" s="2" t="inlineStr">
        <is>
          <t>theodore50@hernandez.com</t>
        </is>
      </c>
      <c r="D61" s="2" t="inlineStr">
        <is>
          <t>+1-645-200-7787x799</t>
        </is>
      </c>
      <c r="E61" s="2" t="inlineStr">
        <is>
          <t>974 Darlene Spring, New Christina, WY 63201</t>
        </is>
      </c>
      <c r="F61" s="2" t="inlineStr">
        <is>
          <t>North Emilyfurt</t>
        </is>
      </c>
      <c r="G61" s="2" t="inlineStr">
        <is>
          <t>American Samoa</t>
        </is>
      </c>
      <c r="H61" s="2" t="inlineStr">
        <is>
          <t>possible</t>
        </is>
      </c>
      <c r="I61" t="inlineStr">
        <is>
          <t>over</t>
        </is>
      </c>
    </row>
    <row r="62">
      <c r="A62" s="2" t="inlineStr">
        <is>
          <t>C9031</t>
        </is>
      </c>
      <c r="B62" s="2" t="inlineStr">
        <is>
          <t>Holly Tanner</t>
        </is>
      </c>
      <c r="C62" s="2" t="inlineStr">
        <is>
          <t>davidfigueroa@waters-wolfe.biz</t>
        </is>
      </c>
      <c r="D62" s="2" t="inlineStr">
        <is>
          <t>001-736-762-7424x498</t>
        </is>
      </c>
      <c r="E62" s="2" t="inlineStr">
        <is>
          <t>8856 Schroeder Mission Apt. 972, Port Debbiechester, VT 17243</t>
        </is>
      </c>
      <c r="F62" s="2" t="inlineStr">
        <is>
          <t>Toddberg</t>
        </is>
      </c>
      <c r="G62" s="2" t="inlineStr">
        <is>
          <t>Greece</t>
        </is>
      </c>
      <c r="H62" s="2" t="inlineStr">
        <is>
          <t>care</t>
        </is>
      </c>
      <c r="I62" t="inlineStr">
        <is>
          <t>analysis</t>
        </is>
      </c>
    </row>
    <row r="63">
      <c r="A63" s="2" t="inlineStr">
        <is>
          <t>C8758</t>
        </is>
      </c>
      <c r="B63" s="2" t="inlineStr">
        <is>
          <t>Connie Bright</t>
        </is>
      </c>
      <c r="C63" s="2" t="inlineStr">
        <is>
          <t>fischerryan@williams.com</t>
        </is>
      </c>
      <c r="D63" s="2" t="inlineStr">
        <is>
          <t>136.493.1414x304</t>
        </is>
      </c>
      <c r="E63" s="2" t="inlineStr">
        <is>
          <t>60352 Sarah Dale, Guerrahaven, GA 22815</t>
        </is>
      </c>
      <c r="F63" s="2" t="inlineStr">
        <is>
          <t>East Angela</t>
        </is>
      </c>
      <c r="G63" s="2" t="inlineStr">
        <is>
          <t>Kyrgyz Republic</t>
        </is>
      </c>
      <c r="H63" s="2" t="inlineStr">
        <is>
          <t>forward</t>
        </is>
      </c>
      <c r="I63" t="inlineStr">
        <is>
          <t>student</t>
        </is>
      </c>
    </row>
    <row r="64">
      <c r="A64" s="2" t="inlineStr">
        <is>
          <t>C5094</t>
        </is>
      </c>
      <c r="B64" s="2" t="inlineStr">
        <is>
          <t>Michael Rowe</t>
        </is>
      </c>
      <c r="C64" s="2" t="inlineStr">
        <is>
          <t>bethany42@james.com</t>
        </is>
      </c>
      <c r="D64" s="2" t="inlineStr">
        <is>
          <t>+1-392-099-4863x942</t>
        </is>
      </c>
      <c r="E64" s="2" t="inlineStr">
        <is>
          <t>55041 David Avenue Suite 100, Codymouth, TX 58073</t>
        </is>
      </c>
      <c r="F64" s="2" t="inlineStr">
        <is>
          <t>Samanthatown</t>
        </is>
      </c>
      <c r="G64" s="2" t="inlineStr">
        <is>
          <t>Tokelau</t>
        </is>
      </c>
      <c r="H64" s="2" t="inlineStr">
        <is>
          <t>agency</t>
        </is>
      </c>
      <c r="I64" t="inlineStr">
        <is>
          <t>yeah</t>
        </is>
      </c>
    </row>
    <row r="65">
      <c r="A65" s="2" t="inlineStr">
        <is>
          <t>C2292</t>
        </is>
      </c>
      <c r="B65" s="2" t="inlineStr">
        <is>
          <t>Brett Hall</t>
        </is>
      </c>
      <c r="C65" s="2" t="inlineStr">
        <is>
          <t>carolynmccormick@yahoo.com</t>
        </is>
      </c>
      <c r="D65" s="2" t="inlineStr">
        <is>
          <t>+1-466-479-4200</t>
        </is>
      </c>
      <c r="E65" s="2" t="inlineStr">
        <is>
          <t>53886 Arellano Club Suite 712, New Jorgeview, MD 81098</t>
        </is>
      </c>
      <c r="F65" s="2" t="inlineStr">
        <is>
          <t>Port Emilyhaven</t>
        </is>
      </c>
      <c r="G65" s="2" t="inlineStr">
        <is>
          <t>Chad</t>
        </is>
      </c>
      <c r="H65" s="2" t="inlineStr">
        <is>
          <t>assume</t>
        </is>
      </c>
      <c r="I65" t="inlineStr">
        <is>
          <t>professional</t>
        </is>
      </c>
    </row>
    <row r="66">
      <c r="A66" s="2" t="inlineStr">
        <is>
          <t>C3828</t>
        </is>
      </c>
      <c r="B66" s="2" t="inlineStr">
        <is>
          <t>Angela Edwards</t>
        </is>
      </c>
      <c r="C66" s="2" t="inlineStr">
        <is>
          <t>tstone@yahoo.com</t>
        </is>
      </c>
      <c r="D66" s="2" t="inlineStr">
        <is>
          <t>(323)484-6170x13216</t>
        </is>
      </c>
      <c r="E66" s="2" t="inlineStr">
        <is>
          <t>3115 Dawn Springs, Amberchester, SD 82292</t>
        </is>
      </c>
      <c r="F66" s="2" t="inlineStr">
        <is>
          <t>East Tinaview</t>
        </is>
      </c>
      <c r="G66" s="2" t="inlineStr">
        <is>
          <t>Turks and Caicos Islands</t>
        </is>
      </c>
      <c r="H66" s="2" t="inlineStr">
        <is>
          <t>public</t>
        </is>
      </c>
      <c r="I66" t="inlineStr">
        <is>
          <t>identify</t>
        </is>
      </c>
    </row>
    <row r="67">
      <c r="A67" s="2" t="inlineStr">
        <is>
          <t>C1159</t>
        </is>
      </c>
      <c r="B67" s="2" t="inlineStr">
        <is>
          <t>Crystal Miller</t>
        </is>
      </c>
      <c r="C67" s="2" t="inlineStr">
        <is>
          <t>bgutierrez@yahoo.com</t>
        </is>
      </c>
      <c r="D67" s="2" t="inlineStr">
        <is>
          <t>569.710.0209</t>
        </is>
      </c>
      <c r="E67" s="2" t="inlineStr">
        <is>
          <t>686 Kristin Corners Suite 660, Douglasborough, VA 96685</t>
        </is>
      </c>
      <c r="F67" s="2" t="inlineStr">
        <is>
          <t>New Christopher</t>
        </is>
      </c>
      <c r="G67" s="2" t="inlineStr">
        <is>
          <t>Malaysia</t>
        </is>
      </c>
      <c r="H67" s="2" t="inlineStr">
        <is>
          <t>win</t>
        </is>
      </c>
      <c r="I67" t="inlineStr">
        <is>
          <t>manage</t>
        </is>
      </c>
    </row>
    <row r="68">
      <c r="A68" s="2" t="inlineStr">
        <is>
          <t>C2422</t>
        </is>
      </c>
      <c r="B68" s="2" t="inlineStr">
        <is>
          <t>Mr. Christopher Miller PhD</t>
        </is>
      </c>
      <c r="C68" s="2" t="inlineStr">
        <is>
          <t>rhodesrose@yahoo.com</t>
        </is>
      </c>
      <c r="D68" s="2" t="inlineStr">
        <is>
          <t>001-678-796-5131x538</t>
        </is>
      </c>
      <c r="E68" s="2" t="inlineStr">
        <is>
          <t>9772 Victor Mission Suite 948, Port Barbaraland, UT 47530</t>
        </is>
      </c>
      <c r="F68" s="2" t="inlineStr">
        <is>
          <t>Georgeview</t>
        </is>
      </c>
      <c r="G68" s="2" t="inlineStr">
        <is>
          <t>Grenada</t>
        </is>
      </c>
      <c r="H68" s="2" t="inlineStr">
        <is>
          <t>bar</t>
        </is>
      </c>
      <c r="I68" t="inlineStr">
        <is>
          <t>mean</t>
        </is>
      </c>
    </row>
    <row r="69">
      <c r="A69" s="2" t="inlineStr">
        <is>
          <t>C6131</t>
        </is>
      </c>
      <c r="B69" s="2" t="inlineStr">
        <is>
          <t>Amber Gonzalez</t>
        </is>
      </c>
      <c r="C69" s="2" t="inlineStr">
        <is>
          <t>matthew05@hotmail.com</t>
        </is>
      </c>
      <c r="D69" s="2" t="inlineStr">
        <is>
          <t>800.661.0734x309</t>
        </is>
      </c>
      <c r="E69" s="2" t="inlineStr">
        <is>
          <t>4891 Ryan Pass Suite 071, North Ashleyhaven, NE 25730</t>
        </is>
      </c>
      <c r="F69" s="2" t="inlineStr">
        <is>
          <t>Courtneyborough</t>
        </is>
      </c>
      <c r="G69" s="2" t="inlineStr">
        <is>
          <t>France</t>
        </is>
      </c>
      <c r="H69" s="2" t="inlineStr">
        <is>
          <t>beyond</t>
        </is>
      </c>
      <c r="I69" t="inlineStr">
        <is>
          <t>soon</t>
        </is>
      </c>
    </row>
    <row r="70">
      <c r="A70" s="2" t="inlineStr">
        <is>
          <t>C1215</t>
        </is>
      </c>
      <c r="B70" s="2" t="inlineStr">
        <is>
          <t>Mark Harris</t>
        </is>
      </c>
      <c r="C70" s="2" t="inlineStr">
        <is>
          <t>lanceyoung@velazquez-roberts.com</t>
        </is>
      </c>
      <c r="D70" s="2" t="inlineStr">
        <is>
          <t>475-425-0429x760</t>
        </is>
      </c>
      <c r="E70" s="2" t="inlineStr">
        <is>
          <t>621 Cruz Street Apt. 935, Port Jared, KS 33924</t>
        </is>
      </c>
      <c r="F70" s="2" t="inlineStr">
        <is>
          <t>Mcleanhaven</t>
        </is>
      </c>
      <c r="G70" s="2" t="inlineStr">
        <is>
          <t>Switzerland</t>
        </is>
      </c>
      <c r="H70" s="2" t="inlineStr">
        <is>
          <t>price</t>
        </is>
      </c>
      <c r="I70" t="inlineStr">
        <is>
          <t>kid</t>
        </is>
      </c>
    </row>
    <row r="71">
      <c r="A71" s="2" t="inlineStr">
        <is>
          <t>C3216</t>
        </is>
      </c>
      <c r="B71" s="2" t="inlineStr">
        <is>
          <t>Luis Medina</t>
        </is>
      </c>
      <c r="C71" s="2" t="inlineStr">
        <is>
          <t>ibarnett@yahoo.com</t>
        </is>
      </c>
      <c r="D71" s="2" t="inlineStr">
        <is>
          <t>001-464-184-7165x17362</t>
        </is>
      </c>
      <c r="E71" s="2" t="inlineStr">
        <is>
          <t>392 Tim Terrace, Mccarthyland, SC 61345</t>
        </is>
      </c>
      <c r="F71" s="2" t="inlineStr">
        <is>
          <t>Brookefurt</t>
        </is>
      </c>
      <c r="G71" s="2" t="inlineStr">
        <is>
          <t>Burkina Faso</t>
        </is>
      </c>
      <c r="H71" s="2" t="inlineStr">
        <is>
          <t>character</t>
        </is>
      </c>
      <c r="I71" t="inlineStr">
        <is>
          <t>remain</t>
        </is>
      </c>
    </row>
    <row r="72">
      <c r="A72" s="2" t="inlineStr">
        <is>
          <t>C6740</t>
        </is>
      </c>
      <c r="B72" s="2" t="inlineStr">
        <is>
          <t>Jill Smith</t>
        </is>
      </c>
      <c r="C72" s="2" t="inlineStr">
        <is>
          <t>anthony62@yahoo.com</t>
        </is>
      </c>
      <c r="D72" s="2" t="inlineStr">
        <is>
          <t>(660)992-9564</t>
        </is>
      </c>
      <c r="E72" s="2" t="inlineStr">
        <is>
          <t>99182 Beck Plains Apt. 349, North Samanthaland, NH 28779</t>
        </is>
      </c>
      <c r="F72" s="2" t="inlineStr">
        <is>
          <t>North Scott</t>
        </is>
      </c>
      <c r="G72" s="2" t="inlineStr">
        <is>
          <t>Fiji</t>
        </is>
      </c>
      <c r="H72" s="2" t="inlineStr">
        <is>
          <t>share</t>
        </is>
      </c>
      <c r="I72" t="inlineStr">
        <is>
          <t>check</t>
        </is>
      </c>
    </row>
    <row r="73">
      <c r="A73" s="2" t="inlineStr">
        <is>
          <t>C7754</t>
        </is>
      </c>
      <c r="B73" s="2" t="inlineStr">
        <is>
          <t>Oscar Collins</t>
        </is>
      </c>
      <c r="C73" s="2" t="inlineStr">
        <is>
          <t>daniel99@yahoo.com</t>
        </is>
      </c>
      <c r="D73" s="2" t="inlineStr">
        <is>
          <t>851-267-8957x95348</t>
        </is>
      </c>
      <c r="E73" s="2" t="inlineStr">
        <is>
          <t>4033 Alicia Mission Apt. 406, Lozanomouth, ME 90628</t>
        </is>
      </c>
      <c r="F73" s="2" t="inlineStr">
        <is>
          <t>Charlestown</t>
        </is>
      </c>
      <c r="G73" s="2" t="inlineStr">
        <is>
          <t>Canada</t>
        </is>
      </c>
      <c r="H73" s="2" t="inlineStr">
        <is>
          <t>role</t>
        </is>
      </c>
      <c r="I73" t="inlineStr">
        <is>
          <t>safe</t>
        </is>
      </c>
    </row>
    <row r="74">
      <c r="A74" s="2" t="inlineStr">
        <is>
          <t>C2457</t>
        </is>
      </c>
      <c r="B74" s="2" t="inlineStr">
        <is>
          <t>Jennifer Brooks</t>
        </is>
      </c>
      <c r="C74" s="2" t="inlineStr">
        <is>
          <t>laura01@gmail.com</t>
        </is>
      </c>
      <c r="D74" s="2" t="inlineStr">
        <is>
          <t>0303826665</t>
        </is>
      </c>
      <c r="E74" s="2" t="inlineStr">
        <is>
          <t>0540 Aaron Dale, Hernandezview, MO 35941</t>
        </is>
      </c>
      <c r="F74" s="2" t="inlineStr">
        <is>
          <t>Kaisertown</t>
        </is>
      </c>
      <c r="G74" s="2" t="inlineStr">
        <is>
          <t>Bangladesh</t>
        </is>
      </c>
      <c r="H74" s="2" t="inlineStr">
        <is>
          <t>military</t>
        </is>
      </c>
      <c r="I74" t="inlineStr">
        <is>
          <t>form</t>
        </is>
      </c>
    </row>
    <row r="75">
      <c r="A75" s="2" t="inlineStr">
        <is>
          <t>C6912</t>
        </is>
      </c>
      <c r="B75" s="2" t="inlineStr">
        <is>
          <t>Victoria Williams</t>
        </is>
      </c>
      <c r="C75" s="2" t="inlineStr">
        <is>
          <t>wallangela@gutierrez.com</t>
        </is>
      </c>
      <c r="D75" s="2" t="inlineStr">
        <is>
          <t>850.539.8964x77447</t>
        </is>
      </c>
      <c r="E75" s="2" t="inlineStr">
        <is>
          <t>92564 Mitchell Divide, North Samanthaport, MA 55641</t>
        </is>
      </c>
      <c r="F75" s="2" t="inlineStr">
        <is>
          <t>Josephborough</t>
        </is>
      </c>
      <c r="G75" s="2" t="inlineStr">
        <is>
          <t>Paraguay</t>
        </is>
      </c>
      <c r="H75" s="2" t="inlineStr">
        <is>
          <t>must</t>
        </is>
      </c>
      <c r="I75" t="inlineStr">
        <is>
          <t>prevent</t>
        </is>
      </c>
    </row>
    <row r="76">
      <c r="A76" s="2" t="inlineStr">
        <is>
          <t>C2370</t>
        </is>
      </c>
      <c r="B76" s="2" t="inlineStr">
        <is>
          <t>Brian Fernandez</t>
        </is>
      </c>
      <c r="C76" s="2" t="inlineStr">
        <is>
          <t>sschroeder@gmail.com</t>
        </is>
      </c>
      <c r="D76" s="2" t="inlineStr">
        <is>
          <t>(387)799-9293</t>
        </is>
      </c>
      <c r="E76" s="2" t="inlineStr">
        <is>
          <t>22795 Hendricks Motorway, West Davidburgh, LA 84668</t>
        </is>
      </c>
      <c r="F76" s="2" t="inlineStr">
        <is>
          <t>Lewismouth</t>
        </is>
      </c>
      <c r="G76" s="2" t="inlineStr">
        <is>
          <t>Tunisia</t>
        </is>
      </c>
      <c r="H76" s="2" t="inlineStr">
        <is>
          <t>town</t>
        </is>
      </c>
      <c r="I76" t="inlineStr">
        <is>
          <t>seek</t>
        </is>
      </c>
    </row>
    <row r="77">
      <c r="A77" s="2" t="inlineStr">
        <is>
          <t>C3538</t>
        </is>
      </c>
      <c r="B77" s="2" t="inlineStr">
        <is>
          <t>Danielle Morrison</t>
        </is>
      </c>
      <c r="C77" s="2" t="inlineStr">
        <is>
          <t>ethan46@thompson.com</t>
        </is>
      </c>
      <c r="D77" s="2" t="inlineStr">
        <is>
          <t>001-247-492-8184x036</t>
        </is>
      </c>
      <c r="E77" s="2" t="inlineStr">
        <is>
          <t>Unit 2818 Box 4076, DPO AP 11197</t>
        </is>
      </c>
      <c r="F77" s="2" t="inlineStr">
        <is>
          <t>Pricebury</t>
        </is>
      </c>
      <c r="G77" s="2" t="inlineStr">
        <is>
          <t>Singapore</t>
        </is>
      </c>
      <c r="H77" s="2" t="inlineStr">
        <is>
          <t>law</t>
        </is>
      </c>
      <c r="I77" t="inlineStr">
        <is>
          <t>mind</t>
        </is>
      </c>
    </row>
    <row r="78">
      <c r="A78" s="2" t="inlineStr">
        <is>
          <t>C3908</t>
        </is>
      </c>
      <c r="B78" s="2" t="inlineStr">
        <is>
          <t>Amanda Taylor</t>
        </is>
      </c>
      <c r="C78" s="2" t="inlineStr">
        <is>
          <t>fergusonandrew@hotmail.com</t>
        </is>
      </c>
      <c r="D78" s="2" t="inlineStr">
        <is>
          <t>(082)330-4550x4331</t>
        </is>
      </c>
      <c r="E78" s="2" t="inlineStr">
        <is>
          <t>5172 Huerta Pine, Tracyview, MS 13786</t>
        </is>
      </c>
      <c r="F78" s="2" t="inlineStr">
        <is>
          <t>Michaelstad</t>
        </is>
      </c>
      <c r="G78" s="2" t="inlineStr">
        <is>
          <t>Palestinian Territory</t>
        </is>
      </c>
      <c r="H78" s="2" t="inlineStr">
        <is>
          <t>interesting</t>
        </is>
      </c>
      <c r="I78" t="inlineStr">
        <is>
          <t>significant</t>
        </is>
      </c>
    </row>
    <row r="79">
      <c r="A79" s="2" t="inlineStr">
        <is>
          <t>C3403</t>
        </is>
      </c>
      <c r="B79" s="2" t="inlineStr">
        <is>
          <t>John Davis</t>
        </is>
      </c>
      <c r="C79" s="2" t="inlineStr">
        <is>
          <t>qwashington@blair.net</t>
        </is>
      </c>
      <c r="D79" s="2" t="inlineStr">
        <is>
          <t>+1-053-722-6544x29719</t>
        </is>
      </c>
      <c r="E79" s="2" t="inlineStr">
        <is>
          <t>996 Waters Cape, Juliechester, WA 76794</t>
        </is>
      </c>
      <c r="F79" s="2" t="inlineStr">
        <is>
          <t>Pedrofurt</t>
        </is>
      </c>
      <c r="G79" s="2" t="inlineStr">
        <is>
          <t>Uzbekistan</t>
        </is>
      </c>
      <c r="H79" s="2" t="inlineStr">
        <is>
          <t>difference</t>
        </is>
      </c>
      <c r="I79" t="inlineStr">
        <is>
          <t>live</t>
        </is>
      </c>
    </row>
    <row r="80">
      <c r="A80" s="2" t="inlineStr">
        <is>
          <t>C9050</t>
        </is>
      </c>
      <c r="B80" s="2" t="inlineStr">
        <is>
          <t>Kenneth Rodriguez</t>
        </is>
      </c>
      <c r="C80" s="2" t="inlineStr">
        <is>
          <t>dawnhart@gmail.com</t>
        </is>
      </c>
      <c r="D80" s="2" t="inlineStr">
        <is>
          <t>+1-381-816-7848</t>
        </is>
      </c>
      <c r="E80" s="2" t="inlineStr">
        <is>
          <t>4527 Stephanie Greens, Jasmineside, VA 58981</t>
        </is>
      </c>
      <c r="F80" s="2" t="inlineStr">
        <is>
          <t>Freemantown</t>
        </is>
      </c>
      <c r="G80" s="2" t="inlineStr">
        <is>
          <t>Poland</t>
        </is>
      </c>
      <c r="H80" s="2" t="inlineStr">
        <is>
          <t>usually</t>
        </is>
      </c>
      <c r="I80" t="inlineStr">
        <is>
          <t>use</t>
        </is>
      </c>
    </row>
    <row r="81">
      <c r="A81" s="2" t="inlineStr">
        <is>
          <t>C8975</t>
        </is>
      </c>
      <c r="B81" s="2" t="inlineStr">
        <is>
          <t>Amy Miller</t>
        </is>
      </c>
      <c r="C81" s="2" t="inlineStr">
        <is>
          <t>matthewvaldez@scott.info</t>
        </is>
      </c>
      <c r="D81" s="2" t="inlineStr">
        <is>
          <t>685-267-3678x673</t>
        </is>
      </c>
      <c r="E81" s="2" t="inlineStr">
        <is>
          <t>71101 Linda Skyway Suite 661, East Cody, OR 68450</t>
        </is>
      </c>
      <c r="F81" s="2" t="inlineStr">
        <is>
          <t>North Devinport</t>
        </is>
      </c>
      <c r="G81" s="2" t="inlineStr">
        <is>
          <t>Moldova</t>
        </is>
      </c>
      <c r="H81" s="2" t="inlineStr">
        <is>
          <t>prove</t>
        </is>
      </c>
      <c r="I81" t="inlineStr">
        <is>
          <t>yourself</t>
        </is>
      </c>
    </row>
    <row r="82">
      <c r="A82" s="2" t="inlineStr">
        <is>
          <t>C4135</t>
        </is>
      </c>
      <c r="B82" s="2" t="inlineStr">
        <is>
          <t>Sherry Terry</t>
        </is>
      </c>
      <c r="C82" s="2" t="inlineStr">
        <is>
          <t>xdiaz@hoffman-stephens.com</t>
        </is>
      </c>
      <c r="D82" s="2" t="inlineStr">
        <is>
          <t>674.541.8317</t>
        </is>
      </c>
      <c r="E82" s="2" t="inlineStr">
        <is>
          <t>511 Waller Points, South Micheleside, DE 60511</t>
        </is>
      </c>
      <c r="F82" s="2" t="inlineStr">
        <is>
          <t>Ericamouth</t>
        </is>
      </c>
      <c r="G82" s="2" t="inlineStr">
        <is>
          <t>Lithuania</t>
        </is>
      </c>
      <c r="H82" s="2" t="inlineStr">
        <is>
          <t>so</t>
        </is>
      </c>
      <c r="I82" t="inlineStr">
        <is>
          <t>return</t>
        </is>
      </c>
    </row>
    <row r="83">
      <c r="A83" s="2" t="inlineStr">
        <is>
          <t>C9137</t>
        </is>
      </c>
      <c r="B83" s="2" t="inlineStr">
        <is>
          <t>Barbara Thompson</t>
        </is>
      </c>
      <c r="C83" s="2" t="inlineStr">
        <is>
          <t>yharper@hotmail.com</t>
        </is>
      </c>
      <c r="D83" s="2" t="inlineStr">
        <is>
          <t>001-090-967-6900x776</t>
        </is>
      </c>
      <c r="E83" s="2" t="inlineStr">
        <is>
          <t>90328 Steven Highway Suite 083, Robertfort, ID 60637</t>
        </is>
      </c>
      <c r="F83" s="2" t="inlineStr">
        <is>
          <t>Aliborough</t>
        </is>
      </c>
      <c r="G83" s="2" t="inlineStr">
        <is>
          <t>Portugal</t>
        </is>
      </c>
      <c r="H83" s="2" t="inlineStr">
        <is>
          <t>common</t>
        </is>
      </c>
      <c r="I83" t="inlineStr">
        <is>
          <t>discuss</t>
        </is>
      </c>
    </row>
    <row r="84">
      <c r="A84" s="2" t="inlineStr">
        <is>
          <t>C3562</t>
        </is>
      </c>
      <c r="B84" s="2" t="inlineStr">
        <is>
          <t>Jason Ramos</t>
        </is>
      </c>
      <c r="C84" s="2" t="inlineStr">
        <is>
          <t>jarvisbradley@yahoo.com</t>
        </is>
      </c>
      <c r="D84" s="2" t="inlineStr">
        <is>
          <t>+1-386-953-7332x805</t>
        </is>
      </c>
      <c r="E84" s="2" t="inlineStr">
        <is>
          <t>820 Figueroa Ville, Boothstad, NM 73232</t>
        </is>
      </c>
      <c r="F84" s="2" t="inlineStr">
        <is>
          <t>Port Ricky</t>
        </is>
      </c>
      <c r="G84" s="2" t="inlineStr">
        <is>
          <t>United States Minor Outlying Islands</t>
        </is>
      </c>
      <c r="H84" s="2" t="inlineStr">
        <is>
          <t>alone</t>
        </is>
      </c>
      <c r="I84" t="inlineStr">
        <is>
          <t>some</t>
        </is>
      </c>
    </row>
    <row r="85">
      <c r="A85" s="2" t="inlineStr">
        <is>
          <t>C6869</t>
        </is>
      </c>
      <c r="B85" s="2" t="inlineStr">
        <is>
          <t>Sean Johnson</t>
        </is>
      </c>
      <c r="C85" s="2" t="inlineStr">
        <is>
          <t>victor69@abbott-mosley.org</t>
        </is>
      </c>
      <c r="D85" s="2" t="inlineStr">
        <is>
          <t>534.669.7967</t>
        </is>
      </c>
      <c r="E85" s="2" t="inlineStr">
        <is>
          <t>0423 Johnson Knoll Apt. 890, East Roy, CO 58727</t>
        </is>
      </c>
      <c r="F85" s="2" t="inlineStr">
        <is>
          <t>Cathytown</t>
        </is>
      </c>
      <c r="G85" s="2" t="inlineStr">
        <is>
          <t>Iran</t>
        </is>
      </c>
      <c r="H85" s="2" t="inlineStr">
        <is>
          <t>perhaps</t>
        </is>
      </c>
      <c r="I85" t="inlineStr">
        <is>
          <t>natural</t>
        </is>
      </c>
    </row>
    <row r="86">
      <c r="A86" s="2" t="inlineStr">
        <is>
          <t>C1714</t>
        </is>
      </c>
      <c r="B86" s="2" t="inlineStr">
        <is>
          <t>Amanda Espinoza</t>
        </is>
      </c>
      <c r="C86" s="2" t="inlineStr">
        <is>
          <t>wardashley@gregory.com</t>
        </is>
      </c>
      <c r="D86" s="2" t="inlineStr">
        <is>
          <t>001-081-918-8270x903</t>
        </is>
      </c>
      <c r="E86" s="2" t="inlineStr">
        <is>
          <t>241 Green Manors Apt. 594, Petersstad, FL 21635</t>
        </is>
      </c>
      <c r="F86" s="2" t="inlineStr">
        <is>
          <t>Wayneport</t>
        </is>
      </c>
      <c r="G86" s="2" t="inlineStr">
        <is>
          <t>Sao Tome and Principe</t>
        </is>
      </c>
      <c r="H86" s="2" t="inlineStr">
        <is>
          <t>indicate</t>
        </is>
      </c>
      <c r="I86" t="inlineStr">
        <is>
          <t>with</t>
        </is>
      </c>
    </row>
    <row r="87">
      <c r="A87" s="2" t="inlineStr">
        <is>
          <t>C6440</t>
        </is>
      </c>
      <c r="B87" s="2" t="inlineStr">
        <is>
          <t>Julia Howell</t>
        </is>
      </c>
      <c r="C87" s="2" t="inlineStr">
        <is>
          <t>tara79@ward.com</t>
        </is>
      </c>
      <c r="D87" s="2" t="inlineStr">
        <is>
          <t>001-223-160-4492x7770</t>
        </is>
      </c>
      <c r="E87" s="2" t="inlineStr">
        <is>
          <t>83273 James Club, Huntbury, MN 61919</t>
        </is>
      </c>
      <c r="F87" s="2" t="inlineStr">
        <is>
          <t>Port Justin</t>
        </is>
      </c>
      <c r="G87" s="2" t="inlineStr">
        <is>
          <t>Canada</t>
        </is>
      </c>
      <c r="H87" s="2" t="inlineStr">
        <is>
          <t>better</t>
        </is>
      </c>
      <c r="I87" t="inlineStr">
        <is>
          <t>avoid</t>
        </is>
      </c>
    </row>
    <row r="88">
      <c r="A88" s="2" t="inlineStr">
        <is>
          <t>C9956</t>
        </is>
      </c>
      <c r="B88" s="2" t="inlineStr">
        <is>
          <t>George Cook</t>
        </is>
      </c>
      <c r="C88" s="2" t="inlineStr">
        <is>
          <t>jenniferwalker@smith.com</t>
        </is>
      </c>
      <c r="D88" s="2" t="inlineStr">
        <is>
          <t>098-573-5576x64119</t>
        </is>
      </c>
      <c r="E88" s="2" t="inlineStr">
        <is>
          <t>16995 Jennifer Green, North Shannonfort, AZ 66624</t>
        </is>
      </c>
      <c r="F88" s="2" t="inlineStr">
        <is>
          <t>Farrellburgh</t>
        </is>
      </c>
      <c r="G88" s="2" t="inlineStr">
        <is>
          <t>Costa Rica</t>
        </is>
      </c>
      <c r="H88" s="2" t="inlineStr">
        <is>
          <t>themselves</t>
        </is>
      </c>
      <c r="I88" t="inlineStr">
        <is>
          <t>each</t>
        </is>
      </c>
    </row>
    <row r="89">
      <c r="A89" s="2" t="inlineStr">
        <is>
          <t>C6654</t>
        </is>
      </c>
      <c r="B89" s="2" t="inlineStr">
        <is>
          <t>Luis Matthews</t>
        </is>
      </c>
      <c r="C89" s="2" t="inlineStr">
        <is>
          <t>kerrjames@underwood.com</t>
        </is>
      </c>
      <c r="D89" s="2" t="inlineStr">
        <is>
          <t>108-891-1416</t>
        </is>
      </c>
      <c r="E89" s="2" t="inlineStr">
        <is>
          <t>592 John Rue, Jasonland, ME 01484</t>
        </is>
      </c>
      <c r="F89" s="2" t="inlineStr">
        <is>
          <t>Reynoldsborough</t>
        </is>
      </c>
      <c r="G89" s="2" t="inlineStr">
        <is>
          <t>Eritrea</t>
        </is>
      </c>
      <c r="H89" s="2" t="inlineStr">
        <is>
          <t>form</t>
        </is>
      </c>
      <c r="I89" t="inlineStr">
        <is>
          <t>thing</t>
        </is>
      </c>
    </row>
    <row r="90">
      <c r="A90" s="2" t="inlineStr">
        <is>
          <t>C7218</t>
        </is>
      </c>
      <c r="B90" s="2" t="inlineStr">
        <is>
          <t>Wendy Rodriguez</t>
        </is>
      </c>
      <c r="C90" s="2" t="inlineStr">
        <is>
          <t>fgibson@gray-blackwell.info</t>
        </is>
      </c>
      <c r="D90" s="2" t="inlineStr">
        <is>
          <t>(508)857-7749x5774</t>
        </is>
      </c>
      <c r="E90" s="2" t="inlineStr">
        <is>
          <t>438 Amber Glen, Kennethville, LA 19014</t>
        </is>
      </c>
      <c r="F90" s="2" t="inlineStr">
        <is>
          <t>East Alicia</t>
        </is>
      </c>
      <c r="G90" s="2" t="inlineStr">
        <is>
          <t>Netherlands</t>
        </is>
      </c>
      <c r="H90" s="2" t="inlineStr">
        <is>
          <t>start</t>
        </is>
      </c>
      <c r="I90" t="inlineStr">
        <is>
          <t>hope</t>
        </is>
      </c>
    </row>
    <row r="91">
      <c r="A91" s="2" t="inlineStr">
        <is>
          <t>C2732</t>
        </is>
      </c>
      <c r="B91" s="2" t="inlineStr">
        <is>
          <t>Barbara Miller</t>
        </is>
      </c>
      <c r="C91" s="2" t="inlineStr">
        <is>
          <t>lisa15@hotmail.com</t>
        </is>
      </c>
      <c r="D91" s="2" t="inlineStr">
        <is>
          <t>+1-880-784-8189x283</t>
        </is>
      </c>
      <c r="E91" s="2" t="inlineStr">
        <is>
          <t>2117 Corey Canyon Suite 279, New Davidbury, IL 02677</t>
        </is>
      </c>
      <c r="F91" s="2" t="inlineStr">
        <is>
          <t>Wellsview</t>
        </is>
      </c>
      <c r="G91" s="2" t="inlineStr">
        <is>
          <t>Uruguay</t>
        </is>
      </c>
      <c r="H91" s="2" t="inlineStr">
        <is>
          <t>space</t>
        </is>
      </c>
      <c r="I91" t="inlineStr">
        <is>
          <t>must</t>
        </is>
      </c>
    </row>
    <row r="92">
      <c r="A92" s="2" t="inlineStr">
        <is>
          <t>C7192</t>
        </is>
      </c>
      <c r="B92" s="2" t="inlineStr">
        <is>
          <t>Matthew Anderson</t>
        </is>
      </c>
      <c r="C92" s="2" t="inlineStr">
        <is>
          <t>erinosborne@yahoo.com</t>
        </is>
      </c>
      <c r="D92" s="2" t="inlineStr">
        <is>
          <t>(788)984-9992x31405</t>
        </is>
      </c>
      <c r="E92" s="2" t="inlineStr">
        <is>
          <t>307 Powell Flats, Alexanderton, CO 23598</t>
        </is>
      </c>
      <c r="F92" s="2" t="inlineStr">
        <is>
          <t>Port Jessicachester</t>
        </is>
      </c>
      <c r="G92" s="2" t="inlineStr">
        <is>
          <t>French Southern Territories</t>
        </is>
      </c>
      <c r="H92" s="2" t="inlineStr">
        <is>
          <t>money</t>
        </is>
      </c>
      <c r="I92" t="inlineStr">
        <is>
          <t>smile</t>
        </is>
      </c>
    </row>
    <row r="93">
      <c r="A93" s="2" t="inlineStr">
        <is>
          <t>C5721</t>
        </is>
      </c>
      <c r="B93" s="2" t="inlineStr">
        <is>
          <t>Savannah Harris</t>
        </is>
      </c>
      <c r="C93" s="2" t="inlineStr">
        <is>
          <t>jason06@campbell.com</t>
        </is>
      </c>
      <c r="D93" s="2" t="inlineStr">
        <is>
          <t>001-529-768-5673x730</t>
        </is>
      </c>
      <c r="E93" s="2" t="inlineStr">
        <is>
          <t>Unit 2177 Box 9412, DPO AE 13673</t>
        </is>
      </c>
      <c r="F93" s="2" t="inlineStr">
        <is>
          <t>Port Aliciaport</t>
        </is>
      </c>
      <c r="G93" s="2" t="inlineStr">
        <is>
          <t>Afghanistan</t>
        </is>
      </c>
      <c r="H93" s="2" t="inlineStr">
        <is>
          <t>since</t>
        </is>
      </c>
      <c r="I93" t="inlineStr">
        <is>
          <t>his</t>
        </is>
      </c>
    </row>
    <row r="94">
      <c r="A94" s="2" t="inlineStr">
        <is>
          <t>C6777</t>
        </is>
      </c>
      <c r="B94" s="2" t="inlineStr">
        <is>
          <t>Laurie Farmer MD</t>
        </is>
      </c>
      <c r="C94" s="2" t="inlineStr">
        <is>
          <t>annebennett@davis-taylor.biz</t>
        </is>
      </c>
      <c r="D94" s="2" t="inlineStr">
        <is>
          <t>+1-559-129-3059x20182</t>
        </is>
      </c>
      <c r="E94" s="2" t="inlineStr">
        <is>
          <t>341 Jodi Ways Apt. 238, Port Earlbury, KS 52371</t>
        </is>
      </c>
      <c r="F94" s="2" t="inlineStr">
        <is>
          <t>New Christineberg</t>
        </is>
      </c>
      <c r="G94" s="2" t="inlineStr">
        <is>
          <t>Saint Lucia</t>
        </is>
      </c>
      <c r="H94" s="2" t="inlineStr">
        <is>
          <t>term</t>
        </is>
      </c>
      <c r="I94" t="inlineStr">
        <is>
          <t>forward</t>
        </is>
      </c>
    </row>
    <row r="95">
      <c r="A95" s="2" t="inlineStr">
        <is>
          <t>C1226</t>
        </is>
      </c>
      <c r="B95" s="2" t="inlineStr">
        <is>
          <t>Rhonda Wiggins</t>
        </is>
      </c>
      <c r="C95" s="2" t="inlineStr">
        <is>
          <t>bmiller@ryan-sherman.com</t>
        </is>
      </c>
      <c r="D95" s="2" t="inlineStr">
        <is>
          <t>001-798-780-2720x591</t>
        </is>
      </c>
      <c r="E95" s="2" t="inlineStr">
        <is>
          <t>46210 Teresa Street Apt. 843, Randallburgh, NC 04966</t>
        </is>
      </c>
      <c r="F95" s="2" t="inlineStr">
        <is>
          <t>South Michael</t>
        </is>
      </c>
      <c r="G95" s="2" t="inlineStr">
        <is>
          <t>Guam</t>
        </is>
      </c>
      <c r="H95" s="2" t="inlineStr">
        <is>
          <t>back</t>
        </is>
      </c>
      <c r="I95" t="inlineStr">
        <is>
          <t>rule</t>
        </is>
      </c>
    </row>
    <row r="96">
      <c r="A96" s="2" t="inlineStr">
        <is>
          <t>C2455</t>
        </is>
      </c>
      <c r="B96" s="2" t="inlineStr">
        <is>
          <t>Joseph Cunningham</t>
        </is>
      </c>
      <c r="C96" s="2" t="inlineStr">
        <is>
          <t>johnsonwilliam@palmer-hunter.info</t>
        </is>
      </c>
      <c r="D96" s="2" t="inlineStr">
        <is>
          <t>+1-919-563-3552</t>
        </is>
      </c>
      <c r="E96" s="2" t="inlineStr">
        <is>
          <t>4571 Murray Park, East Petershire, PA 95387</t>
        </is>
      </c>
      <c r="F96" s="2" t="inlineStr">
        <is>
          <t>Malloryland</t>
        </is>
      </c>
      <c r="G96" s="2" t="inlineStr">
        <is>
          <t>Tunisia</t>
        </is>
      </c>
      <c r="H96" s="2" t="inlineStr">
        <is>
          <t>executive</t>
        </is>
      </c>
      <c r="I96" t="inlineStr">
        <is>
          <t>back</t>
        </is>
      </c>
    </row>
    <row r="97">
      <c r="A97" s="2" t="inlineStr">
        <is>
          <t>C7163</t>
        </is>
      </c>
      <c r="B97" s="2" t="inlineStr">
        <is>
          <t>Monica Patterson</t>
        </is>
      </c>
      <c r="C97" s="2" t="inlineStr">
        <is>
          <t>meghanclark@gmail.com</t>
        </is>
      </c>
      <c r="D97" s="2" t="inlineStr">
        <is>
          <t>001-260-081-9342</t>
        </is>
      </c>
      <c r="E97" s="2" t="inlineStr">
        <is>
          <t>5538 Perez Ports Apt. 635, Lake Rebecca, NM 15100</t>
        </is>
      </c>
      <c r="F97" s="2" t="inlineStr">
        <is>
          <t>East Melindaport</t>
        </is>
      </c>
      <c r="G97" s="2" t="inlineStr">
        <is>
          <t>Singapore</t>
        </is>
      </c>
      <c r="H97" s="2" t="inlineStr">
        <is>
          <t>performance</t>
        </is>
      </c>
      <c r="I97" t="inlineStr">
        <is>
          <t>important</t>
        </is>
      </c>
    </row>
    <row r="98">
      <c r="A98" s="2" t="inlineStr">
        <is>
          <t>C4450</t>
        </is>
      </c>
      <c r="B98" s="2" t="inlineStr">
        <is>
          <t>Ashley Simpson</t>
        </is>
      </c>
      <c r="C98" s="2" t="inlineStr">
        <is>
          <t>xfisher@johnson.com</t>
        </is>
      </c>
      <c r="D98" s="2" t="inlineStr">
        <is>
          <t>758-838-2525x05416</t>
        </is>
      </c>
      <c r="E98" s="2" t="inlineStr">
        <is>
          <t>592 Dennis Island, Lake Alexanderhaven, OR 69001</t>
        </is>
      </c>
      <c r="F98" s="2" t="inlineStr">
        <is>
          <t>Port Marymouth</t>
        </is>
      </c>
      <c r="G98" s="2" t="inlineStr">
        <is>
          <t>Guadeloupe</t>
        </is>
      </c>
      <c r="H98" s="2" t="inlineStr">
        <is>
          <t>while</t>
        </is>
      </c>
      <c r="I98" t="inlineStr">
        <is>
          <t>usually</t>
        </is>
      </c>
    </row>
    <row r="99">
      <c r="A99" s="2" t="inlineStr">
        <is>
          <t>C3541</t>
        </is>
      </c>
      <c r="B99" s="2" t="inlineStr">
        <is>
          <t>Bill Hays</t>
        </is>
      </c>
      <c r="C99" s="2" t="inlineStr">
        <is>
          <t>ibooth@gmail.com</t>
        </is>
      </c>
      <c r="D99" s="2" t="inlineStr">
        <is>
          <t>820-641-8548x571</t>
        </is>
      </c>
      <c r="E99" s="2" t="inlineStr">
        <is>
          <t>6854 Bryant Port Suite 649, Jameshaven, CO 93861</t>
        </is>
      </c>
      <c r="F99" s="2" t="inlineStr">
        <is>
          <t>Michelleburgh</t>
        </is>
      </c>
      <c r="G99" s="2" t="inlineStr">
        <is>
          <t>Pakistan</t>
        </is>
      </c>
      <c r="H99" s="2" t="inlineStr">
        <is>
          <t>reflect</t>
        </is>
      </c>
      <c r="I99" t="inlineStr">
        <is>
          <t>question</t>
        </is>
      </c>
    </row>
    <row r="100">
      <c r="A100" s="2" t="inlineStr">
        <is>
          <t>C9190</t>
        </is>
      </c>
      <c r="B100" s="2" t="inlineStr">
        <is>
          <t>Jacqueline Flowers</t>
        </is>
      </c>
      <c r="C100" s="2" t="inlineStr">
        <is>
          <t>radams@morrison.com</t>
        </is>
      </c>
      <c r="D100" s="2" t="inlineStr">
        <is>
          <t>758.789.8901x47968</t>
        </is>
      </c>
      <c r="E100" s="2" t="inlineStr">
        <is>
          <t>8319 Owens Centers, Barberhaven, MI 98515</t>
        </is>
      </c>
      <c r="F100" s="2" t="inlineStr">
        <is>
          <t>East Teresafurt</t>
        </is>
      </c>
      <c r="G100" s="2" t="inlineStr">
        <is>
          <t>Samoa</t>
        </is>
      </c>
      <c r="H100" s="2" t="inlineStr">
        <is>
          <t>wall</t>
        </is>
      </c>
      <c r="I100" t="inlineStr">
        <is>
          <t>door</t>
        </is>
      </c>
    </row>
    <row r="101">
      <c r="A101" s="2" t="inlineStr">
        <is>
          <t>C9867</t>
        </is>
      </c>
      <c r="B101" s="2" t="inlineStr">
        <is>
          <t>Lisa Moore</t>
        </is>
      </c>
      <c r="C101" s="2" t="inlineStr">
        <is>
          <t>eharrison@livingston-myers.com</t>
        </is>
      </c>
      <c r="D101" s="2" t="inlineStr">
        <is>
          <t>382.093.6011x654</t>
        </is>
      </c>
      <c r="E101" s="2" t="inlineStr">
        <is>
          <t>61047 Williams Junctions, Michaelland, NV 86627</t>
        </is>
      </c>
      <c r="F101" s="2" t="inlineStr">
        <is>
          <t>East Carlosstad</t>
        </is>
      </c>
      <c r="G101" s="2" t="inlineStr">
        <is>
          <t>Iceland</t>
        </is>
      </c>
      <c r="H101" s="2" t="inlineStr">
        <is>
          <t>good</t>
        </is>
      </c>
      <c r="I101" t="inlineStr">
        <is>
          <t>woman</t>
        </is>
      </c>
    </row>
    <row r="102">
      <c r="A102" s="2" t="inlineStr">
        <is>
          <t>C5703</t>
        </is>
      </c>
      <c r="B102" s="2" t="inlineStr">
        <is>
          <t>Eric Gibson</t>
        </is>
      </c>
      <c r="C102" s="2" t="inlineStr">
        <is>
          <t>andrewlee@mann.net</t>
        </is>
      </c>
      <c r="D102" s="2" t="inlineStr">
        <is>
          <t>623.495.5295</t>
        </is>
      </c>
      <c r="E102" s="2" t="inlineStr">
        <is>
          <t>PSC 6683, Box 6954, APO AE 60526</t>
        </is>
      </c>
      <c r="F102" s="2" t="inlineStr">
        <is>
          <t>West John</t>
        </is>
      </c>
      <c r="G102" s="2" t="inlineStr">
        <is>
          <t>British Indian Ocean Territory (Chagos Archipelago)</t>
        </is>
      </c>
      <c r="H102" s="2" t="inlineStr">
        <is>
          <t>second</t>
        </is>
      </c>
      <c r="I102" t="inlineStr">
        <is>
          <t>big</t>
        </is>
      </c>
    </row>
    <row r="103">
      <c r="A103" s="2" t="inlineStr">
        <is>
          <t>C6100</t>
        </is>
      </c>
      <c r="B103" s="2" t="inlineStr">
        <is>
          <t>Larry Marshall</t>
        </is>
      </c>
      <c r="C103" s="2" t="inlineStr">
        <is>
          <t>helenryan@proctor-taylor.com</t>
        </is>
      </c>
      <c r="D103" s="2" t="inlineStr">
        <is>
          <t>303-482-2630x083</t>
        </is>
      </c>
      <c r="E103" s="2" t="inlineStr">
        <is>
          <t>8872 Jordan Points Apt. 025, East Paul, MT 23002</t>
        </is>
      </c>
      <c r="F103" s="2" t="inlineStr">
        <is>
          <t>Hughesborough</t>
        </is>
      </c>
      <c r="G103" s="2" t="inlineStr">
        <is>
          <t>Kyrgyz Republic</t>
        </is>
      </c>
      <c r="H103" s="2" t="inlineStr">
        <is>
          <t>difference</t>
        </is>
      </c>
      <c r="I103" t="inlineStr">
        <is>
          <t>blue</t>
        </is>
      </c>
    </row>
    <row r="104">
      <c r="A104" s="2" t="inlineStr">
        <is>
          <t>C4182</t>
        </is>
      </c>
      <c r="B104" s="2" t="inlineStr">
        <is>
          <t>Amy Miller</t>
        </is>
      </c>
      <c r="C104" s="2" t="inlineStr">
        <is>
          <t>deborahschroeder@yahoo.com</t>
        </is>
      </c>
      <c r="D104" s="2" t="inlineStr">
        <is>
          <t>(429)334-1418</t>
        </is>
      </c>
      <c r="E104" s="2" t="inlineStr">
        <is>
          <t>181 Wolfe Forest, Lake Stephaniestad, AK 68671</t>
        </is>
      </c>
      <c r="F104" s="2" t="inlineStr">
        <is>
          <t>Stephenfort</t>
        </is>
      </c>
      <c r="G104" s="2" t="inlineStr">
        <is>
          <t>Jamaica</t>
        </is>
      </c>
      <c r="H104" s="2" t="inlineStr">
        <is>
          <t>move</t>
        </is>
      </c>
      <c r="I104" t="inlineStr">
        <is>
          <t>serious</t>
        </is>
      </c>
    </row>
    <row r="105">
      <c r="A105" s="2" t="inlineStr">
        <is>
          <t>C5739</t>
        </is>
      </c>
      <c r="B105" s="2" t="inlineStr">
        <is>
          <t>Keith Meadows</t>
        </is>
      </c>
      <c r="C105" s="2" t="inlineStr">
        <is>
          <t>kdouglas@yahoo.com</t>
        </is>
      </c>
      <c r="D105" s="2" t="inlineStr">
        <is>
          <t>001-705-562-7319x25079</t>
        </is>
      </c>
      <c r="E105" s="2" t="inlineStr">
        <is>
          <t>32156 Eric Isle Suite 570, Kimberlystad, IA 45548</t>
        </is>
      </c>
      <c r="F105" s="2" t="inlineStr">
        <is>
          <t>Charlesmouth</t>
        </is>
      </c>
      <c r="G105" s="2" t="inlineStr">
        <is>
          <t>Latvia</t>
        </is>
      </c>
      <c r="H105" s="2" t="inlineStr">
        <is>
          <t>note</t>
        </is>
      </c>
      <c r="I105" t="inlineStr">
        <is>
          <t>increase</t>
        </is>
      </c>
    </row>
    <row r="106">
      <c r="A106" s="2" t="inlineStr">
        <is>
          <t>C7564</t>
        </is>
      </c>
      <c r="B106" s="2" t="inlineStr">
        <is>
          <t>Deborah Burnett</t>
        </is>
      </c>
      <c r="C106" s="2" t="inlineStr">
        <is>
          <t>deborahmelton@hotmail.com</t>
        </is>
      </c>
      <c r="D106" s="2" t="inlineStr">
        <is>
          <t>465.292.5894x7277</t>
        </is>
      </c>
      <c r="E106" s="2" t="inlineStr">
        <is>
          <t>2875 Lori Drive Apt. 066, Jaredchester, ID 52202</t>
        </is>
      </c>
      <c r="F106" s="2" t="inlineStr">
        <is>
          <t>Gardnerborough</t>
        </is>
      </c>
      <c r="G106" s="2" t="inlineStr">
        <is>
          <t>Swaziland</t>
        </is>
      </c>
      <c r="H106" s="2" t="inlineStr">
        <is>
          <t>relate</t>
        </is>
      </c>
      <c r="I106" t="inlineStr">
        <is>
          <t>opportunity</t>
        </is>
      </c>
    </row>
    <row r="107">
      <c r="A107" s="2" t="inlineStr">
        <is>
          <t>C2262</t>
        </is>
      </c>
      <c r="B107" s="2" t="inlineStr">
        <is>
          <t>Dr. Adrian Hanson</t>
        </is>
      </c>
      <c r="C107" s="2" t="inlineStr">
        <is>
          <t>sandra37@little-flowers.com</t>
        </is>
      </c>
      <c r="D107" s="2" t="inlineStr">
        <is>
          <t>5822430050</t>
        </is>
      </c>
      <c r="E107" s="2" t="inlineStr">
        <is>
          <t>47541 Shannon Mission, West Andrew, OH 29969</t>
        </is>
      </c>
      <c r="F107" s="2" t="inlineStr">
        <is>
          <t>West Lawrence</t>
        </is>
      </c>
      <c r="G107" s="2" t="inlineStr">
        <is>
          <t>Malta</t>
        </is>
      </c>
      <c r="H107" s="2" t="inlineStr">
        <is>
          <t>audience</t>
        </is>
      </c>
      <c r="I107" t="inlineStr">
        <is>
          <t>beyond</t>
        </is>
      </c>
    </row>
    <row r="108">
      <c r="A108" s="2" t="inlineStr">
        <is>
          <t>C7717</t>
        </is>
      </c>
      <c r="B108" s="2" t="inlineStr">
        <is>
          <t>James Lane</t>
        </is>
      </c>
      <c r="C108" s="2" t="inlineStr">
        <is>
          <t>andersonalicia@lewis.org</t>
        </is>
      </c>
      <c r="D108" s="2" t="inlineStr">
        <is>
          <t>224-476-2485</t>
        </is>
      </c>
      <c r="E108" s="2" t="inlineStr">
        <is>
          <t>6654 Theresa Springs Suite 146, North Williamchester, MO 58092</t>
        </is>
      </c>
      <c r="F108" s="2" t="inlineStr">
        <is>
          <t>Monicaborough</t>
        </is>
      </c>
      <c r="G108" s="2" t="inlineStr">
        <is>
          <t>Bouvet Island (Bouvetoya)</t>
        </is>
      </c>
      <c r="H108" s="2" t="inlineStr">
        <is>
          <t>act</t>
        </is>
      </c>
      <c r="I108" t="inlineStr">
        <is>
          <t>hot</t>
        </is>
      </c>
    </row>
    <row r="109">
      <c r="A109" s="2" t="inlineStr">
        <is>
          <t>C8806</t>
        </is>
      </c>
      <c r="B109" s="2" t="inlineStr">
        <is>
          <t>Vanessa Cameron</t>
        </is>
      </c>
      <c r="C109" s="2" t="inlineStr">
        <is>
          <t>villarrealshawn@gmail.com</t>
        </is>
      </c>
      <c r="D109" s="2" t="inlineStr">
        <is>
          <t>508.501.1342x9811</t>
        </is>
      </c>
      <c r="E109" s="2" t="inlineStr">
        <is>
          <t>530 Gardner Circle Apt. 448, Port Karen, TX 18384</t>
        </is>
      </c>
      <c r="F109" s="2" t="inlineStr">
        <is>
          <t>Sanchezchester</t>
        </is>
      </c>
      <c r="G109" s="2" t="inlineStr">
        <is>
          <t>Lao People's Democratic Republic</t>
        </is>
      </c>
      <c r="H109" s="2" t="inlineStr">
        <is>
          <t>include</t>
        </is>
      </c>
      <c r="I109" t="inlineStr">
        <is>
          <t>class</t>
        </is>
      </c>
    </row>
    <row r="110">
      <c r="A110" s="2" t="inlineStr">
        <is>
          <t>C3178</t>
        </is>
      </c>
      <c r="B110" s="2" t="inlineStr">
        <is>
          <t>Bruce Benson</t>
        </is>
      </c>
      <c r="C110" s="2" t="inlineStr">
        <is>
          <t>michealblackwell@gmail.com</t>
        </is>
      </c>
      <c r="D110" s="2" t="inlineStr">
        <is>
          <t>(941)212-1932</t>
        </is>
      </c>
      <c r="E110" s="2" t="inlineStr">
        <is>
          <t>32523 Butler Extension Apt. 517, Blakeview, VA 55195</t>
        </is>
      </c>
      <c r="F110" s="2" t="inlineStr">
        <is>
          <t>Ortegatown</t>
        </is>
      </c>
      <c r="G110" s="2" t="inlineStr">
        <is>
          <t>Chile</t>
        </is>
      </c>
      <c r="H110" s="2" t="inlineStr">
        <is>
          <t>executive</t>
        </is>
      </c>
      <c r="I110" t="inlineStr">
        <is>
          <t>wind</t>
        </is>
      </c>
    </row>
    <row r="111">
      <c r="A111" s="2" t="inlineStr">
        <is>
          <t>C1853</t>
        </is>
      </c>
      <c r="B111" s="2" t="inlineStr">
        <is>
          <t>Tanya Carr</t>
        </is>
      </c>
      <c r="C111" s="2" t="inlineStr">
        <is>
          <t>diana15@gmail.com</t>
        </is>
      </c>
      <c r="D111" s="2" t="inlineStr">
        <is>
          <t>901-709-3657x1884</t>
        </is>
      </c>
      <c r="E111" s="2" t="inlineStr">
        <is>
          <t>22149 Emily Wells Suite 169, East Erikton, DE 66845</t>
        </is>
      </c>
      <c r="F111" s="2" t="inlineStr">
        <is>
          <t>Lake Elizabeth</t>
        </is>
      </c>
      <c r="G111" s="2" t="inlineStr">
        <is>
          <t>Western Sahara</t>
        </is>
      </c>
      <c r="H111" s="2" t="inlineStr">
        <is>
          <t>can</t>
        </is>
      </c>
      <c r="I111" t="inlineStr">
        <is>
          <t>day</t>
        </is>
      </c>
    </row>
    <row r="112">
      <c r="A112" s="2" t="inlineStr">
        <is>
          <t>C6296</t>
        </is>
      </c>
      <c r="B112" s="2" t="inlineStr">
        <is>
          <t>Michael Graham</t>
        </is>
      </c>
      <c r="C112" s="2" t="inlineStr">
        <is>
          <t>xfletcher@chan-gibbs.info</t>
        </is>
      </c>
      <c r="D112" s="2" t="inlineStr">
        <is>
          <t>124.703.8440x5035</t>
        </is>
      </c>
      <c r="E112" s="2" t="inlineStr">
        <is>
          <t>13450 Joshua Prairie Suite 005, Jamesbury, NC 16328</t>
        </is>
      </c>
      <c r="F112" s="2" t="inlineStr">
        <is>
          <t>Tinaside</t>
        </is>
      </c>
      <c r="G112" s="2" t="inlineStr">
        <is>
          <t>Denmark</t>
        </is>
      </c>
      <c r="H112" s="2" t="inlineStr">
        <is>
          <t>bad</t>
        </is>
      </c>
      <c r="I112" t="inlineStr">
        <is>
          <t>include</t>
        </is>
      </c>
    </row>
    <row r="113">
      <c r="A113" s="2" t="inlineStr">
        <is>
          <t>C4270</t>
        </is>
      </c>
      <c r="B113" s="2" t="inlineStr">
        <is>
          <t>George Wallace</t>
        </is>
      </c>
      <c r="C113" s="2" t="inlineStr">
        <is>
          <t>acook@hotmail.com</t>
        </is>
      </c>
      <c r="D113" s="2" t="inlineStr">
        <is>
          <t>(486)075-1350x9058</t>
        </is>
      </c>
      <c r="E113" s="2" t="inlineStr">
        <is>
          <t>18491 Brandon Shores Suite 995, Port Kathy, TX 83478</t>
        </is>
      </c>
      <c r="F113" s="2" t="inlineStr">
        <is>
          <t>Pricechester</t>
        </is>
      </c>
      <c r="G113" s="2" t="inlineStr">
        <is>
          <t>Pakistan</t>
        </is>
      </c>
      <c r="H113" s="2" t="inlineStr">
        <is>
          <t>class</t>
        </is>
      </c>
      <c r="I113" t="inlineStr">
        <is>
          <t>protect</t>
        </is>
      </c>
    </row>
    <row r="114">
      <c r="A114" s="2" t="inlineStr">
        <is>
          <t>C3845</t>
        </is>
      </c>
      <c r="B114" s="2" t="inlineStr">
        <is>
          <t>Lisa Spencer</t>
        </is>
      </c>
      <c r="C114" s="2" t="inlineStr">
        <is>
          <t>parksmelanie@hotmail.com</t>
        </is>
      </c>
      <c r="D114" s="2" t="inlineStr">
        <is>
          <t>+1-997-136-5161</t>
        </is>
      </c>
      <c r="E114" s="2" t="inlineStr">
        <is>
          <t>9310 Lee Fall Apt. 561, Lopezland, UT 10620</t>
        </is>
      </c>
      <c r="F114" s="2" t="inlineStr">
        <is>
          <t>New Richard</t>
        </is>
      </c>
      <c r="G114" s="2" t="inlineStr">
        <is>
          <t>Sierra Leone</t>
        </is>
      </c>
      <c r="H114" s="2" t="inlineStr">
        <is>
          <t>feel</t>
        </is>
      </c>
      <c r="I114" t="inlineStr">
        <is>
          <t>really</t>
        </is>
      </c>
    </row>
    <row r="115">
      <c r="A115" s="2" t="inlineStr">
        <is>
          <t>C7345</t>
        </is>
      </c>
      <c r="B115" s="2" t="inlineStr">
        <is>
          <t>Adam Owens</t>
        </is>
      </c>
      <c r="C115" s="2" t="inlineStr">
        <is>
          <t>kimlee@travis.com</t>
        </is>
      </c>
      <c r="D115" s="2" t="inlineStr">
        <is>
          <t>4491836403</t>
        </is>
      </c>
      <c r="E115" s="2" t="inlineStr">
        <is>
          <t>712 Pena Manors Suite 260, Port Michael, ID 55537</t>
        </is>
      </c>
      <c r="F115" s="2" t="inlineStr">
        <is>
          <t>Adamschester</t>
        </is>
      </c>
      <c r="G115" s="2" t="inlineStr">
        <is>
          <t>Burkina Faso</t>
        </is>
      </c>
      <c r="H115" s="2" t="inlineStr">
        <is>
          <t>seat</t>
        </is>
      </c>
      <c r="I115" t="inlineStr">
        <is>
          <t>might</t>
        </is>
      </c>
    </row>
    <row r="116">
      <c r="A116" s="2" t="inlineStr">
        <is>
          <t>C6739</t>
        </is>
      </c>
      <c r="B116" s="2" t="inlineStr">
        <is>
          <t>Joshua Jones</t>
        </is>
      </c>
      <c r="C116" s="2" t="inlineStr">
        <is>
          <t>vrobles@stewart.com</t>
        </is>
      </c>
      <c r="D116" s="2" t="inlineStr">
        <is>
          <t>(503)161-9255</t>
        </is>
      </c>
      <c r="E116" s="2" t="inlineStr">
        <is>
          <t>82156 Jennifer Garden Apt. 018, Anthonyshire, VT 22232</t>
        </is>
      </c>
      <c r="F116" s="2" t="inlineStr">
        <is>
          <t>Port Gary</t>
        </is>
      </c>
      <c r="G116" s="2" t="inlineStr">
        <is>
          <t>Cote d'Ivoire</t>
        </is>
      </c>
      <c r="H116" s="2" t="inlineStr">
        <is>
          <t>shake</t>
        </is>
      </c>
      <c r="I116" t="inlineStr">
        <is>
          <t>place</t>
        </is>
      </c>
    </row>
    <row r="117">
      <c r="A117" s="2" t="inlineStr">
        <is>
          <t>C6166</t>
        </is>
      </c>
      <c r="B117" s="2" t="inlineStr">
        <is>
          <t>Casey Cannon</t>
        </is>
      </c>
      <c r="C117" s="2" t="inlineStr">
        <is>
          <t>patricksanchez@gmail.com</t>
        </is>
      </c>
      <c r="D117" s="2" t="inlineStr">
        <is>
          <t>576.946.9575x10601</t>
        </is>
      </c>
      <c r="E117" s="2" t="inlineStr">
        <is>
          <t>234 Pamela Circle, Richardfort, MD 53506</t>
        </is>
      </c>
      <c r="F117" s="2" t="inlineStr">
        <is>
          <t>Michaelmouth</t>
        </is>
      </c>
      <c r="G117" s="2" t="inlineStr">
        <is>
          <t>Zimbabwe</t>
        </is>
      </c>
      <c r="H117" s="2" t="inlineStr">
        <is>
          <t>never</t>
        </is>
      </c>
      <c r="I117" t="inlineStr">
        <is>
          <t>large</t>
        </is>
      </c>
    </row>
    <row r="118">
      <c r="A118" s="2" t="inlineStr">
        <is>
          <t>C5662</t>
        </is>
      </c>
      <c r="B118" s="2" t="inlineStr">
        <is>
          <t>Joseph Walton</t>
        </is>
      </c>
      <c r="C118" s="2" t="inlineStr">
        <is>
          <t>jimmorales@gmail.com</t>
        </is>
      </c>
      <c r="D118" s="2" t="inlineStr">
        <is>
          <t>793-312-3039x0841</t>
        </is>
      </c>
      <c r="E118" s="2" t="inlineStr">
        <is>
          <t>034 Stevenson Route, North Johnathanhaven, LA 45609</t>
        </is>
      </c>
      <c r="F118" s="2" t="inlineStr">
        <is>
          <t>Cardenasmouth</t>
        </is>
      </c>
      <c r="G118" s="2" t="inlineStr">
        <is>
          <t>Nicaragua</t>
        </is>
      </c>
      <c r="H118" s="2" t="inlineStr">
        <is>
          <t>down</t>
        </is>
      </c>
      <c r="I118" t="inlineStr">
        <is>
          <t>wear</t>
        </is>
      </c>
    </row>
    <row r="119">
      <c r="A119" s="2" t="inlineStr">
        <is>
          <t>C6900</t>
        </is>
      </c>
      <c r="B119" s="2" t="inlineStr">
        <is>
          <t>Catherine Johnson</t>
        </is>
      </c>
      <c r="C119" s="2" t="inlineStr">
        <is>
          <t>kwilliams@yahoo.com</t>
        </is>
      </c>
      <c r="D119" s="2" t="inlineStr">
        <is>
          <t>001-256-712-3348x86531</t>
        </is>
      </c>
      <c r="E119" s="2" t="inlineStr">
        <is>
          <t>2451 Stanley Lodge Apt. 477, New Brian, ND 02746</t>
        </is>
      </c>
      <c r="F119" s="2" t="inlineStr">
        <is>
          <t>East Kristen</t>
        </is>
      </c>
      <c r="G119" s="2" t="inlineStr">
        <is>
          <t>Ecuador</t>
        </is>
      </c>
      <c r="H119" s="2" t="inlineStr">
        <is>
          <t>reflect</t>
        </is>
      </c>
      <c r="I119" t="inlineStr">
        <is>
          <t>the</t>
        </is>
      </c>
    </row>
    <row r="120">
      <c r="A120" s="2" t="inlineStr">
        <is>
          <t>C3451</t>
        </is>
      </c>
      <c r="B120" s="2" t="inlineStr">
        <is>
          <t>Jessica Mills</t>
        </is>
      </c>
      <c r="C120" s="2" t="inlineStr">
        <is>
          <t>robert09@hotmail.com</t>
        </is>
      </c>
      <c r="D120" s="2" t="inlineStr">
        <is>
          <t>392.489.7729x921</t>
        </is>
      </c>
      <c r="E120" s="2" t="inlineStr">
        <is>
          <t>Unit 0043 Box 5016, DPO AE 70942</t>
        </is>
      </c>
      <c r="F120" s="2" t="inlineStr">
        <is>
          <t>Megantown</t>
        </is>
      </c>
      <c r="G120" s="2" t="inlineStr">
        <is>
          <t>Peru</t>
        </is>
      </c>
      <c r="H120" s="2" t="inlineStr">
        <is>
          <t>bit</t>
        </is>
      </c>
      <c r="I120" t="inlineStr">
        <is>
          <t>else</t>
        </is>
      </c>
    </row>
    <row r="121">
      <c r="A121" s="2" t="inlineStr">
        <is>
          <t>C4315</t>
        </is>
      </c>
      <c r="B121" s="2" t="inlineStr">
        <is>
          <t>Gerald Robinson</t>
        </is>
      </c>
      <c r="C121" s="2" t="inlineStr">
        <is>
          <t>allenrebecca@hotmail.com</t>
        </is>
      </c>
      <c r="D121" s="2" t="inlineStr">
        <is>
          <t>001-041-709-3941</t>
        </is>
      </c>
      <c r="E121" s="2" t="inlineStr">
        <is>
          <t>85250 Lee Corner, Port Alexanderport, CT 65846</t>
        </is>
      </c>
      <c r="F121" s="2" t="inlineStr">
        <is>
          <t>Jamesstad</t>
        </is>
      </c>
      <c r="G121" s="2" t="inlineStr">
        <is>
          <t>Tajikistan</t>
        </is>
      </c>
      <c r="H121" s="2" t="inlineStr">
        <is>
          <t>speech</t>
        </is>
      </c>
      <c r="I121" t="inlineStr">
        <is>
          <t>four</t>
        </is>
      </c>
    </row>
    <row r="122">
      <c r="A122" s="2" t="inlineStr">
        <is>
          <t>C7601</t>
        </is>
      </c>
      <c r="B122" s="2" t="inlineStr">
        <is>
          <t>Lee Haynes</t>
        </is>
      </c>
      <c r="C122" s="2" t="inlineStr">
        <is>
          <t>jamesdouglas@hotmail.com</t>
        </is>
      </c>
      <c r="D122" s="2" t="inlineStr">
        <is>
          <t>001-073-707-3930x739</t>
        </is>
      </c>
      <c r="E122" s="2" t="inlineStr">
        <is>
          <t>9899 Audrey Ports Suite 517, Hensleychester, NM 11852</t>
        </is>
      </c>
      <c r="F122" s="2" t="inlineStr">
        <is>
          <t>Shannonville</t>
        </is>
      </c>
      <c r="G122" s="2" t="inlineStr">
        <is>
          <t>Nicaragua</t>
        </is>
      </c>
      <c r="H122" s="2" t="inlineStr">
        <is>
          <t>suddenly</t>
        </is>
      </c>
      <c r="I122" t="inlineStr">
        <is>
          <t>according</t>
        </is>
      </c>
    </row>
    <row r="123">
      <c r="A123" s="2" t="inlineStr">
        <is>
          <t>C9776</t>
        </is>
      </c>
      <c r="B123" s="2" t="inlineStr">
        <is>
          <t>Jose Brady</t>
        </is>
      </c>
      <c r="C123" s="2" t="inlineStr">
        <is>
          <t>jeremy75@carter.biz</t>
        </is>
      </c>
      <c r="D123" s="2" t="inlineStr">
        <is>
          <t>(597)598-2523</t>
        </is>
      </c>
      <c r="E123" s="2" t="inlineStr">
        <is>
          <t>722 Herring Passage Apt. 718, New Rachel, AR 29376</t>
        </is>
      </c>
      <c r="F123" s="2" t="inlineStr">
        <is>
          <t>Smithfort</t>
        </is>
      </c>
      <c r="G123" s="2" t="inlineStr">
        <is>
          <t>Norfolk Island</t>
        </is>
      </c>
      <c r="H123" s="2" t="inlineStr">
        <is>
          <t>each</t>
        </is>
      </c>
      <c r="I123" t="inlineStr">
        <is>
          <t>young</t>
        </is>
      </c>
    </row>
    <row r="124">
      <c r="A124" s="2" t="inlineStr">
        <is>
          <t>C1834</t>
        </is>
      </c>
      <c r="B124" s="2" t="inlineStr">
        <is>
          <t>Sean Robles</t>
        </is>
      </c>
      <c r="C124" s="2" t="inlineStr">
        <is>
          <t>robert70@hotmail.com</t>
        </is>
      </c>
      <c r="D124" s="2" t="inlineStr">
        <is>
          <t>001-547-693-7025</t>
        </is>
      </c>
      <c r="E124" s="2" t="inlineStr">
        <is>
          <t>839 Reyes Fork Suite 176, New Bethany, NC 05362</t>
        </is>
      </c>
      <c r="F124" s="2" t="inlineStr">
        <is>
          <t>Amandaborough</t>
        </is>
      </c>
      <c r="G124" s="2" t="inlineStr">
        <is>
          <t>Cote d'Ivoire</t>
        </is>
      </c>
      <c r="H124" s="2" t="inlineStr">
        <is>
          <t>herself</t>
        </is>
      </c>
      <c r="I124" t="inlineStr">
        <is>
          <t>professor</t>
        </is>
      </c>
    </row>
    <row r="125">
      <c r="A125" s="2" t="inlineStr">
        <is>
          <t>C4351</t>
        </is>
      </c>
      <c r="B125" s="2" t="inlineStr">
        <is>
          <t>Ricky Wilson</t>
        </is>
      </c>
      <c r="C125" s="2" t="inlineStr">
        <is>
          <t>robert18@peterson.com</t>
        </is>
      </c>
      <c r="D125" s="2" t="inlineStr">
        <is>
          <t>047.965.2799</t>
        </is>
      </c>
      <c r="E125" s="2" t="inlineStr">
        <is>
          <t>280 Mitchell Ranch Suite 752, Griffinberg, MD 27795</t>
        </is>
      </c>
      <c r="F125" s="2" t="inlineStr">
        <is>
          <t>Lake David</t>
        </is>
      </c>
      <c r="G125" s="2" t="inlineStr">
        <is>
          <t>Colombia</t>
        </is>
      </c>
      <c r="H125" s="2" t="inlineStr">
        <is>
          <t>friend</t>
        </is>
      </c>
      <c r="I125" t="inlineStr">
        <is>
          <t>represent</t>
        </is>
      </c>
    </row>
    <row r="126">
      <c r="A126" s="2" t="inlineStr">
        <is>
          <t>C6090</t>
        </is>
      </c>
      <c r="B126" s="2" t="inlineStr">
        <is>
          <t>Amy Davidson</t>
        </is>
      </c>
      <c r="C126" s="2" t="inlineStr">
        <is>
          <t>marioerickson@aguilar.net</t>
        </is>
      </c>
      <c r="D126" s="2" t="inlineStr">
        <is>
          <t>001-034-610-4947x5855</t>
        </is>
      </c>
      <c r="E126" s="2" t="inlineStr">
        <is>
          <t>28761 Mcmillan Green, Marymouth, MD 95076</t>
        </is>
      </c>
      <c r="F126" s="2" t="inlineStr">
        <is>
          <t>Sharonchester</t>
        </is>
      </c>
      <c r="G126" s="2" t="inlineStr">
        <is>
          <t>Sweden</t>
        </is>
      </c>
      <c r="H126" s="2" t="inlineStr">
        <is>
          <t>brother</t>
        </is>
      </c>
      <c r="I126" t="inlineStr">
        <is>
          <t>current</t>
        </is>
      </c>
    </row>
    <row r="127">
      <c r="A127" s="2" t="inlineStr">
        <is>
          <t>C5882</t>
        </is>
      </c>
      <c r="B127" s="2" t="inlineStr">
        <is>
          <t>Alexandra Anderson</t>
        </is>
      </c>
      <c r="C127" s="2" t="inlineStr">
        <is>
          <t>shelby11@williams.com</t>
        </is>
      </c>
      <c r="D127" s="2" t="inlineStr">
        <is>
          <t>953-269-2646</t>
        </is>
      </c>
      <c r="E127" s="2" t="inlineStr">
        <is>
          <t>9138 Alexander Isle, North Joseph, VT 27671</t>
        </is>
      </c>
      <c r="F127" s="2" t="inlineStr">
        <is>
          <t>East Donaldmouth</t>
        </is>
      </c>
      <c r="G127" s="2" t="inlineStr">
        <is>
          <t>British Indian Ocean Territory (Chagos Archipelago)</t>
        </is>
      </c>
      <c r="H127" s="2" t="inlineStr">
        <is>
          <t>lawyer</t>
        </is>
      </c>
      <c r="I127" t="inlineStr">
        <is>
          <t>gun</t>
        </is>
      </c>
    </row>
    <row r="128">
      <c r="A128" s="2" t="inlineStr">
        <is>
          <t>C3731</t>
        </is>
      </c>
      <c r="B128" s="2" t="inlineStr">
        <is>
          <t>Patricia Gardner</t>
        </is>
      </c>
      <c r="C128" s="2" t="inlineStr">
        <is>
          <t>andreasmith@gmail.com</t>
        </is>
      </c>
      <c r="D128" s="2" t="inlineStr">
        <is>
          <t>559.963.8211</t>
        </is>
      </c>
      <c r="E128" s="2" t="inlineStr">
        <is>
          <t>337 Andrew Shoal Suite 349, Floydberg, HI 33525</t>
        </is>
      </c>
      <c r="F128" s="2" t="inlineStr">
        <is>
          <t>Robinsonview</t>
        </is>
      </c>
      <c r="G128" s="2" t="inlineStr">
        <is>
          <t>Bosnia and Herzegovina</t>
        </is>
      </c>
      <c r="H128" s="2" t="inlineStr">
        <is>
          <t>edge</t>
        </is>
      </c>
      <c r="I128" t="inlineStr">
        <is>
          <t>pass</t>
        </is>
      </c>
    </row>
    <row r="129">
      <c r="A129" s="2" t="inlineStr">
        <is>
          <t>C8071</t>
        </is>
      </c>
      <c r="B129" s="2" t="inlineStr">
        <is>
          <t>Samantha Stanley</t>
        </is>
      </c>
      <c r="C129" s="2" t="inlineStr">
        <is>
          <t>sbarton@hotmail.com</t>
        </is>
      </c>
      <c r="D129" s="2" t="inlineStr">
        <is>
          <t>738-791-3556x94813</t>
        </is>
      </c>
      <c r="E129" s="2" t="inlineStr">
        <is>
          <t>0945 Hoover Springs, West Jeromeside, WY 46364</t>
        </is>
      </c>
      <c r="F129" s="2" t="inlineStr">
        <is>
          <t>Tylerchester</t>
        </is>
      </c>
      <c r="G129" s="2" t="inlineStr">
        <is>
          <t>Germany</t>
        </is>
      </c>
      <c r="H129" s="2" t="inlineStr">
        <is>
          <t>nation</t>
        </is>
      </c>
      <c r="I129" t="inlineStr">
        <is>
          <t>west</t>
        </is>
      </c>
    </row>
    <row r="130">
      <c r="A130" s="2" t="inlineStr">
        <is>
          <t>C8471</t>
        </is>
      </c>
      <c r="B130" s="2" t="inlineStr">
        <is>
          <t>David Wade</t>
        </is>
      </c>
      <c r="C130" s="2" t="inlineStr">
        <is>
          <t>lindseymichael@cortez-campbell.info</t>
        </is>
      </c>
      <c r="D130" s="2" t="inlineStr">
        <is>
          <t>872.150.9877x788</t>
        </is>
      </c>
      <c r="E130" s="2" t="inlineStr">
        <is>
          <t>74138 Tanya Walks Suite 177, Collinsfort, MI 31014</t>
        </is>
      </c>
      <c r="F130" s="2" t="inlineStr">
        <is>
          <t>South Natalie</t>
        </is>
      </c>
      <c r="G130" s="2" t="inlineStr">
        <is>
          <t>Holy See (Vatican City State)</t>
        </is>
      </c>
      <c r="H130" s="2" t="inlineStr">
        <is>
          <t>child</t>
        </is>
      </c>
      <c r="I130" t="inlineStr">
        <is>
          <t>every</t>
        </is>
      </c>
    </row>
    <row r="131">
      <c r="A131" s="2" t="inlineStr">
        <is>
          <t>C3932</t>
        </is>
      </c>
      <c r="B131" s="2" t="inlineStr">
        <is>
          <t>Pamela Garcia</t>
        </is>
      </c>
      <c r="C131" s="2" t="inlineStr">
        <is>
          <t>igrant@soto.com</t>
        </is>
      </c>
      <c r="D131" s="2" t="inlineStr">
        <is>
          <t>908.971.3083x8394</t>
        </is>
      </c>
      <c r="E131" s="2" t="inlineStr">
        <is>
          <t>2260 Emily Vista Apt. 353, Dawnhaven, SD 13779</t>
        </is>
      </c>
      <c r="F131" s="2" t="inlineStr">
        <is>
          <t>Port Ronald</t>
        </is>
      </c>
      <c r="G131" s="2" t="inlineStr">
        <is>
          <t>Netherlands Antilles</t>
        </is>
      </c>
      <c r="H131" s="2" t="inlineStr">
        <is>
          <t>picture</t>
        </is>
      </c>
      <c r="I131" t="inlineStr">
        <is>
          <t>than</t>
        </is>
      </c>
    </row>
    <row r="132">
      <c r="A132" s="2" t="inlineStr">
        <is>
          <t>C9036</t>
        </is>
      </c>
      <c r="B132" s="2" t="inlineStr">
        <is>
          <t>Heather Stevens</t>
        </is>
      </c>
      <c r="C132" s="2" t="inlineStr">
        <is>
          <t>cindyelliott@gmail.com</t>
        </is>
      </c>
      <c r="D132" s="2" t="inlineStr">
        <is>
          <t>5664181086</t>
        </is>
      </c>
      <c r="E132" s="2" t="inlineStr">
        <is>
          <t>94749 Jackson Branch, Brandonmouth, WI 37666</t>
        </is>
      </c>
      <c r="F132" s="2" t="inlineStr">
        <is>
          <t>Marymouth</t>
        </is>
      </c>
      <c r="G132" s="2" t="inlineStr">
        <is>
          <t>Haiti</t>
        </is>
      </c>
      <c r="H132" s="2" t="inlineStr">
        <is>
          <t>above</t>
        </is>
      </c>
      <c r="I132" t="inlineStr">
        <is>
          <t>beautiful</t>
        </is>
      </c>
    </row>
    <row r="133">
      <c r="A133" s="2" t="inlineStr">
        <is>
          <t>C2905</t>
        </is>
      </c>
      <c r="B133" s="2" t="inlineStr">
        <is>
          <t>Dean Bailey</t>
        </is>
      </c>
      <c r="C133" s="2" t="inlineStr">
        <is>
          <t>jillmacias@murphy.com</t>
        </is>
      </c>
      <c r="D133" s="2" t="inlineStr">
        <is>
          <t>343-596-6501x93168</t>
        </is>
      </c>
      <c r="E133" s="2" t="inlineStr">
        <is>
          <t>USNV Jones, FPO AP 87647</t>
        </is>
      </c>
      <c r="F133" s="2" t="inlineStr">
        <is>
          <t>New Pamela</t>
        </is>
      </c>
      <c r="G133" s="2" t="inlineStr">
        <is>
          <t>Guadeloupe</t>
        </is>
      </c>
      <c r="H133" s="2" t="inlineStr">
        <is>
          <t>already</t>
        </is>
      </c>
      <c r="I133" t="inlineStr">
        <is>
          <t>high</t>
        </is>
      </c>
    </row>
    <row r="134">
      <c r="A134" s="2" t="inlineStr">
        <is>
          <t>C5663</t>
        </is>
      </c>
      <c r="B134" s="2" t="inlineStr">
        <is>
          <t>Valerie Underwood</t>
        </is>
      </c>
      <c r="C134" s="2" t="inlineStr">
        <is>
          <t>jim53@yahoo.com</t>
        </is>
      </c>
      <c r="D134" s="2" t="inlineStr">
        <is>
          <t>+1-911-091-5370x08634</t>
        </is>
      </c>
      <c r="E134" s="2" t="inlineStr">
        <is>
          <t>94101 Rodriguez Parkways, Sarahtown, IA 63493</t>
        </is>
      </c>
      <c r="F134" s="2" t="inlineStr">
        <is>
          <t>Blairton</t>
        </is>
      </c>
      <c r="G134" s="2" t="inlineStr">
        <is>
          <t>Kiribati</t>
        </is>
      </c>
      <c r="H134" s="2" t="inlineStr">
        <is>
          <t>audience</t>
        </is>
      </c>
      <c r="I134" t="inlineStr">
        <is>
          <t>deal</t>
        </is>
      </c>
    </row>
    <row r="135">
      <c r="A135" s="2" t="inlineStr">
        <is>
          <t>C1615</t>
        </is>
      </c>
      <c r="B135" s="2" t="inlineStr">
        <is>
          <t>Stephanie Cowan</t>
        </is>
      </c>
      <c r="C135" s="2" t="inlineStr">
        <is>
          <t>walkerannette@rogers.biz</t>
        </is>
      </c>
      <c r="D135" s="2" t="inlineStr">
        <is>
          <t>615.435.7883</t>
        </is>
      </c>
      <c r="E135" s="2" t="inlineStr">
        <is>
          <t>42903 Scott Forks, Lake David, CO 23075</t>
        </is>
      </c>
      <c r="F135" s="2" t="inlineStr">
        <is>
          <t>Lake Donald</t>
        </is>
      </c>
      <c r="G135" s="2" t="inlineStr">
        <is>
          <t>United States Minor Outlying Islands</t>
        </is>
      </c>
      <c r="H135" s="2" t="inlineStr">
        <is>
          <t>work</t>
        </is>
      </c>
      <c r="I135" t="inlineStr">
        <is>
          <t>meeting</t>
        </is>
      </c>
    </row>
    <row r="136">
      <c r="A136" s="2" t="inlineStr">
        <is>
          <t>C7751</t>
        </is>
      </c>
      <c r="B136" s="2" t="inlineStr">
        <is>
          <t>Shelby Martinez</t>
        </is>
      </c>
      <c r="C136" s="2" t="inlineStr">
        <is>
          <t>alikathryn@yahoo.com</t>
        </is>
      </c>
      <c r="D136" s="2" t="inlineStr">
        <is>
          <t>001-387-028-4867x27701</t>
        </is>
      </c>
      <c r="E136" s="2" t="inlineStr">
        <is>
          <t>96945 Peter Club, Brownmouth, SD 70934</t>
        </is>
      </c>
      <c r="F136" s="2" t="inlineStr">
        <is>
          <t>Patriciamouth</t>
        </is>
      </c>
      <c r="G136" s="2" t="inlineStr">
        <is>
          <t>Cook Islands</t>
        </is>
      </c>
      <c r="H136" s="2" t="inlineStr">
        <is>
          <t>ground</t>
        </is>
      </c>
      <c r="I136" t="inlineStr">
        <is>
          <t>country</t>
        </is>
      </c>
    </row>
    <row r="137">
      <c r="A137" s="2" t="inlineStr">
        <is>
          <t>C8553</t>
        </is>
      </c>
      <c r="B137" s="2" t="inlineStr">
        <is>
          <t>Jonathan Nichols</t>
        </is>
      </c>
      <c r="C137" s="2" t="inlineStr">
        <is>
          <t>adrianbutler@pham.com</t>
        </is>
      </c>
      <c r="D137" s="2" t="inlineStr">
        <is>
          <t>866-790-7703</t>
        </is>
      </c>
      <c r="E137" s="2" t="inlineStr">
        <is>
          <t>20595 David Skyway, Johnview, NC 68240</t>
        </is>
      </c>
      <c r="F137" s="2" t="inlineStr">
        <is>
          <t>Port Richardchester</t>
        </is>
      </c>
      <c r="G137" s="2" t="inlineStr">
        <is>
          <t>Bermuda</t>
        </is>
      </c>
      <c r="H137" s="2" t="inlineStr">
        <is>
          <t>order</t>
        </is>
      </c>
      <c r="I137" t="inlineStr">
        <is>
          <t>per</t>
        </is>
      </c>
    </row>
    <row r="138">
      <c r="A138" s="2" t="inlineStr">
        <is>
          <t>C7645</t>
        </is>
      </c>
      <c r="B138" s="2" t="inlineStr">
        <is>
          <t>Teresa Gonzalez</t>
        </is>
      </c>
      <c r="C138" s="2" t="inlineStr">
        <is>
          <t>webbgloria@hall.com</t>
        </is>
      </c>
      <c r="D138" s="2" t="inlineStr">
        <is>
          <t>363-938-1424</t>
        </is>
      </c>
      <c r="E138" s="2" t="inlineStr">
        <is>
          <t>49509 Kane Locks, West Antonio, AR 97451</t>
        </is>
      </c>
      <c r="F138" s="2" t="inlineStr">
        <is>
          <t>Bradshawview</t>
        </is>
      </c>
      <c r="G138" s="2" t="inlineStr">
        <is>
          <t>Malta</t>
        </is>
      </c>
      <c r="H138" s="2" t="inlineStr">
        <is>
          <t>gun</t>
        </is>
      </c>
      <c r="I138" t="inlineStr">
        <is>
          <t>service</t>
        </is>
      </c>
    </row>
    <row r="139">
      <c r="A139" s="2" t="inlineStr">
        <is>
          <t>C5482</t>
        </is>
      </c>
      <c r="B139" s="2" t="inlineStr">
        <is>
          <t>Steven Lee</t>
        </is>
      </c>
      <c r="C139" s="2" t="inlineStr">
        <is>
          <t>rachel67@richardson.com</t>
        </is>
      </c>
      <c r="D139" s="2" t="inlineStr">
        <is>
          <t>+1-303-717-6916x515</t>
        </is>
      </c>
      <c r="E139" s="2" t="inlineStr">
        <is>
          <t>857 James Stream Apt. 258, Josephmouth, CT 31839</t>
        </is>
      </c>
      <c r="F139" s="2" t="inlineStr">
        <is>
          <t>Port Paulburgh</t>
        </is>
      </c>
      <c r="G139" s="2" t="inlineStr">
        <is>
          <t>Kazakhstan</t>
        </is>
      </c>
      <c r="H139" s="2" t="inlineStr">
        <is>
          <t>number</t>
        </is>
      </c>
      <c r="I139" t="inlineStr">
        <is>
          <t>forward</t>
        </is>
      </c>
    </row>
    <row r="140">
      <c r="A140" s="2" t="inlineStr">
        <is>
          <t>C2147</t>
        </is>
      </c>
      <c r="B140" s="2" t="inlineStr">
        <is>
          <t>Mathew Villanueva</t>
        </is>
      </c>
      <c r="C140" s="2" t="inlineStr">
        <is>
          <t>taylorlynn@bennett.com</t>
        </is>
      </c>
      <c r="D140" s="2" t="inlineStr">
        <is>
          <t>406-103-9698</t>
        </is>
      </c>
      <c r="E140" s="2" t="inlineStr">
        <is>
          <t>692 Justin Club Suite 624, Port Deniseton, WI 53127</t>
        </is>
      </c>
      <c r="F140" s="2" t="inlineStr">
        <is>
          <t>Allenfurt</t>
        </is>
      </c>
      <c r="G140" s="2" t="inlineStr">
        <is>
          <t>Bolivia</t>
        </is>
      </c>
      <c r="H140" s="2" t="inlineStr">
        <is>
          <t>rather</t>
        </is>
      </c>
      <c r="I140" t="inlineStr">
        <is>
          <t>either</t>
        </is>
      </c>
    </row>
    <row r="141">
      <c r="A141" s="2" t="inlineStr">
        <is>
          <t>C5043</t>
        </is>
      </c>
      <c r="B141" s="2" t="inlineStr">
        <is>
          <t>Jennifer Baker</t>
        </is>
      </c>
      <c r="C141" s="2" t="inlineStr">
        <is>
          <t>shellyparker@garcia-white.com</t>
        </is>
      </c>
      <c r="D141" s="2" t="inlineStr">
        <is>
          <t>445.621.5255x7159</t>
        </is>
      </c>
      <c r="E141" s="2" t="inlineStr">
        <is>
          <t>403 Charles Parkway Apt. 183, Stephensmouth, OR 65568</t>
        </is>
      </c>
      <c r="F141" s="2" t="inlineStr">
        <is>
          <t>Janicemouth</t>
        </is>
      </c>
      <c r="G141" s="2" t="inlineStr">
        <is>
          <t>Saint Helena</t>
        </is>
      </c>
      <c r="H141" s="2" t="inlineStr">
        <is>
          <t>side</t>
        </is>
      </c>
      <c r="I141" t="inlineStr">
        <is>
          <t>statement</t>
        </is>
      </c>
    </row>
    <row r="142">
      <c r="A142" s="2" t="inlineStr">
        <is>
          <t>C5897</t>
        </is>
      </c>
      <c r="B142" s="2" t="inlineStr">
        <is>
          <t>Brandon Oliver</t>
        </is>
      </c>
      <c r="C142" s="2" t="inlineStr">
        <is>
          <t>burnsmonica@shaw.biz</t>
        </is>
      </c>
      <c r="D142" s="2" t="inlineStr">
        <is>
          <t>453.055.5503</t>
        </is>
      </c>
      <c r="E142" s="2" t="inlineStr">
        <is>
          <t>6275 Daniel Plains, Hannahland, NM 82999</t>
        </is>
      </c>
      <c r="F142" s="2" t="inlineStr">
        <is>
          <t>Angelaberg</t>
        </is>
      </c>
      <c r="G142" s="2" t="inlineStr">
        <is>
          <t>Slovakia (Slovak Republic)</t>
        </is>
      </c>
      <c r="H142" s="2" t="inlineStr">
        <is>
          <t>real</t>
        </is>
      </c>
      <c r="I142" t="inlineStr">
        <is>
          <t>may</t>
        </is>
      </c>
    </row>
    <row r="143">
      <c r="A143" s="2" t="inlineStr">
        <is>
          <t>C4976</t>
        </is>
      </c>
      <c r="B143" s="2" t="inlineStr">
        <is>
          <t>Thomas Curtis</t>
        </is>
      </c>
      <c r="C143" s="2" t="inlineStr">
        <is>
          <t>christopher64@evans-diaz.com</t>
        </is>
      </c>
      <c r="D143" s="2" t="inlineStr">
        <is>
          <t>584-667-8400</t>
        </is>
      </c>
      <c r="E143" s="2" t="inlineStr">
        <is>
          <t>7409 Owens Oval Apt. 433, Swansonmouth, PA 89045</t>
        </is>
      </c>
      <c r="F143" s="2" t="inlineStr">
        <is>
          <t>Weissstad</t>
        </is>
      </c>
      <c r="G143" s="2" t="inlineStr">
        <is>
          <t>Cayman Islands</t>
        </is>
      </c>
      <c r="H143" s="2" t="inlineStr">
        <is>
          <t>cut</t>
        </is>
      </c>
      <c r="I143" t="inlineStr">
        <is>
          <t>no</t>
        </is>
      </c>
    </row>
    <row r="144">
      <c r="A144" s="2" t="inlineStr">
        <is>
          <t>C5937</t>
        </is>
      </c>
      <c r="B144" s="2" t="inlineStr">
        <is>
          <t>Linda Ramirez</t>
        </is>
      </c>
      <c r="C144" s="2" t="inlineStr">
        <is>
          <t>kristindudley@gmail.com</t>
        </is>
      </c>
      <c r="D144" s="2" t="inlineStr">
        <is>
          <t>7563793364</t>
        </is>
      </c>
      <c r="E144" s="2" t="inlineStr">
        <is>
          <t>657 Tiffany Court, East Rachaelfort, WV 34528</t>
        </is>
      </c>
      <c r="F144" s="2" t="inlineStr">
        <is>
          <t>Lake Tony</t>
        </is>
      </c>
      <c r="G144" s="2" t="inlineStr">
        <is>
          <t>Poland</t>
        </is>
      </c>
      <c r="H144" s="2" t="inlineStr">
        <is>
          <t>possible</t>
        </is>
      </c>
      <c r="I144" t="inlineStr">
        <is>
          <t>above</t>
        </is>
      </c>
    </row>
    <row r="145">
      <c r="A145" s="2" t="inlineStr">
        <is>
          <t>C5432</t>
        </is>
      </c>
      <c r="B145" s="2" t="inlineStr">
        <is>
          <t>Curtis Bailey</t>
        </is>
      </c>
      <c r="C145" s="2" t="inlineStr">
        <is>
          <t>albert25@yahoo.com</t>
        </is>
      </c>
      <c r="D145" s="2" t="inlineStr">
        <is>
          <t>996-044-9551x68940</t>
        </is>
      </c>
      <c r="E145" s="2" t="inlineStr">
        <is>
          <t>0809 Nash Underpass Apt. 191, West Christopherburgh, AR 84301</t>
        </is>
      </c>
      <c r="F145" s="2" t="inlineStr">
        <is>
          <t>Samanthamouth</t>
        </is>
      </c>
      <c r="G145" s="2" t="inlineStr">
        <is>
          <t>Chile</t>
        </is>
      </c>
      <c r="H145" s="2" t="inlineStr">
        <is>
          <t>bar</t>
        </is>
      </c>
      <c r="I145" t="inlineStr">
        <is>
          <t>society</t>
        </is>
      </c>
    </row>
    <row r="146">
      <c r="A146" s="2" t="inlineStr">
        <is>
          <t>C2983</t>
        </is>
      </c>
      <c r="B146" s="2" t="inlineStr">
        <is>
          <t>Carolyn Wallace</t>
        </is>
      </c>
      <c r="C146" s="2" t="inlineStr">
        <is>
          <t>zblair@mendoza.biz</t>
        </is>
      </c>
      <c r="D146" s="2" t="inlineStr">
        <is>
          <t>(811)348-1175x65424</t>
        </is>
      </c>
      <c r="E146" s="2" t="inlineStr">
        <is>
          <t>11701 Reid Brook, Port Stephanie, KY 54227</t>
        </is>
      </c>
      <c r="F146" s="2" t="inlineStr">
        <is>
          <t>Kristinville</t>
        </is>
      </c>
      <c r="G146" s="2" t="inlineStr">
        <is>
          <t>Barbados</t>
        </is>
      </c>
      <c r="H146" s="2" t="inlineStr">
        <is>
          <t>including</t>
        </is>
      </c>
      <c r="I146" t="inlineStr">
        <is>
          <t>audience</t>
        </is>
      </c>
    </row>
    <row r="147">
      <c r="A147" s="2" t="inlineStr">
        <is>
          <t>C2742</t>
        </is>
      </c>
      <c r="B147" s="2" t="inlineStr">
        <is>
          <t>Linda Miller</t>
        </is>
      </c>
      <c r="C147" s="2" t="inlineStr">
        <is>
          <t>kimberly44@pitts.com</t>
        </is>
      </c>
      <c r="D147" s="2" t="inlineStr">
        <is>
          <t>4615335321</t>
        </is>
      </c>
      <c r="E147" s="2" t="inlineStr">
        <is>
          <t>056 Alexander Lane, Nicholasberg, NV 74937</t>
        </is>
      </c>
      <c r="F147" s="2" t="inlineStr">
        <is>
          <t>West Mark</t>
        </is>
      </c>
      <c r="G147" s="2" t="inlineStr">
        <is>
          <t>Martinique</t>
        </is>
      </c>
      <c r="H147" s="2" t="inlineStr">
        <is>
          <t>cultural</t>
        </is>
      </c>
      <c r="I147" t="inlineStr">
        <is>
          <t>perform</t>
        </is>
      </c>
    </row>
    <row r="148">
      <c r="A148" s="2" t="inlineStr">
        <is>
          <t>C2717</t>
        </is>
      </c>
      <c r="B148" s="2" t="inlineStr">
        <is>
          <t>Daniel Summers</t>
        </is>
      </c>
      <c r="C148" s="2" t="inlineStr">
        <is>
          <t>sarah75@gmail.com</t>
        </is>
      </c>
      <c r="D148" s="2" t="inlineStr">
        <is>
          <t>001-999-516-8027x9203</t>
        </is>
      </c>
      <c r="E148" s="2" t="inlineStr">
        <is>
          <t>10128 Nelson Manor Apt. 487, Thompsonfurt, NC 07916</t>
        </is>
      </c>
      <c r="F148" s="2" t="inlineStr">
        <is>
          <t>Lake Marcus</t>
        </is>
      </c>
      <c r="G148" s="2" t="inlineStr">
        <is>
          <t>Western Sahara</t>
        </is>
      </c>
      <c r="H148" s="2" t="inlineStr">
        <is>
          <t>national</t>
        </is>
      </c>
      <c r="I148" t="inlineStr">
        <is>
          <t>rather</t>
        </is>
      </c>
    </row>
    <row r="149">
      <c r="A149" s="2" t="inlineStr">
        <is>
          <t>C6513</t>
        </is>
      </c>
      <c r="B149" s="2" t="inlineStr">
        <is>
          <t>Gene Kelly</t>
        </is>
      </c>
      <c r="C149" s="2" t="inlineStr">
        <is>
          <t>ymaxwell@hotmail.com</t>
        </is>
      </c>
      <c r="D149" s="2" t="inlineStr">
        <is>
          <t>001-960-428-1838x3191</t>
        </is>
      </c>
      <c r="E149" s="2" t="inlineStr">
        <is>
          <t>USNS Dickson, FPO AE 93590</t>
        </is>
      </c>
      <c r="F149" s="2" t="inlineStr">
        <is>
          <t>Andreside</t>
        </is>
      </c>
      <c r="G149" s="2" t="inlineStr">
        <is>
          <t>Uganda</t>
        </is>
      </c>
      <c r="H149" s="2" t="inlineStr">
        <is>
          <t>actually</t>
        </is>
      </c>
      <c r="I149" t="inlineStr">
        <is>
          <t>charge</t>
        </is>
      </c>
    </row>
    <row r="150">
      <c r="A150" s="2" t="inlineStr">
        <is>
          <t>C9347</t>
        </is>
      </c>
      <c r="B150" s="2" t="inlineStr">
        <is>
          <t>Jonathan Gutierrez</t>
        </is>
      </c>
      <c r="C150" s="2" t="inlineStr">
        <is>
          <t>george88@miller-brooks.org</t>
        </is>
      </c>
      <c r="D150" s="2" t="inlineStr">
        <is>
          <t>(742)888-0398</t>
        </is>
      </c>
      <c r="E150" s="2" t="inlineStr">
        <is>
          <t>USNV Turner, FPO AA 39875</t>
        </is>
      </c>
      <c r="F150" s="2" t="inlineStr">
        <is>
          <t>Adamville</t>
        </is>
      </c>
      <c r="G150" s="2" t="inlineStr">
        <is>
          <t>Liberia</t>
        </is>
      </c>
      <c r="H150" s="2" t="inlineStr">
        <is>
          <t>find</t>
        </is>
      </c>
      <c r="I150" t="inlineStr">
        <is>
          <t>popular</t>
        </is>
      </c>
    </row>
    <row r="151">
      <c r="A151" s="2" t="inlineStr">
        <is>
          <t>C9217</t>
        </is>
      </c>
      <c r="B151" s="2" t="inlineStr">
        <is>
          <t>Timothy Little</t>
        </is>
      </c>
      <c r="C151" s="2" t="inlineStr">
        <is>
          <t>nicole19@baker.com</t>
        </is>
      </c>
      <c r="D151" s="2" t="inlineStr">
        <is>
          <t>302-734-2976x7188</t>
        </is>
      </c>
      <c r="E151" s="2" t="inlineStr">
        <is>
          <t>5773 Ronald Junction, Debbieport, ME 34353</t>
        </is>
      </c>
      <c r="F151" s="2" t="inlineStr">
        <is>
          <t>Josephchester</t>
        </is>
      </c>
      <c r="G151" s="2" t="inlineStr">
        <is>
          <t>Wallis and Futuna</t>
        </is>
      </c>
      <c r="H151" s="2" t="inlineStr">
        <is>
          <t>however</t>
        </is>
      </c>
      <c r="I151" t="inlineStr">
        <is>
          <t>Mrs</t>
        </is>
      </c>
    </row>
    <row r="152">
      <c r="A152" s="2" t="inlineStr">
        <is>
          <t>C9191</t>
        </is>
      </c>
      <c r="B152" s="2" t="inlineStr">
        <is>
          <t>Angela Daniels</t>
        </is>
      </c>
      <c r="C152" s="2" t="inlineStr">
        <is>
          <t>kristen86@conway.net</t>
        </is>
      </c>
      <c r="D152" s="2" t="inlineStr">
        <is>
          <t>209-607-9882x9483</t>
        </is>
      </c>
      <c r="E152" s="2" t="inlineStr">
        <is>
          <t>318 Kline Extensions Apt. 126, Port Latasha, ID 07623</t>
        </is>
      </c>
      <c r="F152" s="2" t="inlineStr">
        <is>
          <t>Mariohaven</t>
        </is>
      </c>
      <c r="G152" s="2" t="inlineStr">
        <is>
          <t>Cocos (Keeling) Islands</t>
        </is>
      </c>
      <c r="H152" s="2" t="inlineStr">
        <is>
          <t>include</t>
        </is>
      </c>
      <c r="I152" t="inlineStr">
        <is>
          <t>new</t>
        </is>
      </c>
    </row>
    <row r="153">
      <c r="A153" s="2" t="inlineStr">
        <is>
          <t>C1898</t>
        </is>
      </c>
      <c r="B153" s="2" t="inlineStr">
        <is>
          <t>Sandra Schmidt</t>
        </is>
      </c>
      <c r="C153" s="2" t="inlineStr">
        <is>
          <t>zrodriguez@yahoo.com</t>
        </is>
      </c>
      <c r="D153" s="2" t="inlineStr">
        <is>
          <t>172.943.4739</t>
        </is>
      </c>
      <c r="E153" s="2" t="inlineStr">
        <is>
          <t>420 Brian Causeway Suite 584, Pamelaville, OR 44503</t>
        </is>
      </c>
      <c r="F153" s="2" t="inlineStr">
        <is>
          <t>Belindamouth</t>
        </is>
      </c>
      <c r="G153" s="2" t="inlineStr">
        <is>
          <t>Sierra Leone</t>
        </is>
      </c>
      <c r="H153" s="2" t="inlineStr">
        <is>
          <t>however</t>
        </is>
      </c>
      <c r="I153" t="inlineStr">
        <is>
          <t>him</t>
        </is>
      </c>
    </row>
    <row r="154">
      <c r="A154" s="2" t="inlineStr">
        <is>
          <t>C9112</t>
        </is>
      </c>
      <c r="B154" s="2" t="inlineStr">
        <is>
          <t>Brandy Chan</t>
        </is>
      </c>
      <c r="C154" s="2" t="inlineStr">
        <is>
          <t>josephmiller@hotmail.com</t>
        </is>
      </c>
      <c r="D154" s="2" t="inlineStr">
        <is>
          <t>(225)340-7469</t>
        </is>
      </c>
      <c r="E154" s="2" t="inlineStr">
        <is>
          <t>9586 Aaron Roads Apt. 313, East Kelly, TN 71075</t>
        </is>
      </c>
      <c r="F154" s="2" t="inlineStr">
        <is>
          <t>Port Leahshire</t>
        </is>
      </c>
      <c r="G154" s="2" t="inlineStr">
        <is>
          <t>Falkland Islands (Malvinas)</t>
        </is>
      </c>
      <c r="H154" s="2" t="inlineStr">
        <is>
          <t>under</t>
        </is>
      </c>
      <c r="I154" t="inlineStr">
        <is>
          <t>information</t>
        </is>
      </c>
    </row>
    <row r="155">
      <c r="A155" s="2" t="inlineStr">
        <is>
          <t>C5996</t>
        </is>
      </c>
      <c r="B155" s="2" t="inlineStr">
        <is>
          <t>Kelly Mathews</t>
        </is>
      </c>
      <c r="C155" s="2" t="inlineStr">
        <is>
          <t>scottmeyer@gmail.com</t>
        </is>
      </c>
      <c r="D155" s="2" t="inlineStr">
        <is>
          <t>477-487-3528x6867</t>
        </is>
      </c>
      <c r="E155" s="2" t="inlineStr">
        <is>
          <t>099 Dwayne Mountains, Pearsonborough, KY 76802</t>
        </is>
      </c>
      <c r="F155" s="2" t="inlineStr">
        <is>
          <t>North Michaelport</t>
        </is>
      </c>
      <c r="G155" s="2" t="inlineStr">
        <is>
          <t>Singapore</t>
        </is>
      </c>
      <c r="H155" s="2" t="inlineStr">
        <is>
          <t>by</t>
        </is>
      </c>
      <c r="I155" t="inlineStr">
        <is>
          <t>act</t>
        </is>
      </c>
    </row>
    <row r="156">
      <c r="A156" s="2" t="inlineStr">
        <is>
          <t>C1468</t>
        </is>
      </c>
      <c r="B156" s="2" t="inlineStr">
        <is>
          <t>Benjamin Davis</t>
        </is>
      </c>
      <c r="C156" s="2" t="inlineStr">
        <is>
          <t>mark11@hotmail.com</t>
        </is>
      </c>
      <c r="D156" s="2" t="inlineStr">
        <is>
          <t>526-196-3302</t>
        </is>
      </c>
      <c r="E156" s="2" t="inlineStr">
        <is>
          <t>2234 Foster Trace, Scottland, MS 39969</t>
        </is>
      </c>
      <c r="F156" s="2" t="inlineStr">
        <is>
          <t>East David</t>
        </is>
      </c>
      <c r="G156" s="2" t="inlineStr">
        <is>
          <t>El Salvador</t>
        </is>
      </c>
      <c r="H156" s="2" t="inlineStr">
        <is>
          <t>beautiful</t>
        </is>
      </c>
      <c r="I156" t="inlineStr">
        <is>
          <t>prove</t>
        </is>
      </c>
    </row>
    <row r="157">
      <c r="A157" s="2" t="inlineStr">
        <is>
          <t>C2871</t>
        </is>
      </c>
      <c r="B157" s="2" t="inlineStr">
        <is>
          <t>Michelle Mills</t>
        </is>
      </c>
      <c r="C157" s="2" t="inlineStr">
        <is>
          <t>montgomeryvalerie@yahoo.com</t>
        </is>
      </c>
      <c r="D157" s="2" t="inlineStr">
        <is>
          <t>(448)790-2363</t>
        </is>
      </c>
      <c r="E157" s="2" t="inlineStr">
        <is>
          <t>658 Mosley Loop Apt. 123, Andersenville, AL 83167</t>
        </is>
      </c>
      <c r="F157" s="2" t="inlineStr">
        <is>
          <t>Tylerfort</t>
        </is>
      </c>
      <c r="G157" s="2" t="inlineStr">
        <is>
          <t>Poland</t>
        </is>
      </c>
      <c r="H157" s="2" t="inlineStr">
        <is>
          <t>big</t>
        </is>
      </c>
      <c r="I157" t="inlineStr">
        <is>
          <t>each</t>
        </is>
      </c>
    </row>
    <row r="158">
      <c r="A158" s="2" t="inlineStr">
        <is>
          <t>C7669</t>
        </is>
      </c>
      <c r="B158" s="2" t="inlineStr">
        <is>
          <t>Regina Wheeler</t>
        </is>
      </c>
      <c r="C158" s="2" t="inlineStr">
        <is>
          <t>forddanielle@farrell.com</t>
        </is>
      </c>
      <c r="D158" s="2" t="inlineStr">
        <is>
          <t>+1-029-836-0170x991</t>
        </is>
      </c>
      <c r="E158" s="2" t="inlineStr">
        <is>
          <t>63824 Gregory Cape Apt. 429, Matthewfort, KY 26229</t>
        </is>
      </c>
      <c r="F158" s="2" t="inlineStr">
        <is>
          <t>West Monique</t>
        </is>
      </c>
      <c r="G158" s="2" t="inlineStr">
        <is>
          <t>Paraguay</t>
        </is>
      </c>
      <c r="H158" s="2" t="inlineStr">
        <is>
          <t>during</t>
        </is>
      </c>
      <c r="I158" t="inlineStr">
        <is>
          <t>power</t>
        </is>
      </c>
    </row>
    <row r="159">
      <c r="A159" s="2" t="inlineStr">
        <is>
          <t>C6007</t>
        </is>
      </c>
      <c r="B159" s="2" t="inlineStr">
        <is>
          <t>Mark Bowman</t>
        </is>
      </c>
      <c r="C159" s="2" t="inlineStr">
        <is>
          <t>davidwhite@yahoo.com</t>
        </is>
      </c>
      <c r="D159" s="2" t="inlineStr">
        <is>
          <t>742.658.0500</t>
        </is>
      </c>
      <c r="E159" s="2" t="inlineStr">
        <is>
          <t>09316 Timothy Wells Apt. 115, South Leslie, NM 98782</t>
        </is>
      </c>
      <c r="F159" s="2" t="inlineStr">
        <is>
          <t>New Kelly</t>
        </is>
      </c>
      <c r="G159" s="2" t="inlineStr">
        <is>
          <t>Netherlands Antilles</t>
        </is>
      </c>
      <c r="H159" s="2" t="inlineStr">
        <is>
          <t>development</t>
        </is>
      </c>
      <c r="I159" t="inlineStr">
        <is>
          <t>act</t>
        </is>
      </c>
    </row>
    <row r="160">
      <c r="A160" s="2" t="inlineStr">
        <is>
          <t>C2065</t>
        </is>
      </c>
      <c r="B160" s="2" t="inlineStr">
        <is>
          <t>Melissa Barrera</t>
        </is>
      </c>
      <c r="C160" s="2" t="inlineStr">
        <is>
          <t>mercadoleslie@hotmail.com</t>
        </is>
      </c>
      <c r="D160" s="2" t="inlineStr">
        <is>
          <t>(703)056-5756</t>
        </is>
      </c>
      <c r="E160" s="2" t="inlineStr">
        <is>
          <t>656 Danielle Trafficway Apt. 414, Danielshire, KY 81569</t>
        </is>
      </c>
      <c r="F160" s="2" t="inlineStr">
        <is>
          <t>South Jon</t>
        </is>
      </c>
      <c r="G160" s="2" t="inlineStr">
        <is>
          <t>Yemen</t>
        </is>
      </c>
      <c r="H160" s="2" t="inlineStr">
        <is>
          <t>answer</t>
        </is>
      </c>
      <c r="I160" t="inlineStr">
        <is>
          <t>suggest</t>
        </is>
      </c>
    </row>
    <row r="161">
      <c r="A161" s="2" t="inlineStr">
        <is>
          <t>C1151</t>
        </is>
      </c>
      <c r="B161" s="2" t="inlineStr">
        <is>
          <t>Jacob Phillips</t>
        </is>
      </c>
      <c r="C161" s="2" t="inlineStr">
        <is>
          <t>chicks@yahoo.com</t>
        </is>
      </c>
      <c r="D161" s="2" t="inlineStr">
        <is>
          <t>(804)639-0331x49588</t>
        </is>
      </c>
      <c r="E161" s="2" t="inlineStr">
        <is>
          <t>USS Duffy, FPO AE 79147</t>
        </is>
      </c>
      <c r="F161" s="2" t="inlineStr">
        <is>
          <t>Williamsonburgh</t>
        </is>
      </c>
      <c r="G161" s="2" t="inlineStr">
        <is>
          <t>Solomon Islands</t>
        </is>
      </c>
      <c r="H161" s="2" t="inlineStr">
        <is>
          <t>think</t>
        </is>
      </c>
      <c r="I161" t="inlineStr">
        <is>
          <t>career</t>
        </is>
      </c>
    </row>
    <row r="162">
      <c r="A162" s="2" t="inlineStr">
        <is>
          <t>C2098</t>
        </is>
      </c>
      <c r="B162" s="2" t="inlineStr">
        <is>
          <t>Travis Villanueva</t>
        </is>
      </c>
      <c r="C162" s="2" t="inlineStr">
        <is>
          <t>jordanlisa@hotmail.com</t>
        </is>
      </c>
      <c r="D162" s="2" t="inlineStr">
        <is>
          <t>(258)163-5802</t>
        </is>
      </c>
      <c r="E162" s="2" t="inlineStr">
        <is>
          <t>2569 Felicia Trail Apt. 357, South Sean, FL 35780</t>
        </is>
      </c>
      <c r="F162" s="2" t="inlineStr">
        <is>
          <t>West Larrymouth</t>
        </is>
      </c>
      <c r="G162" s="2" t="inlineStr">
        <is>
          <t>Anguilla</t>
        </is>
      </c>
      <c r="H162" s="2" t="inlineStr">
        <is>
          <t>church</t>
        </is>
      </c>
      <c r="I162" t="inlineStr">
        <is>
          <t>camera</t>
        </is>
      </c>
    </row>
    <row r="163">
      <c r="A163" s="2" t="inlineStr">
        <is>
          <t>C7990</t>
        </is>
      </c>
      <c r="B163" s="2" t="inlineStr">
        <is>
          <t>Robert Martinez</t>
        </is>
      </c>
      <c r="C163" s="2" t="inlineStr">
        <is>
          <t>smithamy@yahoo.com</t>
        </is>
      </c>
      <c r="D163" s="2" t="inlineStr">
        <is>
          <t>985.501.4436x96577</t>
        </is>
      </c>
      <c r="E163" s="2" t="inlineStr">
        <is>
          <t>732 Erik Orchard, East Stephanie, SD 34418</t>
        </is>
      </c>
      <c r="F163" s="2" t="inlineStr">
        <is>
          <t>Katelynhaven</t>
        </is>
      </c>
      <c r="G163" s="2" t="inlineStr">
        <is>
          <t>Reunion</t>
        </is>
      </c>
      <c r="H163" s="2" t="inlineStr">
        <is>
          <t>magazine</t>
        </is>
      </c>
      <c r="I163" t="inlineStr">
        <is>
          <t>give</t>
        </is>
      </c>
    </row>
    <row r="164">
      <c r="A164" s="2" t="inlineStr">
        <is>
          <t>C1010</t>
        </is>
      </c>
      <c r="B164" s="2" t="inlineStr">
        <is>
          <t>Andrea Hicks</t>
        </is>
      </c>
      <c r="C164" s="2" t="inlineStr">
        <is>
          <t>jeffrey69@gmail.com</t>
        </is>
      </c>
      <c r="D164" s="2" t="inlineStr">
        <is>
          <t>527-865-1928</t>
        </is>
      </c>
      <c r="E164" s="2" t="inlineStr">
        <is>
          <t>0957 Gonzalez Road Suite 316, Shaunton, OR 34219</t>
        </is>
      </c>
      <c r="F164" s="2" t="inlineStr">
        <is>
          <t>Hayleychester</t>
        </is>
      </c>
      <c r="G164" s="2" t="inlineStr">
        <is>
          <t>Nigeria</t>
        </is>
      </c>
      <c r="H164" s="2" t="inlineStr">
        <is>
          <t>live</t>
        </is>
      </c>
      <c r="I164" t="inlineStr">
        <is>
          <t>likely</t>
        </is>
      </c>
    </row>
    <row r="165">
      <c r="A165" s="2" t="inlineStr">
        <is>
          <t>C6965</t>
        </is>
      </c>
      <c r="B165" s="2" t="inlineStr">
        <is>
          <t>Karen Cervantes</t>
        </is>
      </c>
      <c r="C165" s="2" t="inlineStr">
        <is>
          <t>sandraharris@garrison-howard.com</t>
        </is>
      </c>
      <c r="D165" s="2" t="inlineStr">
        <is>
          <t>(000)650-5867</t>
        </is>
      </c>
      <c r="E165" s="2" t="inlineStr">
        <is>
          <t>47525 Allen Place, West Nicholeville, WY 55484</t>
        </is>
      </c>
      <c r="F165" s="2" t="inlineStr">
        <is>
          <t>New Seth</t>
        </is>
      </c>
      <c r="G165" s="2" t="inlineStr">
        <is>
          <t>Qatar</t>
        </is>
      </c>
      <c r="H165" s="2" t="inlineStr">
        <is>
          <t>meet</t>
        </is>
      </c>
      <c r="I165" t="inlineStr">
        <is>
          <t>buy</t>
        </is>
      </c>
    </row>
    <row r="166">
      <c r="A166" s="2" t="inlineStr">
        <is>
          <t>C3088</t>
        </is>
      </c>
      <c r="B166" s="2" t="inlineStr">
        <is>
          <t>Donna Lopez</t>
        </is>
      </c>
      <c r="C166" s="2" t="inlineStr">
        <is>
          <t>judithmeyers@davis-young.com</t>
        </is>
      </c>
      <c r="D166" s="2" t="inlineStr">
        <is>
          <t>+1-800-444-8964x134</t>
        </is>
      </c>
      <c r="E166" s="2" t="inlineStr">
        <is>
          <t>381 Justin Mill, South Bettybury, AZ 96728</t>
        </is>
      </c>
      <c r="F166" s="2" t="inlineStr">
        <is>
          <t>Onealburgh</t>
        </is>
      </c>
      <c r="G166" s="2" t="inlineStr">
        <is>
          <t>Christmas Island</t>
        </is>
      </c>
      <c r="H166" s="2" t="inlineStr">
        <is>
          <t>eight</t>
        </is>
      </c>
      <c r="I166" t="inlineStr">
        <is>
          <t>lead</t>
        </is>
      </c>
    </row>
    <row r="167">
      <c r="A167" s="2" t="inlineStr">
        <is>
          <t>C1240</t>
        </is>
      </c>
      <c r="B167" s="2" t="inlineStr">
        <is>
          <t>Beth Boyd</t>
        </is>
      </c>
      <c r="C167" s="2" t="inlineStr">
        <is>
          <t>anne72@wheeler.com</t>
        </is>
      </c>
      <c r="D167" s="2" t="inlineStr">
        <is>
          <t>790.059.6179x6958</t>
        </is>
      </c>
      <c r="E167" s="2" t="inlineStr">
        <is>
          <t>716 Roy Island Suite 754, South Brucehaven, VA 83641</t>
        </is>
      </c>
      <c r="F167" s="2" t="inlineStr">
        <is>
          <t>Port Vanessaview</t>
        </is>
      </c>
      <c r="G167" s="2" t="inlineStr">
        <is>
          <t>Saint Helena</t>
        </is>
      </c>
      <c r="H167" s="2" t="inlineStr">
        <is>
          <t>consider</t>
        </is>
      </c>
      <c r="I167" t="inlineStr">
        <is>
          <t>participant</t>
        </is>
      </c>
    </row>
    <row r="168">
      <c r="A168" s="2" t="inlineStr">
        <is>
          <t>C1397</t>
        </is>
      </c>
      <c r="B168" s="2" t="inlineStr">
        <is>
          <t>Chris Meyer</t>
        </is>
      </c>
      <c r="C168" s="2" t="inlineStr">
        <is>
          <t>sherri96@yahoo.com</t>
        </is>
      </c>
      <c r="D168" s="2" t="inlineStr">
        <is>
          <t>(129)132-3634</t>
        </is>
      </c>
      <c r="E168" s="2" t="inlineStr">
        <is>
          <t>5685 Hudson Ferry, Patrickstad, WI 51417</t>
        </is>
      </c>
      <c r="F168" s="2" t="inlineStr">
        <is>
          <t>Evansside</t>
        </is>
      </c>
      <c r="G168" s="2" t="inlineStr">
        <is>
          <t>Lebanon</t>
        </is>
      </c>
      <c r="H168" s="2" t="inlineStr">
        <is>
          <t>child</t>
        </is>
      </c>
      <c r="I168" t="inlineStr">
        <is>
          <t>police</t>
        </is>
      </c>
    </row>
    <row r="169">
      <c r="A169" s="2" t="inlineStr">
        <is>
          <t>C2916</t>
        </is>
      </c>
      <c r="B169" s="2" t="inlineStr">
        <is>
          <t>Sheryl Brown</t>
        </is>
      </c>
      <c r="C169" s="2" t="inlineStr">
        <is>
          <t>ugonzales@george.com</t>
        </is>
      </c>
      <c r="D169" s="2" t="inlineStr">
        <is>
          <t>3436636103</t>
        </is>
      </c>
      <c r="E169" s="2" t="inlineStr">
        <is>
          <t>06269 Emily Tunnel Suite 445, Taylorbury, CO 63241</t>
        </is>
      </c>
      <c r="F169" s="2" t="inlineStr">
        <is>
          <t>Lake Lisa</t>
        </is>
      </c>
      <c r="G169" s="2" t="inlineStr">
        <is>
          <t>Senegal</t>
        </is>
      </c>
      <c r="H169" s="2" t="inlineStr">
        <is>
          <t>loss</t>
        </is>
      </c>
      <c r="I169" t="inlineStr">
        <is>
          <t>themselves</t>
        </is>
      </c>
    </row>
    <row r="170">
      <c r="A170" s="2" t="inlineStr">
        <is>
          <t>C1638</t>
        </is>
      </c>
      <c r="B170" s="2" t="inlineStr">
        <is>
          <t>Tonya Hill</t>
        </is>
      </c>
      <c r="C170" s="2" t="inlineStr">
        <is>
          <t>andersonmaureen@gmail.com</t>
        </is>
      </c>
      <c r="D170" s="2" t="inlineStr">
        <is>
          <t>+1-152-966-2171</t>
        </is>
      </c>
      <c r="E170" s="2" t="inlineStr">
        <is>
          <t>26405 Liu Summit, Kiaramouth, NC 83283</t>
        </is>
      </c>
      <c r="F170" s="2" t="inlineStr">
        <is>
          <t>West Heatherberg</t>
        </is>
      </c>
      <c r="G170" s="2" t="inlineStr">
        <is>
          <t>Israel</t>
        </is>
      </c>
      <c r="H170" s="2" t="inlineStr">
        <is>
          <t>left</t>
        </is>
      </c>
      <c r="I170" t="inlineStr">
        <is>
          <t>financial</t>
        </is>
      </c>
    </row>
    <row r="171">
      <c r="A171" s="2" t="inlineStr">
        <is>
          <t>C6261</t>
        </is>
      </c>
      <c r="B171" s="2" t="inlineStr">
        <is>
          <t>Jennifer Berry</t>
        </is>
      </c>
      <c r="C171" s="2" t="inlineStr">
        <is>
          <t>mark87@hall-raymond.net</t>
        </is>
      </c>
      <c r="D171" s="2" t="inlineStr">
        <is>
          <t>(477)235-8645x88429</t>
        </is>
      </c>
      <c r="E171" s="2" t="inlineStr">
        <is>
          <t>09744 Julie Falls Apt. 104, Jacobtown, MN 33374</t>
        </is>
      </c>
      <c r="F171" s="2" t="inlineStr">
        <is>
          <t>East Sandraton</t>
        </is>
      </c>
      <c r="G171" s="2" t="inlineStr">
        <is>
          <t>Zimbabwe</t>
        </is>
      </c>
      <c r="H171" s="2" t="inlineStr">
        <is>
          <t>half</t>
        </is>
      </c>
      <c r="I171" t="inlineStr">
        <is>
          <t>staff</t>
        </is>
      </c>
    </row>
    <row r="172">
      <c r="A172" s="2" t="inlineStr">
        <is>
          <t>C7541</t>
        </is>
      </c>
      <c r="B172" s="2" t="inlineStr">
        <is>
          <t>Matthew Berry</t>
        </is>
      </c>
      <c r="C172" s="2" t="inlineStr">
        <is>
          <t>jose46@vasquez.net</t>
        </is>
      </c>
      <c r="D172" s="2" t="inlineStr">
        <is>
          <t>001-968-746-0987x9321</t>
        </is>
      </c>
      <c r="E172" s="2" t="inlineStr">
        <is>
          <t>51556 Parker Vista, East Stephanieton, ME 93638</t>
        </is>
      </c>
      <c r="F172" s="2" t="inlineStr">
        <is>
          <t>Brendanfurt</t>
        </is>
      </c>
      <c r="G172" s="2" t="inlineStr">
        <is>
          <t>Monaco</t>
        </is>
      </c>
      <c r="H172" s="2" t="inlineStr">
        <is>
          <t>of</t>
        </is>
      </c>
      <c r="I172" t="inlineStr">
        <is>
          <t>increase</t>
        </is>
      </c>
    </row>
    <row r="173">
      <c r="A173" s="2" t="inlineStr">
        <is>
          <t>C4390</t>
        </is>
      </c>
      <c r="B173" s="2" t="inlineStr">
        <is>
          <t>Cheryl Wilson</t>
        </is>
      </c>
      <c r="C173" s="2" t="inlineStr">
        <is>
          <t>pateltiffany@yahoo.com</t>
        </is>
      </c>
      <c r="D173" s="2" t="inlineStr">
        <is>
          <t>971-426-3044x925</t>
        </is>
      </c>
      <c r="E173" s="2" t="inlineStr">
        <is>
          <t>5186 Hernandez Spring, North Sheri, AZ 04602</t>
        </is>
      </c>
      <c r="F173" s="2" t="inlineStr">
        <is>
          <t>Wesleyberg</t>
        </is>
      </c>
      <c r="G173" s="2" t="inlineStr">
        <is>
          <t>Congo</t>
        </is>
      </c>
      <c r="H173" s="2" t="inlineStr">
        <is>
          <t>air</t>
        </is>
      </c>
      <c r="I173" t="inlineStr">
        <is>
          <t>when</t>
        </is>
      </c>
    </row>
    <row r="174">
      <c r="A174" s="2" t="inlineStr">
        <is>
          <t>C3641</t>
        </is>
      </c>
      <c r="B174" s="2" t="inlineStr">
        <is>
          <t>Laura Jones</t>
        </is>
      </c>
      <c r="C174" s="2" t="inlineStr">
        <is>
          <t>amyjacobson@perry-garcia.com</t>
        </is>
      </c>
      <c r="D174" s="2" t="inlineStr">
        <is>
          <t>(982)969-5220</t>
        </is>
      </c>
      <c r="E174" s="2" t="inlineStr">
        <is>
          <t>791 Berg Ramp Suite 049, West Eric, NE 38546</t>
        </is>
      </c>
      <c r="F174" s="2" t="inlineStr">
        <is>
          <t>Allenside</t>
        </is>
      </c>
      <c r="G174" s="2" t="inlineStr">
        <is>
          <t>Ireland</t>
        </is>
      </c>
      <c r="H174" s="2" t="inlineStr">
        <is>
          <t>admit</t>
        </is>
      </c>
      <c r="I174" t="inlineStr">
        <is>
          <t>group</t>
        </is>
      </c>
    </row>
    <row r="175">
      <c r="A175" s="2" t="inlineStr">
        <is>
          <t>C9693</t>
        </is>
      </c>
      <c r="B175" s="2" t="inlineStr">
        <is>
          <t>Francisco West</t>
        </is>
      </c>
      <c r="C175" s="2" t="inlineStr">
        <is>
          <t>cward@ayala.com</t>
        </is>
      </c>
      <c r="D175" s="2" t="inlineStr">
        <is>
          <t>192-004-3179x94472</t>
        </is>
      </c>
      <c r="E175" s="2" t="inlineStr">
        <is>
          <t>7006 Gilbert Drive Suite 646, Daleberg, CO 23885</t>
        </is>
      </c>
      <c r="F175" s="2" t="inlineStr">
        <is>
          <t>Port Candace</t>
        </is>
      </c>
      <c r="G175" s="2" t="inlineStr">
        <is>
          <t>Honduras</t>
        </is>
      </c>
      <c r="H175" s="2" t="inlineStr">
        <is>
          <t>good</t>
        </is>
      </c>
      <c r="I175" t="inlineStr">
        <is>
          <t>few</t>
        </is>
      </c>
    </row>
    <row r="176">
      <c r="A176" s="2" t="inlineStr">
        <is>
          <t>C7257</t>
        </is>
      </c>
      <c r="B176" s="2" t="inlineStr">
        <is>
          <t>Jennifer Warren</t>
        </is>
      </c>
      <c r="C176" s="2" t="inlineStr">
        <is>
          <t>butlerdestiny@young.com</t>
        </is>
      </c>
      <c r="D176" s="2" t="inlineStr">
        <is>
          <t>+1-916-423-0826</t>
        </is>
      </c>
      <c r="E176" s="2" t="inlineStr">
        <is>
          <t>33088 Jennifer Circle Apt. 035, Rogersburgh, CO 11420</t>
        </is>
      </c>
      <c r="F176" s="2" t="inlineStr">
        <is>
          <t>Allenton</t>
        </is>
      </c>
      <c r="G176" s="2" t="inlineStr">
        <is>
          <t>Montenegro</t>
        </is>
      </c>
      <c r="H176" s="2" t="inlineStr">
        <is>
          <t>cell</t>
        </is>
      </c>
      <c r="I176" t="inlineStr">
        <is>
          <t>generation</t>
        </is>
      </c>
    </row>
    <row r="177">
      <c r="A177" s="2" t="inlineStr">
        <is>
          <t>C1716</t>
        </is>
      </c>
      <c r="B177" s="2" t="inlineStr">
        <is>
          <t>Teresa Schneider</t>
        </is>
      </c>
      <c r="C177" s="2" t="inlineStr">
        <is>
          <t>torreskimberly@evans.biz</t>
        </is>
      </c>
      <c r="D177" s="2" t="inlineStr">
        <is>
          <t>887.672.5124</t>
        </is>
      </c>
      <c r="E177" s="2" t="inlineStr">
        <is>
          <t>81248 Frank Corner Suite 233, South Jessicaton, RI 83757</t>
        </is>
      </c>
      <c r="F177" s="2" t="inlineStr">
        <is>
          <t>Port Brenda</t>
        </is>
      </c>
      <c r="G177" s="2" t="inlineStr">
        <is>
          <t>Pitcairn Islands</t>
        </is>
      </c>
      <c r="H177" s="2" t="inlineStr">
        <is>
          <t>once</t>
        </is>
      </c>
      <c r="I177" t="inlineStr">
        <is>
          <t>specific</t>
        </is>
      </c>
    </row>
    <row r="178">
      <c r="A178" s="2" t="inlineStr">
        <is>
          <t>C7523</t>
        </is>
      </c>
      <c r="B178" s="2" t="inlineStr">
        <is>
          <t>Kelly Carrillo</t>
        </is>
      </c>
      <c r="C178" s="2" t="inlineStr">
        <is>
          <t>tmurphy@dawson.biz</t>
        </is>
      </c>
      <c r="D178" s="2" t="inlineStr">
        <is>
          <t>707.064.6179x0345</t>
        </is>
      </c>
      <c r="E178" s="2" t="inlineStr">
        <is>
          <t>0509 Hicks Glen Suite 304, Clarkfort, NJ 79154</t>
        </is>
      </c>
      <c r="F178" s="2" t="inlineStr">
        <is>
          <t>Murphyton</t>
        </is>
      </c>
      <c r="G178" s="2" t="inlineStr">
        <is>
          <t>United Arab Emirates</t>
        </is>
      </c>
      <c r="H178" s="2" t="inlineStr">
        <is>
          <t>gun</t>
        </is>
      </c>
      <c r="I178" t="inlineStr">
        <is>
          <t>personal</t>
        </is>
      </c>
    </row>
    <row r="179">
      <c r="A179" s="2" t="inlineStr">
        <is>
          <t>C5634</t>
        </is>
      </c>
      <c r="B179" s="2" t="inlineStr">
        <is>
          <t>Crystal Terry</t>
        </is>
      </c>
      <c r="C179" s="2" t="inlineStr">
        <is>
          <t>shannonmcdowell@gmail.com</t>
        </is>
      </c>
      <c r="D179" s="2" t="inlineStr">
        <is>
          <t>001-498-253-3099x6958</t>
        </is>
      </c>
      <c r="E179" s="2" t="inlineStr">
        <is>
          <t>04636 Jones Streets Apt. 916, Lake Lauren, MN 47420</t>
        </is>
      </c>
      <c r="F179" s="2" t="inlineStr">
        <is>
          <t>Jessicaview</t>
        </is>
      </c>
      <c r="G179" s="2" t="inlineStr">
        <is>
          <t>Tanzania</t>
        </is>
      </c>
      <c r="H179" s="2" t="inlineStr">
        <is>
          <t>design</t>
        </is>
      </c>
      <c r="I179" t="inlineStr">
        <is>
          <t>your</t>
        </is>
      </c>
    </row>
    <row r="180">
      <c r="A180" s="2" t="inlineStr">
        <is>
          <t>C2654</t>
        </is>
      </c>
      <c r="B180" s="2" t="inlineStr">
        <is>
          <t>Chad Cunningham</t>
        </is>
      </c>
      <c r="C180" s="2" t="inlineStr">
        <is>
          <t>townsendcaitlin@hotmail.com</t>
        </is>
      </c>
      <c r="D180" s="2" t="inlineStr">
        <is>
          <t>925-550-1589x38703</t>
        </is>
      </c>
      <c r="E180" s="2" t="inlineStr">
        <is>
          <t>PSC 4700, Box 0104, APO AP 74306</t>
        </is>
      </c>
      <c r="F180" s="2" t="inlineStr">
        <is>
          <t>Michaelland</t>
        </is>
      </c>
      <c r="G180" s="2" t="inlineStr">
        <is>
          <t>Guadeloupe</t>
        </is>
      </c>
      <c r="H180" s="2" t="inlineStr">
        <is>
          <t>either</t>
        </is>
      </c>
      <c r="I180" t="inlineStr">
        <is>
          <t>me</t>
        </is>
      </c>
    </row>
    <row r="181">
      <c r="A181" s="2" t="inlineStr">
        <is>
          <t>C2623</t>
        </is>
      </c>
      <c r="B181" s="2" t="inlineStr">
        <is>
          <t>Paul Oconnell</t>
        </is>
      </c>
      <c r="C181" s="2" t="inlineStr">
        <is>
          <t>mark64@hotmail.com</t>
        </is>
      </c>
      <c r="D181" s="2" t="inlineStr">
        <is>
          <t>(925)039-9616x7867</t>
        </is>
      </c>
      <c r="E181" s="2" t="inlineStr">
        <is>
          <t>16809 Toni Spring, Davidfort, AL 56992</t>
        </is>
      </c>
      <c r="F181" s="2" t="inlineStr">
        <is>
          <t>Port Jennifer</t>
        </is>
      </c>
      <c r="G181" s="2" t="inlineStr">
        <is>
          <t>Gabon</t>
        </is>
      </c>
      <c r="H181" s="2" t="inlineStr">
        <is>
          <t>strategy</t>
        </is>
      </c>
      <c r="I181" t="inlineStr">
        <is>
          <t>purpose</t>
        </is>
      </c>
    </row>
    <row r="182">
      <c r="A182" s="2" t="inlineStr">
        <is>
          <t>C4490</t>
        </is>
      </c>
      <c r="B182" s="2" t="inlineStr">
        <is>
          <t>Zachary Mckay</t>
        </is>
      </c>
      <c r="C182" s="2" t="inlineStr">
        <is>
          <t>shepherdpatricia@hotmail.com</t>
        </is>
      </c>
      <c r="D182" s="2" t="inlineStr">
        <is>
          <t>+1-072-047-7132x022</t>
        </is>
      </c>
      <c r="E182" s="2" t="inlineStr">
        <is>
          <t>7322 Wood Hill, New Tony, MA 58708</t>
        </is>
      </c>
      <c r="F182" s="2" t="inlineStr">
        <is>
          <t>Port Michaelmouth</t>
        </is>
      </c>
      <c r="G182" s="2" t="inlineStr">
        <is>
          <t>Macao</t>
        </is>
      </c>
      <c r="H182" s="2" t="inlineStr">
        <is>
          <t>race</t>
        </is>
      </c>
      <c r="I182" t="inlineStr">
        <is>
          <t>exist</t>
        </is>
      </c>
    </row>
    <row r="183">
      <c r="A183" s="2" t="inlineStr">
        <is>
          <t>C1511</t>
        </is>
      </c>
      <c r="B183" s="2" t="inlineStr">
        <is>
          <t>Laura Arnold</t>
        </is>
      </c>
      <c r="C183" s="2" t="inlineStr">
        <is>
          <t>pjones@sandoval.net</t>
        </is>
      </c>
      <c r="D183" s="2" t="inlineStr">
        <is>
          <t>9038340604</t>
        </is>
      </c>
      <c r="E183" s="2" t="inlineStr">
        <is>
          <t>988 Mueller Knoll, Nixonshire, AK 76464</t>
        </is>
      </c>
      <c r="F183" s="2" t="inlineStr">
        <is>
          <t>Gateschester</t>
        </is>
      </c>
      <c r="G183" s="2" t="inlineStr">
        <is>
          <t>Poland</t>
        </is>
      </c>
      <c r="H183" s="2" t="inlineStr">
        <is>
          <t>involve</t>
        </is>
      </c>
      <c r="I183" t="inlineStr">
        <is>
          <t>election</t>
        </is>
      </c>
    </row>
    <row r="184">
      <c r="A184" s="2" t="inlineStr">
        <is>
          <t>C3932</t>
        </is>
      </c>
      <c r="B184" s="2" t="inlineStr">
        <is>
          <t>Tammy Mcgee</t>
        </is>
      </c>
      <c r="C184" s="2" t="inlineStr">
        <is>
          <t>ilewis@hotmail.com</t>
        </is>
      </c>
      <c r="D184" s="2" t="inlineStr">
        <is>
          <t>239-852-0707</t>
        </is>
      </c>
      <c r="E184" s="2" t="inlineStr">
        <is>
          <t>450 Young Squares Suite 974, Port Heathertown, NJ 00573</t>
        </is>
      </c>
      <c r="F184" s="2" t="inlineStr">
        <is>
          <t>North Nicoleburgh</t>
        </is>
      </c>
      <c r="G184" s="2" t="inlineStr">
        <is>
          <t>Heard Island and McDonald Islands</t>
        </is>
      </c>
      <c r="H184" s="2" t="inlineStr">
        <is>
          <t>wife</t>
        </is>
      </c>
      <c r="I184" t="inlineStr">
        <is>
          <t>often</t>
        </is>
      </c>
    </row>
    <row r="185">
      <c r="A185" s="2" t="inlineStr">
        <is>
          <t>C6514</t>
        </is>
      </c>
      <c r="B185" s="2" t="inlineStr">
        <is>
          <t>Victoria Benson</t>
        </is>
      </c>
      <c r="C185" s="2" t="inlineStr">
        <is>
          <t>deborahwatkins@yahoo.com</t>
        </is>
      </c>
      <c r="D185" s="2" t="inlineStr">
        <is>
          <t>+1-343-606-5557x6364</t>
        </is>
      </c>
      <c r="E185" s="2" t="inlineStr">
        <is>
          <t>520 Lori Run, Christopherberg, MA 31601</t>
        </is>
      </c>
      <c r="F185" s="2" t="inlineStr">
        <is>
          <t>Thomasville</t>
        </is>
      </c>
      <c r="G185" s="2" t="inlineStr">
        <is>
          <t>Thailand</t>
        </is>
      </c>
      <c r="H185" s="2" t="inlineStr">
        <is>
          <t>growth</t>
        </is>
      </c>
      <c r="I185" t="inlineStr">
        <is>
          <t>other</t>
        </is>
      </c>
    </row>
    <row r="186">
      <c r="A186" s="2" t="inlineStr">
        <is>
          <t>C4965</t>
        </is>
      </c>
      <c r="B186" s="2" t="inlineStr">
        <is>
          <t>Tina Underwood</t>
        </is>
      </c>
      <c r="C186" s="2" t="inlineStr">
        <is>
          <t>rodney86@gmail.com</t>
        </is>
      </c>
      <c r="D186" s="2" t="inlineStr">
        <is>
          <t>584.577.2407</t>
        </is>
      </c>
      <c r="E186" s="2" t="inlineStr">
        <is>
          <t>09792 Mitchell Mission, New Daniel, FL 48219</t>
        </is>
      </c>
      <c r="F186" s="2" t="inlineStr">
        <is>
          <t>Matthewburgh</t>
        </is>
      </c>
      <c r="G186" s="2" t="inlineStr">
        <is>
          <t>Germany</t>
        </is>
      </c>
      <c r="H186" s="2" t="inlineStr">
        <is>
          <t>around</t>
        </is>
      </c>
      <c r="I186" t="inlineStr">
        <is>
          <t>analysis</t>
        </is>
      </c>
    </row>
    <row r="187">
      <c r="A187" s="2" t="inlineStr">
        <is>
          <t>C8312</t>
        </is>
      </c>
      <c r="B187" s="2" t="inlineStr">
        <is>
          <t>Matthew Beard</t>
        </is>
      </c>
      <c r="C187" s="2" t="inlineStr">
        <is>
          <t>juliepark@sawyer.com</t>
        </is>
      </c>
      <c r="D187" s="2" t="inlineStr">
        <is>
          <t>247-898-7360x16531</t>
        </is>
      </c>
      <c r="E187" s="2" t="inlineStr">
        <is>
          <t>5739 Kelley Trafficway, Ivanville, MA 20721</t>
        </is>
      </c>
      <c r="F187" s="2" t="inlineStr">
        <is>
          <t>Justinstad</t>
        </is>
      </c>
      <c r="G187" s="2" t="inlineStr">
        <is>
          <t>Saint Martin</t>
        </is>
      </c>
      <c r="H187" s="2" t="inlineStr">
        <is>
          <t>discussion</t>
        </is>
      </c>
      <c r="I187" t="inlineStr">
        <is>
          <t>follow</t>
        </is>
      </c>
    </row>
    <row r="188">
      <c r="A188" s="2" t="inlineStr">
        <is>
          <t>C9930</t>
        </is>
      </c>
      <c r="B188" s="2" t="inlineStr">
        <is>
          <t>Crystal Flynn</t>
        </is>
      </c>
      <c r="C188" s="2" t="inlineStr">
        <is>
          <t>ruthjenkins@shannon.com</t>
        </is>
      </c>
      <c r="D188" s="2" t="inlineStr">
        <is>
          <t>5563460637</t>
        </is>
      </c>
      <c r="E188" s="2" t="inlineStr">
        <is>
          <t>PSC 6773, Box 6654, APO AA 13717</t>
        </is>
      </c>
      <c r="F188" s="2" t="inlineStr">
        <is>
          <t>Fordview</t>
        </is>
      </c>
      <c r="G188" s="2" t="inlineStr">
        <is>
          <t>Bouvet Island (Bouvetoya)</t>
        </is>
      </c>
      <c r="H188" s="2" t="inlineStr">
        <is>
          <t>four</t>
        </is>
      </c>
      <c r="I188" t="inlineStr">
        <is>
          <t>themselves</t>
        </is>
      </c>
    </row>
    <row r="189">
      <c r="A189" s="2" t="inlineStr">
        <is>
          <t>C1557</t>
        </is>
      </c>
      <c r="B189" s="2" t="inlineStr">
        <is>
          <t>Pamela Nelson</t>
        </is>
      </c>
      <c r="C189" s="2" t="inlineStr">
        <is>
          <t>colin71@wallace.com</t>
        </is>
      </c>
      <c r="D189" s="2" t="inlineStr">
        <is>
          <t>+1-424-147-5418x384</t>
        </is>
      </c>
      <c r="E189" s="2" t="inlineStr">
        <is>
          <t>5078 Smith Fork Suite 623, Kennethbury, NY 64701</t>
        </is>
      </c>
      <c r="F189" s="2" t="inlineStr">
        <is>
          <t>Melissaberg</t>
        </is>
      </c>
      <c r="G189" s="2" t="inlineStr">
        <is>
          <t>San Marino</t>
        </is>
      </c>
      <c r="H189" s="2" t="inlineStr">
        <is>
          <t>how</t>
        </is>
      </c>
      <c r="I189" t="inlineStr">
        <is>
          <t>everything</t>
        </is>
      </c>
    </row>
    <row r="190">
      <c r="A190" s="2" t="inlineStr">
        <is>
          <t>C9934</t>
        </is>
      </c>
      <c r="B190" s="2" t="inlineStr">
        <is>
          <t>Shannon Moss</t>
        </is>
      </c>
      <c r="C190" s="2" t="inlineStr">
        <is>
          <t>campbellamber@gmail.com</t>
        </is>
      </c>
      <c r="D190" s="2" t="inlineStr">
        <is>
          <t>570.707.1121</t>
        </is>
      </c>
      <c r="E190" s="2" t="inlineStr">
        <is>
          <t>Unit 7880 Box 5345, DPO AE 54214</t>
        </is>
      </c>
      <c r="F190" s="2" t="inlineStr">
        <is>
          <t>Michaelbury</t>
        </is>
      </c>
      <c r="G190" s="2" t="inlineStr">
        <is>
          <t>Venezuela</t>
        </is>
      </c>
      <c r="H190" s="2" t="inlineStr">
        <is>
          <t>often</t>
        </is>
      </c>
      <c r="I190" t="inlineStr">
        <is>
          <t>data</t>
        </is>
      </c>
    </row>
    <row r="191">
      <c r="A191" s="2" t="inlineStr">
        <is>
          <t>C2488</t>
        </is>
      </c>
      <c r="B191" s="2" t="inlineStr">
        <is>
          <t>Amanda Lang</t>
        </is>
      </c>
      <c r="C191" s="2" t="inlineStr">
        <is>
          <t>wellsvictoria@jones.com</t>
        </is>
      </c>
      <c r="D191" s="2" t="inlineStr">
        <is>
          <t>3959741797</t>
        </is>
      </c>
      <c r="E191" s="2" t="inlineStr">
        <is>
          <t>USS Campos, FPO AA 21834</t>
        </is>
      </c>
      <c r="F191" s="2" t="inlineStr">
        <is>
          <t>South Jamesmouth</t>
        </is>
      </c>
      <c r="G191" s="2" t="inlineStr">
        <is>
          <t>Angola</t>
        </is>
      </c>
      <c r="H191" s="2" t="inlineStr">
        <is>
          <t>teacher</t>
        </is>
      </c>
      <c r="I191" t="inlineStr">
        <is>
          <t>subject</t>
        </is>
      </c>
    </row>
    <row r="192">
      <c r="A192" s="2" t="inlineStr">
        <is>
          <t>C4089</t>
        </is>
      </c>
      <c r="B192" s="2" t="inlineStr">
        <is>
          <t>Nicholas Hoffman</t>
        </is>
      </c>
      <c r="C192" s="2" t="inlineStr">
        <is>
          <t>rachel25@vincent.org</t>
        </is>
      </c>
      <c r="D192" s="2" t="inlineStr">
        <is>
          <t>(514)032-7054</t>
        </is>
      </c>
      <c r="E192" s="2" t="inlineStr">
        <is>
          <t>01294 Logan Walk, West David, MI 19180</t>
        </is>
      </c>
      <c r="F192" s="2" t="inlineStr">
        <is>
          <t>Brownside</t>
        </is>
      </c>
      <c r="G192" s="2" t="inlineStr">
        <is>
          <t>Maldives</t>
        </is>
      </c>
      <c r="H192" s="2" t="inlineStr">
        <is>
          <t>when</t>
        </is>
      </c>
      <c r="I192" t="inlineStr">
        <is>
          <t>kind</t>
        </is>
      </c>
    </row>
    <row r="193">
      <c r="A193" s="2" t="inlineStr">
        <is>
          <t>C2522</t>
        </is>
      </c>
      <c r="B193" s="2" t="inlineStr">
        <is>
          <t>Corey Day</t>
        </is>
      </c>
      <c r="C193" s="2" t="inlineStr">
        <is>
          <t>hannahburke@yahoo.com</t>
        </is>
      </c>
      <c r="D193" s="2" t="inlineStr">
        <is>
          <t>004-800-2237x476</t>
        </is>
      </c>
      <c r="E193" s="2" t="inlineStr">
        <is>
          <t>2772 Nicole Glen, East Brittany, DC 85394</t>
        </is>
      </c>
      <c r="F193" s="2" t="inlineStr">
        <is>
          <t>Coxland</t>
        </is>
      </c>
      <c r="G193" s="2" t="inlineStr">
        <is>
          <t>Germany</t>
        </is>
      </c>
      <c r="H193" s="2" t="inlineStr">
        <is>
          <t>firm</t>
        </is>
      </c>
      <c r="I193" t="inlineStr">
        <is>
          <t>watch</t>
        </is>
      </c>
    </row>
    <row r="194">
      <c r="A194" s="2" t="inlineStr">
        <is>
          <t>C7194</t>
        </is>
      </c>
      <c r="B194" s="2" t="inlineStr">
        <is>
          <t>Melissa Morrison</t>
        </is>
      </c>
      <c r="C194" s="2" t="inlineStr">
        <is>
          <t>harperemily@gmail.com</t>
        </is>
      </c>
      <c r="D194" s="2" t="inlineStr">
        <is>
          <t>393-861-1335x94370</t>
        </is>
      </c>
      <c r="E194" s="2" t="inlineStr">
        <is>
          <t>1948 Vega Parkways, East Connie, ID 58256</t>
        </is>
      </c>
      <c r="F194" s="2" t="inlineStr">
        <is>
          <t>Port Michael</t>
        </is>
      </c>
      <c r="G194" s="2" t="inlineStr">
        <is>
          <t>Macao</t>
        </is>
      </c>
      <c r="H194" s="2" t="inlineStr">
        <is>
          <t>such</t>
        </is>
      </c>
      <c r="I194" t="inlineStr">
        <is>
          <t>put</t>
        </is>
      </c>
    </row>
    <row r="195">
      <c r="A195" s="2" t="inlineStr">
        <is>
          <t>C3981</t>
        </is>
      </c>
      <c r="B195" s="2" t="inlineStr">
        <is>
          <t>Maria Shaw</t>
        </is>
      </c>
      <c r="C195" s="2" t="inlineStr">
        <is>
          <t>wesley01@sims.net</t>
        </is>
      </c>
      <c r="D195" s="2" t="inlineStr">
        <is>
          <t>001-924-013-2936x545</t>
        </is>
      </c>
      <c r="E195" s="2" t="inlineStr">
        <is>
          <t>379 Grimes Circles Suite 482, Julianland, ND 42995</t>
        </is>
      </c>
      <c r="F195" s="2" t="inlineStr">
        <is>
          <t>Port Monica</t>
        </is>
      </c>
      <c r="G195" s="2" t="inlineStr">
        <is>
          <t>Benin</t>
        </is>
      </c>
      <c r="H195" s="2" t="inlineStr">
        <is>
          <t>series</t>
        </is>
      </c>
      <c r="I195" t="inlineStr">
        <is>
          <t>person</t>
        </is>
      </c>
    </row>
    <row r="196">
      <c r="A196" s="2" t="inlineStr">
        <is>
          <t>C8981</t>
        </is>
      </c>
      <c r="B196" s="2" t="inlineStr">
        <is>
          <t>Thomas Murray</t>
        </is>
      </c>
      <c r="C196" s="2" t="inlineStr">
        <is>
          <t>nataliebyrd@willis.com</t>
        </is>
      </c>
      <c r="D196" s="2" t="inlineStr">
        <is>
          <t>+1-304-110-0100</t>
        </is>
      </c>
      <c r="E196" s="2" t="inlineStr">
        <is>
          <t>7616 Lauren Walks, Bryantown, PA 64245</t>
        </is>
      </c>
      <c r="F196" s="2" t="inlineStr">
        <is>
          <t>Townsendland</t>
        </is>
      </c>
      <c r="G196" s="2" t="inlineStr">
        <is>
          <t>Solomon Islands</t>
        </is>
      </c>
      <c r="H196" s="2" t="inlineStr">
        <is>
          <t>goal</t>
        </is>
      </c>
      <c r="I196" t="inlineStr">
        <is>
          <t>rise</t>
        </is>
      </c>
    </row>
    <row r="197">
      <c r="A197" s="2" t="inlineStr">
        <is>
          <t>C7684</t>
        </is>
      </c>
      <c r="B197" s="2" t="inlineStr">
        <is>
          <t>Michelle Jones</t>
        </is>
      </c>
      <c r="C197" s="2" t="inlineStr">
        <is>
          <t>watsondonald@yahoo.com</t>
        </is>
      </c>
      <c r="D197" s="2" t="inlineStr">
        <is>
          <t>+1-495-291-9984x29965</t>
        </is>
      </c>
      <c r="E197" s="2" t="inlineStr">
        <is>
          <t>08489 Schneider Course, Lake Melissa, AK 11672</t>
        </is>
      </c>
      <c r="F197" s="2" t="inlineStr">
        <is>
          <t>Louisville</t>
        </is>
      </c>
      <c r="G197" s="2" t="inlineStr">
        <is>
          <t>Guernsey</t>
        </is>
      </c>
      <c r="H197" s="2" t="inlineStr">
        <is>
          <t>point</t>
        </is>
      </c>
      <c r="I197" t="inlineStr">
        <is>
          <t>simple</t>
        </is>
      </c>
    </row>
    <row r="198">
      <c r="A198" s="2" t="inlineStr">
        <is>
          <t>C3486</t>
        </is>
      </c>
      <c r="B198" s="2" t="inlineStr">
        <is>
          <t>Holly Smith</t>
        </is>
      </c>
      <c r="C198" s="2" t="inlineStr">
        <is>
          <t>frankfernandez@pittman.com</t>
        </is>
      </c>
      <c r="D198" s="2" t="inlineStr">
        <is>
          <t>001-125-649-5474x9170</t>
        </is>
      </c>
      <c r="E198" s="2" t="inlineStr">
        <is>
          <t>4125 Robert Skyway Apt. 916, Jonathanmouth, UT 91756</t>
        </is>
      </c>
      <c r="F198" s="2" t="inlineStr">
        <is>
          <t>Thompsonstad</t>
        </is>
      </c>
      <c r="G198" s="2" t="inlineStr">
        <is>
          <t>Cote d'Ivoire</t>
        </is>
      </c>
      <c r="H198" s="2" t="inlineStr">
        <is>
          <t>nation</t>
        </is>
      </c>
      <c r="I198" t="inlineStr">
        <is>
          <t>fight</t>
        </is>
      </c>
    </row>
    <row r="199">
      <c r="A199" s="2" t="inlineStr">
        <is>
          <t>C3230</t>
        </is>
      </c>
      <c r="B199" s="2" t="inlineStr">
        <is>
          <t>Rachel Watts</t>
        </is>
      </c>
      <c r="C199" s="2" t="inlineStr">
        <is>
          <t>heatherharris@gmail.com</t>
        </is>
      </c>
      <c r="D199" s="2" t="inlineStr">
        <is>
          <t>(981)231-1048x40703</t>
        </is>
      </c>
      <c r="E199" s="2" t="inlineStr">
        <is>
          <t>770 Ward Mill Suite 760, East Charlottestad, ID 03139</t>
        </is>
      </c>
      <c r="F199" s="2" t="inlineStr">
        <is>
          <t>Maddoxhaven</t>
        </is>
      </c>
      <c r="G199" s="2" t="inlineStr">
        <is>
          <t>Korea</t>
        </is>
      </c>
      <c r="H199" s="2" t="inlineStr">
        <is>
          <t>team</t>
        </is>
      </c>
      <c r="I199" t="inlineStr">
        <is>
          <t>feel</t>
        </is>
      </c>
    </row>
    <row r="200">
      <c r="A200" s="2" t="inlineStr">
        <is>
          <t>C2742</t>
        </is>
      </c>
      <c r="B200" s="2" t="inlineStr">
        <is>
          <t>Emily Romero</t>
        </is>
      </c>
      <c r="C200" s="2" t="inlineStr">
        <is>
          <t>carpenterbradley@peters.com</t>
        </is>
      </c>
      <c r="D200" s="2" t="inlineStr">
        <is>
          <t>281-039-8718</t>
        </is>
      </c>
      <c r="E200" s="2" t="inlineStr">
        <is>
          <t>94796 Kurt Place, Karenview, GA 92292</t>
        </is>
      </c>
      <c r="F200" s="2" t="inlineStr">
        <is>
          <t>Florestown</t>
        </is>
      </c>
      <c r="G200" s="2" t="inlineStr">
        <is>
          <t>Congo</t>
        </is>
      </c>
      <c r="H200" s="2" t="inlineStr">
        <is>
          <t>state</t>
        </is>
      </c>
      <c r="I200" t="inlineStr">
        <is>
          <t>mouth</t>
        </is>
      </c>
    </row>
    <row r="201">
      <c r="A201" s="2" t="inlineStr">
        <is>
          <t>C6750</t>
        </is>
      </c>
      <c r="B201" s="2" t="inlineStr">
        <is>
          <t>Zachary Faulkner</t>
        </is>
      </c>
      <c r="C201" s="2" t="inlineStr">
        <is>
          <t>kevinwarren@rodriguez.com</t>
        </is>
      </c>
      <c r="D201" s="2" t="inlineStr">
        <is>
          <t>(130)658-6420</t>
        </is>
      </c>
      <c r="E201" s="2" t="inlineStr">
        <is>
          <t>2536 Joseph Mission Apt. 080, North Jennifer, IA 72931</t>
        </is>
      </c>
      <c r="F201" s="2" t="inlineStr">
        <is>
          <t>East Rebeccamouth</t>
        </is>
      </c>
      <c r="G201" s="2" t="inlineStr">
        <is>
          <t>Faroe Islands</t>
        </is>
      </c>
      <c r="H201" s="2" t="inlineStr">
        <is>
          <t>network</t>
        </is>
      </c>
      <c r="I201" t="inlineStr">
        <is>
          <t>more</t>
        </is>
      </c>
    </row>
    <row r="202">
      <c r="A202" s="2" t="inlineStr">
        <is>
          <t>C3346</t>
        </is>
      </c>
      <c r="B202" s="2" t="inlineStr">
        <is>
          <t>Melissa Ramos</t>
        </is>
      </c>
      <c r="C202" s="2" t="inlineStr">
        <is>
          <t>qbrown@elliott.com</t>
        </is>
      </c>
      <c r="D202" s="2" t="inlineStr">
        <is>
          <t>168.380.2716</t>
        </is>
      </c>
      <c r="E202" s="2" t="inlineStr">
        <is>
          <t>772 Johnson Wells, Fitzgeraldport, NM 49400</t>
        </is>
      </c>
      <c r="F202" s="2" t="inlineStr">
        <is>
          <t>North Tammyfort</t>
        </is>
      </c>
      <c r="G202" s="2" t="inlineStr">
        <is>
          <t>Mayotte</t>
        </is>
      </c>
      <c r="H202" s="2" t="inlineStr">
        <is>
          <t>wonder</t>
        </is>
      </c>
      <c r="I202" t="inlineStr">
        <is>
          <t>evidence</t>
        </is>
      </c>
    </row>
    <row r="203">
      <c r="A203" s="2" t="inlineStr">
        <is>
          <t>C6324</t>
        </is>
      </c>
      <c r="B203" s="2" t="inlineStr">
        <is>
          <t>Kimberly Castro</t>
        </is>
      </c>
      <c r="C203" s="2" t="inlineStr">
        <is>
          <t>dreynolds@mitchell-mcclain.com</t>
        </is>
      </c>
      <c r="D203" s="2" t="inlineStr">
        <is>
          <t>001-424-844-1004x2206</t>
        </is>
      </c>
      <c r="E203" s="2" t="inlineStr">
        <is>
          <t>269 Romero Lodge Suite 074, Andreaport, MD 21577</t>
        </is>
      </c>
      <c r="F203" s="2" t="inlineStr">
        <is>
          <t>Lake Joshuaside</t>
        </is>
      </c>
      <c r="G203" s="2" t="inlineStr">
        <is>
          <t>Lao People's Democratic Republic</t>
        </is>
      </c>
      <c r="H203" s="2" t="inlineStr">
        <is>
          <t>ready</t>
        </is>
      </c>
      <c r="I203" t="inlineStr">
        <is>
          <t>alone</t>
        </is>
      </c>
    </row>
    <row r="204">
      <c r="A204" s="2" t="inlineStr">
        <is>
          <t>C4680</t>
        </is>
      </c>
      <c r="B204" s="2" t="inlineStr">
        <is>
          <t>Travis Torres</t>
        </is>
      </c>
      <c r="C204" s="2" t="inlineStr">
        <is>
          <t>thompsonrick@yahoo.com</t>
        </is>
      </c>
      <c r="D204" s="2" t="inlineStr">
        <is>
          <t>(463)017-6109</t>
        </is>
      </c>
      <c r="E204" s="2" t="inlineStr">
        <is>
          <t>5940 Charles Rue Apt. 152, East Candace, WA 52834</t>
        </is>
      </c>
      <c r="F204" s="2" t="inlineStr">
        <is>
          <t>Rosehaven</t>
        </is>
      </c>
      <c r="G204" s="2" t="inlineStr">
        <is>
          <t>Czech Republic</t>
        </is>
      </c>
      <c r="H204" s="2" t="inlineStr">
        <is>
          <t>music</t>
        </is>
      </c>
      <c r="I204" t="inlineStr">
        <is>
          <t>star</t>
        </is>
      </c>
    </row>
    <row r="205">
      <c r="A205" s="2" t="inlineStr">
        <is>
          <t>C3176</t>
        </is>
      </c>
      <c r="B205" s="2" t="inlineStr">
        <is>
          <t>Regina Walker</t>
        </is>
      </c>
      <c r="C205" s="2" t="inlineStr">
        <is>
          <t>davidkelly@gmail.com</t>
        </is>
      </c>
      <c r="D205" s="2" t="inlineStr">
        <is>
          <t>(187)160-5212x5013</t>
        </is>
      </c>
      <c r="E205" s="2" t="inlineStr">
        <is>
          <t>3026 Sanders Isle Apt. 619, East Timothyport, AR 15808</t>
        </is>
      </c>
      <c r="F205" s="2" t="inlineStr">
        <is>
          <t>Lake Christina</t>
        </is>
      </c>
      <c r="G205" s="2" t="inlineStr">
        <is>
          <t>Isle of Man</t>
        </is>
      </c>
      <c r="H205" s="2" t="inlineStr">
        <is>
          <t>look</t>
        </is>
      </c>
      <c r="I205" t="inlineStr">
        <is>
          <t>cover</t>
        </is>
      </c>
    </row>
    <row r="206">
      <c r="A206" s="2" t="inlineStr">
        <is>
          <t>C4915</t>
        </is>
      </c>
      <c r="B206" s="2" t="inlineStr">
        <is>
          <t>Howard Cannon</t>
        </is>
      </c>
      <c r="C206" s="2" t="inlineStr">
        <is>
          <t>jscott@guerrero.net</t>
        </is>
      </c>
      <c r="D206" s="2" t="inlineStr">
        <is>
          <t>001-582-313-4730x70049</t>
        </is>
      </c>
      <c r="E206" s="2" t="inlineStr">
        <is>
          <t>2113 Sarah Square, East Rebeccaborough, MI 72111</t>
        </is>
      </c>
      <c r="F206" s="2" t="inlineStr">
        <is>
          <t>South Dominique</t>
        </is>
      </c>
      <c r="G206" s="2" t="inlineStr">
        <is>
          <t>Ecuador</t>
        </is>
      </c>
      <c r="H206" s="2" t="inlineStr">
        <is>
          <t>police</t>
        </is>
      </c>
      <c r="I206" t="inlineStr">
        <is>
          <t>power</t>
        </is>
      </c>
    </row>
    <row r="207">
      <c r="A207" s="2" t="inlineStr">
        <is>
          <t>C9896</t>
        </is>
      </c>
      <c r="B207" s="2" t="inlineStr">
        <is>
          <t>Nicole Taylor</t>
        </is>
      </c>
      <c r="C207" s="2" t="inlineStr">
        <is>
          <t>jessemartin@yahoo.com</t>
        </is>
      </c>
      <c r="D207" s="2" t="inlineStr">
        <is>
          <t>857-902-4513x298</t>
        </is>
      </c>
      <c r="E207" s="2" t="inlineStr">
        <is>
          <t>8932 Decker Springs, West Jay, TN 69425</t>
        </is>
      </c>
      <c r="F207" s="2" t="inlineStr">
        <is>
          <t>Evansmouth</t>
        </is>
      </c>
      <c r="G207" s="2" t="inlineStr">
        <is>
          <t>Lebanon</t>
        </is>
      </c>
      <c r="H207" s="2" t="inlineStr">
        <is>
          <t>production</t>
        </is>
      </c>
      <c r="I207" t="inlineStr">
        <is>
          <t>which</t>
        </is>
      </c>
    </row>
    <row r="208">
      <c r="A208" s="2" t="inlineStr">
        <is>
          <t>C4530</t>
        </is>
      </c>
      <c r="B208" s="2" t="inlineStr">
        <is>
          <t>Denise Phillips</t>
        </is>
      </c>
      <c r="C208" s="2" t="inlineStr">
        <is>
          <t>jackson28@ball.net</t>
        </is>
      </c>
      <c r="D208" s="2" t="inlineStr">
        <is>
          <t>556.182.3322</t>
        </is>
      </c>
      <c r="E208" s="2" t="inlineStr">
        <is>
          <t>4274 Jennifer Vista Apt. 847, Scottport, WI 64592</t>
        </is>
      </c>
      <c r="F208" s="2" t="inlineStr">
        <is>
          <t>Edwardfurt</t>
        </is>
      </c>
      <c r="G208" s="2" t="inlineStr">
        <is>
          <t>United States of America</t>
        </is>
      </c>
      <c r="H208" s="2" t="inlineStr">
        <is>
          <t>audience</t>
        </is>
      </c>
      <c r="I208" t="inlineStr">
        <is>
          <t>training</t>
        </is>
      </c>
    </row>
    <row r="209">
      <c r="A209" s="2" t="inlineStr">
        <is>
          <t>C1250</t>
        </is>
      </c>
      <c r="B209" s="2" t="inlineStr">
        <is>
          <t>Thomas Randall</t>
        </is>
      </c>
      <c r="C209" s="2" t="inlineStr">
        <is>
          <t>susanchase@hotmail.com</t>
        </is>
      </c>
      <c r="D209" s="2" t="inlineStr">
        <is>
          <t>(168)132-8525</t>
        </is>
      </c>
      <c r="E209" s="2" t="inlineStr">
        <is>
          <t>1716 Theresa Place, North Jessicaburgh, CA 57890</t>
        </is>
      </c>
      <c r="F209" s="2" t="inlineStr">
        <is>
          <t>Port Michaelside</t>
        </is>
      </c>
      <c r="G209" s="2" t="inlineStr">
        <is>
          <t>Bouvet Island (Bouvetoya)</t>
        </is>
      </c>
      <c r="H209" s="2" t="inlineStr">
        <is>
          <t>lot</t>
        </is>
      </c>
      <c r="I209" t="inlineStr">
        <is>
          <t>participant</t>
        </is>
      </c>
    </row>
    <row r="210">
      <c r="A210" s="2" t="inlineStr">
        <is>
          <t>C7941</t>
        </is>
      </c>
      <c r="B210" s="2" t="inlineStr">
        <is>
          <t>Wendy Garcia</t>
        </is>
      </c>
      <c r="C210" s="2" t="inlineStr">
        <is>
          <t>henry36@ingram-johnson.net</t>
        </is>
      </c>
      <c r="D210" s="2" t="inlineStr">
        <is>
          <t>130.827.5709x1661</t>
        </is>
      </c>
      <c r="E210" s="2" t="inlineStr">
        <is>
          <t>69010 Jeffery Pike, South Davidburgh, LA 70368</t>
        </is>
      </c>
      <c r="F210" s="2" t="inlineStr">
        <is>
          <t>New Patrick</t>
        </is>
      </c>
      <c r="G210" s="2" t="inlineStr">
        <is>
          <t>Norfolk Island</t>
        </is>
      </c>
      <c r="H210" s="2" t="inlineStr">
        <is>
          <t>concern</t>
        </is>
      </c>
      <c r="I210" t="inlineStr">
        <is>
          <t>program</t>
        </is>
      </c>
    </row>
    <row r="211">
      <c r="A211" s="2" t="inlineStr">
        <is>
          <t>C2149</t>
        </is>
      </c>
      <c r="B211" s="2" t="inlineStr">
        <is>
          <t>Rebecca Smith</t>
        </is>
      </c>
      <c r="C211" s="2" t="inlineStr">
        <is>
          <t>steven22@hotmail.com</t>
        </is>
      </c>
      <c r="D211" s="2" t="inlineStr">
        <is>
          <t>579.999.3757x8866</t>
        </is>
      </c>
      <c r="E211" s="2" t="inlineStr">
        <is>
          <t>25493 Richard Place, Robertmouth, MD 39658</t>
        </is>
      </c>
      <c r="F211" s="2" t="inlineStr">
        <is>
          <t>North Patrickton</t>
        </is>
      </c>
      <c r="G211" s="2" t="inlineStr">
        <is>
          <t>Jamaica</t>
        </is>
      </c>
      <c r="H211" s="2" t="inlineStr">
        <is>
          <t>four</t>
        </is>
      </c>
      <c r="I211" t="inlineStr">
        <is>
          <t>measure</t>
        </is>
      </c>
    </row>
    <row r="212">
      <c r="A212" s="2" t="inlineStr">
        <is>
          <t>C8828</t>
        </is>
      </c>
      <c r="B212" s="2" t="inlineStr">
        <is>
          <t>Brooke Lucas</t>
        </is>
      </c>
      <c r="C212" s="2" t="inlineStr">
        <is>
          <t>imason@yahoo.com</t>
        </is>
      </c>
      <c r="D212" s="2" t="inlineStr">
        <is>
          <t>640-928-1065x89764</t>
        </is>
      </c>
      <c r="E212" s="2" t="inlineStr">
        <is>
          <t>3300 Collins Manor, Kimberlymouth, WI 49575</t>
        </is>
      </c>
      <c r="F212" s="2" t="inlineStr">
        <is>
          <t>Romerofurt</t>
        </is>
      </c>
      <c r="G212" s="2" t="inlineStr">
        <is>
          <t>Malawi</t>
        </is>
      </c>
      <c r="H212" s="2" t="inlineStr">
        <is>
          <t>forget</t>
        </is>
      </c>
      <c r="I212" t="inlineStr">
        <is>
          <t>economic</t>
        </is>
      </c>
    </row>
    <row r="213">
      <c r="A213" s="2" t="inlineStr">
        <is>
          <t>C1572</t>
        </is>
      </c>
      <c r="B213" s="2" t="inlineStr">
        <is>
          <t>Colin Glover</t>
        </is>
      </c>
      <c r="C213" s="2" t="inlineStr">
        <is>
          <t>petersonrobert@vasquez.info</t>
        </is>
      </c>
      <c r="D213" s="2" t="inlineStr">
        <is>
          <t>+1-914-106-0395</t>
        </is>
      </c>
      <c r="E213" s="2" t="inlineStr">
        <is>
          <t>981 David Stream, Port Deanshire, MT 85864</t>
        </is>
      </c>
      <c r="F213" s="2" t="inlineStr">
        <is>
          <t>Avilaborough</t>
        </is>
      </c>
      <c r="G213" s="2" t="inlineStr">
        <is>
          <t>Palestinian Territory</t>
        </is>
      </c>
      <c r="H213" s="2" t="inlineStr">
        <is>
          <t>now</t>
        </is>
      </c>
      <c r="I213" t="inlineStr">
        <is>
          <t>soon</t>
        </is>
      </c>
    </row>
    <row r="214">
      <c r="A214" s="2" t="inlineStr">
        <is>
          <t>C1200</t>
        </is>
      </c>
      <c r="B214" s="2" t="inlineStr">
        <is>
          <t>Johnathan Dixon</t>
        </is>
      </c>
      <c r="C214" s="2" t="inlineStr">
        <is>
          <t>martinnielsen@guzman-jordan.com</t>
        </is>
      </c>
      <c r="D214" s="2" t="inlineStr">
        <is>
          <t>001-674-632-5943x0085</t>
        </is>
      </c>
      <c r="E214" s="2" t="inlineStr">
        <is>
          <t>72205 Sierra Tunnel, South Aaron, WV 10108</t>
        </is>
      </c>
      <c r="F214" s="2" t="inlineStr">
        <is>
          <t>New Aaronshire</t>
        </is>
      </c>
      <c r="G214" s="2" t="inlineStr">
        <is>
          <t>Sri Lanka</t>
        </is>
      </c>
      <c r="H214" s="2" t="inlineStr">
        <is>
          <t>people</t>
        </is>
      </c>
      <c r="I214" t="inlineStr">
        <is>
          <t>shake</t>
        </is>
      </c>
    </row>
    <row r="215">
      <c r="A215" s="2" t="inlineStr">
        <is>
          <t>C5022</t>
        </is>
      </c>
      <c r="B215" s="2" t="inlineStr">
        <is>
          <t>Traci Thomas</t>
        </is>
      </c>
      <c r="C215" s="2" t="inlineStr">
        <is>
          <t>ptorres@hunt.com</t>
        </is>
      </c>
      <c r="D215" s="2" t="inlineStr">
        <is>
          <t>990-426-9443x359</t>
        </is>
      </c>
      <c r="E215" s="2" t="inlineStr">
        <is>
          <t>USNS Roberson, FPO AE 97710</t>
        </is>
      </c>
      <c r="F215" s="2" t="inlineStr">
        <is>
          <t>Campbellstad</t>
        </is>
      </c>
      <c r="G215" s="2" t="inlineStr">
        <is>
          <t>Tunisia</t>
        </is>
      </c>
      <c r="H215" s="2" t="inlineStr">
        <is>
          <t>score</t>
        </is>
      </c>
      <c r="I215" t="inlineStr">
        <is>
          <t>manager</t>
        </is>
      </c>
    </row>
    <row r="216">
      <c r="A216" s="2" t="inlineStr">
        <is>
          <t>C8886</t>
        </is>
      </c>
      <c r="B216" s="2" t="inlineStr">
        <is>
          <t>Mary Ramos</t>
        </is>
      </c>
      <c r="C216" s="2" t="inlineStr">
        <is>
          <t>cbass@yahoo.com</t>
        </is>
      </c>
      <c r="D216" s="2" t="inlineStr">
        <is>
          <t>194.057.9525x7108</t>
        </is>
      </c>
      <c r="E216" s="2" t="inlineStr">
        <is>
          <t>8596 Andrade Dale Suite 187, Portershire, MI 37470</t>
        </is>
      </c>
      <c r="F216" s="2" t="inlineStr">
        <is>
          <t>Ellisonton</t>
        </is>
      </c>
      <c r="G216" s="2" t="inlineStr">
        <is>
          <t>Tunisia</t>
        </is>
      </c>
      <c r="H216" s="2" t="inlineStr">
        <is>
          <t>five</t>
        </is>
      </c>
      <c r="I216" t="inlineStr">
        <is>
          <t>first</t>
        </is>
      </c>
    </row>
    <row r="217">
      <c r="A217" s="2" t="inlineStr">
        <is>
          <t>C2181</t>
        </is>
      </c>
      <c r="B217" s="2" t="inlineStr">
        <is>
          <t>Rhonda Gonzales</t>
        </is>
      </c>
      <c r="C217" s="2" t="inlineStr">
        <is>
          <t>jasmine64@hotmail.com</t>
        </is>
      </c>
      <c r="D217" s="2" t="inlineStr">
        <is>
          <t>+1-592-359-1741x63158</t>
        </is>
      </c>
      <c r="E217" s="2" t="inlineStr">
        <is>
          <t>283 Sean Skyway Apt. 372, Lisaville, SD 32936</t>
        </is>
      </c>
      <c r="F217" s="2" t="inlineStr">
        <is>
          <t>Lake Michael</t>
        </is>
      </c>
      <c r="G217" s="2" t="inlineStr">
        <is>
          <t>Armenia</t>
        </is>
      </c>
      <c r="H217" s="2" t="inlineStr">
        <is>
          <t>son</t>
        </is>
      </c>
      <c r="I217" t="inlineStr">
        <is>
          <t>along</t>
        </is>
      </c>
    </row>
    <row r="218">
      <c r="A218" s="2" t="inlineStr">
        <is>
          <t>C7497</t>
        </is>
      </c>
      <c r="B218" s="2" t="inlineStr">
        <is>
          <t>Rachel Duffy</t>
        </is>
      </c>
      <c r="C218" s="2" t="inlineStr">
        <is>
          <t>erinelliott@lee.com</t>
        </is>
      </c>
      <c r="D218" s="2" t="inlineStr">
        <is>
          <t>9149546298</t>
        </is>
      </c>
      <c r="E218" s="2" t="inlineStr">
        <is>
          <t>974 Kimberly Terrace Apt. 013, East Johnview, AR 07557</t>
        </is>
      </c>
      <c r="F218" s="2" t="inlineStr">
        <is>
          <t>Taylorside</t>
        </is>
      </c>
      <c r="G218" s="2" t="inlineStr">
        <is>
          <t>Nepal</t>
        </is>
      </c>
      <c r="H218" s="2" t="inlineStr">
        <is>
          <t>read</t>
        </is>
      </c>
      <c r="I218" t="inlineStr">
        <is>
          <t>culture</t>
        </is>
      </c>
    </row>
    <row r="219">
      <c r="A219" s="2" t="inlineStr">
        <is>
          <t>C7386</t>
        </is>
      </c>
      <c r="B219" s="2" t="inlineStr">
        <is>
          <t>Katie Robles</t>
        </is>
      </c>
      <c r="C219" s="2" t="inlineStr">
        <is>
          <t>lgrant@fowler-taylor.org</t>
        </is>
      </c>
      <c r="D219" s="2" t="inlineStr">
        <is>
          <t>0842306086</t>
        </is>
      </c>
      <c r="E219" s="2" t="inlineStr">
        <is>
          <t>4232 Newton Valley Suite 522, Moralesland, AK 31567</t>
        </is>
      </c>
      <c r="F219" s="2" t="inlineStr">
        <is>
          <t>Randolphchester</t>
        </is>
      </c>
      <c r="G219" s="2" t="inlineStr">
        <is>
          <t>Bolivia</t>
        </is>
      </c>
      <c r="H219" s="2" t="inlineStr">
        <is>
          <t>figure</t>
        </is>
      </c>
      <c r="I219" t="inlineStr">
        <is>
          <t>arrive</t>
        </is>
      </c>
    </row>
    <row r="220">
      <c r="A220" s="2" t="inlineStr">
        <is>
          <t>C5024</t>
        </is>
      </c>
      <c r="B220" s="2" t="inlineStr">
        <is>
          <t>Kenneth Smith</t>
        </is>
      </c>
      <c r="C220" s="2" t="inlineStr">
        <is>
          <t>madams@hotmail.com</t>
        </is>
      </c>
      <c r="D220" s="2" t="inlineStr">
        <is>
          <t>001-626-730-0362x086</t>
        </is>
      </c>
      <c r="E220" s="2" t="inlineStr">
        <is>
          <t>7673 Michelle Row Suite 123, Port Mariahburgh, HI 67622</t>
        </is>
      </c>
      <c r="F220" s="2" t="inlineStr">
        <is>
          <t>Alyssashire</t>
        </is>
      </c>
      <c r="G220" s="2" t="inlineStr">
        <is>
          <t>Palestinian Territory</t>
        </is>
      </c>
      <c r="H220" s="2" t="inlineStr">
        <is>
          <t>assume</t>
        </is>
      </c>
      <c r="I220" t="inlineStr">
        <is>
          <t>church</t>
        </is>
      </c>
    </row>
    <row r="221">
      <c r="A221" s="2" t="inlineStr">
        <is>
          <t>C1864</t>
        </is>
      </c>
      <c r="B221" s="2" t="inlineStr">
        <is>
          <t>Dr. Lauren Cox</t>
        </is>
      </c>
      <c r="C221" s="2" t="inlineStr">
        <is>
          <t>michael16@gmail.com</t>
        </is>
      </c>
      <c r="D221" s="2" t="inlineStr">
        <is>
          <t>517-357-8634x8705</t>
        </is>
      </c>
      <c r="E221" s="2" t="inlineStr">
        <is>
          <t>1536 Dunn Mountains, Taylorton, KY 24801</t>
        </is>
      </c>
      <c r="F221" s="2" t="inlineStr">
        <is>
          <t>Hendersonberg</t>
        </is>
      </c>
      <c r="G221" s="2" t="inlineStr">
        <is>
          <t>Papua New Guinea</t>
        </is>
      </c>
      <c r="H221" s="2" t="inlineStr">
        <is>
          <t>offer</t>
        </is>
      </c>
      <c r="I221" t="inlineStr">
        <is>
          <t>religious</t>
        </is>
      </c>
    </row>
    <row r="222">
      <c r="A222" s="2" t="inlineStr">
        <is>
          <t>C4489</t>
        </is>
      </c>
      <c r="B222" s="2" t="inlineStr">
        <is>
          <t>Joshua Butler</t>
        </is>
      </c>
      <c r="C222" s="2" t="inlineStr">
        <is>
          <t>darrenjacobson@watson.net</t>
        </is>
      </c>
      <c r="D222" s="2" t="inlineStr">
        <is>
          <t>401-413-9053</t>
        </is>
      </c>
      <c r="E222" s="2" t="inlineStr">
        <is>
          <t>PSC 0293, Box 8599, APO AA 00826</t>
        </is>
      </c>
      <c r="F222" s="2" t="inlineStr">
        <is>
          <t>Webertown</t>
        </is>
      </c>
      <c r="G222" s="2" t="inlineStr">
        <is>
          <t>Libyan Arab Jamahiriya</t>
        </is>
      </c>
      <c r="H222" s="2" t="inlineStr">
        <is>
          <t>imagine</t>
        </is>
      </c>
      <c r="I222" t="inlineStr">
        <is>
          <t>north</t>
        </is>
      </c>
    </row>
    <row r="223">
      <c r="A223" s="2" t="inlineStr">
        <is>
          <t>C7856</t>
        </is>
      </c>
      <c r="B223" s="2" t="inlineStr">
        <is>
          <t>Tammy Harris</t>
        </is>
      </c>
      <c r="C223" s="2" t="inlineStr">
        <is>
          <t>anthony85@cooke-nichols.com</t>
        </is>
      </c>
      <c r="D223" s="2" t="inlineStr">
        <is>
          <t>393-700-6387x363</t>
        </is>
      </c>
      <c r="E223" s="2" t="inlineStr">
        <is>
          <t>84083 Nelson Pike, Colemantown, MN 15520</t>
        </is>
      </c>
      <c r="F223" s="2" t="inlineStr">
        <is>
          <t>New Johnmouth</t>
        </is>
      </c>
      <c r="G223" s="2" t="inlineStr">
        <is>
          <t>Mauritius</t>
        </is>
      </c>
      <c r="H223" s="2" t="inlineStr">
        <is>
          <t>main</t>
        </is>
      </c>
      <c r="I223" t="inlineStr">
        <is>
          <t>member</t>
        </is>
      </c>
    </row>
    <row r="224">
      <c r="A224" s="2" t="inlineStr">
        <is>
          <t>C5661</t>
        </is>
      </c>
      <c r="B224" s="2" t="inlineStr">
        <is>
          <t>Richard Carter</t>
        </is>
      </c>
      <c r="C224" s="2" t="inlineStr">
        <is>
          <t>sandra21@acevedo.info</t>
        </is>
      </c>
      <c r="D224" s="2" t="inlineStr">
        <is>
          <t>247-611-9720</t>
        </is>
      </c>
      <c r="E224" s="2" t="inlineStr">
        <is>
          <t>1465 York Turnpike Suite 094, Port Victorberg, LA 94555</t>
        </is>
      </c>
      <c r="F224" s="2" t="inlineStr">
        <is>
          <t>North Crystal</t>
        </is>
      </c>
      <c r="G224" s="2" t="inlineStr">
        <is>
          <t>Angola</t>
        </is>
      </c>
      <c r="H224" s="2" t="inlineStr">
        <is>
          <t>wish</t>
        </is>
      </c>
      <c r="I224" t="inlineStr">
        <is>
          <t>final</t>
        </is>
      </c>
    </row>
    <row r="225">
      <c r="A225" s="2" t="inlineStr">
        <is>
          <t>C3608</t>
        </is>
      </c>
      <c r="B225" s="2" t="inlineStr">
        <is>
          <t>David Lane</t>
        </is>
      </c>
      <c r="C225" s="2" t="inlineStr">
        <is>
          <t>elliottbrandon@yahoo.com</t>
        </is>
      </c>
      <c r="D225" s="2" t="inlineStr">
        <is>
          <t>036.355.3715x946</t>
        </is>
      </c>
      <c r="E225" s="2" t="inlineStr">
        <is>
          <t>9214 Courtney Brook Apt. 622, Amyborough, WA 50624</t>
        </is>
      </c>
      <c r="F225" s="2" t="inlineStr">
        <is>
          <t>West Joseph</t>
        </is>
      </c>
      <c r="G225" s="2" t="inlineStr">
        <is>
          <t>Cook Islands</t>
        </is>
      </c>
      <c r="H225" s="2" t="inlineStr">
        <is>
          <t>nor</t>
        </is>
      </c>
      <c r="I225" t="inlineStr">
        <is>
          <t>air</t>
        </is>
      </c>
    </row>
    <row r="226">
      <c r="A226" s="2" t="inlineStr">
        <is>
          <t>C3432</t>
        </is>
      </c>
      <c r="B226" s="2" t="inlineStr">
        <is>
          <t>Ralph Hoffman</t>
        </is>
      </c>
      <c r="C226" s="2" t="inlineStr">
        <is>
          <t>olivia37@yahoo.com</t>
        </is>
      </c>
      <c r="D226" s="2" t="inlineStr">
        <is>
          <t>866-506-6624</t>
        </is>
      </c>
      <c r="E226" s="2" t="inlineStr">
        <is>
          <t>905 James Road, Lake William, LA 28223</t>
        </is>
      </c>
      <c r="F226" s="2" t="inlineStr">
        <is>
          <t>West Michaelton</t>
        </is>
      </c>
      <c r="G226" s="2" t="inlineStr">
        <is>
          <t>Iraq</t>
        </is>
      </c>
      <c r="H226" s="2" t="inlineStr">
        <is>
          <t>reason</t>
        </is>
      </c>
      <c r="I226" t="inlineStr">
        <is>
          <t>individual</t>
        </is>
      </c>
    </row>
    <row r="227">
      <c r="A227" s="2" t="inlineStr">
        <is>
          <t>C9135</t>
        </is>
      </c>
      <c r="B227" s="2" t="inlineStr">
        <is>
          <t>Deborah Waters</t>
        </is>
      </c>
      <c r="C227" s="2" t="inlineStr">
        <is>
          <t>brandonnorris@yahoo.com</t>
        </is>
      </c>
      <c r="D227" s="2" t="inlineStr">
        <is>
          <t>(586)368-9686</t>
        </is>
      </c>
      <c r="E227" s="2" t="inlineStr">
        <is>
          <t>USNV Gates, FPO AE 37149</t>
        </is>
      </c>
      <c r="F227" s="2" t="inlineStr">
        <is>
          <t>Christopherport</t>
        </is>
      </c>
      <c r="G227" s="2" t="inlineStr">
        <is>
          <t>Switzerland</t>
        </is>
      </c>
      <c r="H227" s="2" t="inlineStr">
        <is>
          <t>certain</t>
        </is>
      </c>
      <c r="I227" t="inlineStr">
        <is>
          <t>new</t>
        </is>
      </c>
    </row>
    <row r="228">
      <c r="A228" s="2" t="inlineStr">
        <is>
          <t>C5985</t>
        </is>
      </c>
      <c r="B228" s="2" t="inlineStr">
        <is>
          <t>Eric Payne</t>
        </is>
      </c>
      <c r="C228" s="2" t="inlineStr">
        <is>
          <t>shill@gmail.com</t>
        </is>
      </c>
      <c r="D228" s="2" t="inlineStr">
        <is>
          <t>+1-242-431-6557</t>
        </is>
      </c>
      <c r="E228" s="2" t="inlineStr">
        <is>
          <t>665 Micheal Overpass Apt. 439, South Stephen, PA 51731</t>
        </is>
      </c>
      <c r="F228" s="2" t="inlineStr">
        <is>
          <t>Port Kelly</t>
        </is>
      </c>
      <c r="G228" s="2" t="inlineStr">
        <is>
          <t>Nepal</t>
        </is>
      </c>
      <c r="H228" s="2" t="inlineStr">
        <is>
          <t>former</t>
        </is>
      </c>
      <c r="I228" t="inlineStr">
        <is>
          <t>light</t>
        </is>
      </c>
    </row>
    <row r="229">
      <c r="A229" s="2" t="inlineStr">
        <is>
          <t>C1967</t>
        </is>
      </c>
      <c r="B229" s="2" t="inlineStr">
        <is>
          <t>Jennifer Gonzalez</t>
        </is>
      </c>
      <c r="C229" s="2" t="inlineStr">
        <is>
          <t>jeffrey10@hotmail.com</t>
        </is>
      </c>
      <c r="D229" s="2" t="inlineStr">
        <is>
          <t>497-636-1365x49833</t>
        </is>
      </c>
      <c r="E229" s="2" t="inlineStr">
        <is>
          <t>93109 Jorge Heights Apt. 090, West Thomasborough, WI 31524</t>
        </is>
      </c>
      <c r="F229" s="2" t="inlineStr">
        <is>
          <t>Sanfordbury</t>
        </is>
      </c>
      <c r="G229" s="2" t="inlineStr">
        <is>
          <t>Micronesia</t>
        </is>
      </c>
      <c r="H229" s="2" t="inlineStr">
        <is>
          <t>discussion</t>
        </is>
      </c>
      <c r="I229" t="inlineStr">
        <is>
          <t>bit</t>
        </is>
      </c>
    </row>
    <row r="230">
      <c r="A230" s="2" t="inlineStr">
        <is>
          <t>C5327</t>
        </is>
      </c>
      <c r="B230" s="2" t="inlineStr">
        <is>
          <t>Nathan Hood</t>
        </is>
      </c>
      <c r="C230" s="2" t="inlineStr">
        <is>
          <t>dunnkathy@mason-campbell.com</t>
        </is>
      </c>
      <c r="D230" s="2" t="inlineStr">
        <is>
          <t>582.670.2522x7697</t>
        </is>
      </c>
      <c r="E230" s="2" t="inlineStr">
        <is>
          <t>15071 Alexander Overpass, Williamsmouth, WA 52486</t>
        </is>
      </c>
      <c r="F230" s="2" t="inlineStr">
        <is>
          <t>Lake Franklinborough</t>
        </is>
      </c>
      <c r="G230" s="2" t="inlineStr">
        <is>
          <t>Mongolia</t>
        </is>
      </c>
      <c r="H230" s="2" t="inlineStr">
        <is>
          <t>nice</t>
        </is>
      </c>
      <c r="I230" t="inlineStr">
        <is>
          <t>western</t>
        </is>
      </c>
    </row>
    <row r="231">
      <c r="A231" s="2" t="inlineStr">
        <is>
          <t>C3033</t>
        </is>
      </c>
      <c r="B231" s="2" t="inlineStr">
        <is>
          <t>Lisa Guzman</t>
        </is>
      </c>
      <c r="C231" s="2" t="inlineStr">
        <is>
          <t>lisa55@smith.com</t>
        </is>
      </c>
      <c r="D231" s="2" t="inlineStr">
        <is>
          <t>001-949-611-9991x6399</t>
        </is>
      </c>
      <c r="E231" s="2" t="inlineStr">
        <is>
          <t>USNS Henson, FPO AP 45629</t>
        </is>
      </c>
      <c r="F231" s="2" t="inlineStr">
        <is>
          <t>East Christopher</t>
        </is>
      </c>
      <c r="G231" s="2" t="inlineStr">
        <is>
          <t>Fiji</t>
        </is>
      </c>
      <c r="H231" s="2" t="inlineStr">
        <is>
          <t>reveal</t>
        </is>
      </c>
      <c r="I231" t="inlineStr">
        <is>
          <t>policy</t>
        </is>
      </c>
    </row>
    <row r="232">
      <c r="A232" s="2" t="inlineStr">
        <is>
          <t>C6787</t>
        </is>
      </c>
      <c r="B232" s="2" t="inlineStr">
        <is>
          <t>Mark Arroyo</t>
        </is>
      </c>
      <c r="C232" s="2" t="inlineStr">
        <is>
          <t>thompsonheather@green.net</t>
        </is>
      </c>
      <c r="D232" s="2" t="inlineStr">
        <is>
          <t>832.488.0154</t>
        </is>
      </c>
      <c r="E232" s="2" t="inlineStr">
        <is>
          <t>8129 Jennifer Forges, South Michael, FL 94951</t>
        </is>
      </c>
      <c r="F232" s="2" t="inlineStr">
        <is>
          <t>North Christophermouth</t>
        </is>
      </c>
      <c r="G232" s="2" t="inlineStr">
        <is>
          <t>Somalia</t>
        </is>
      </c>
      <c r="H232" s="2" t="inlineStr">
        <is>
          <t>government</t>
        </is>
      </c>
      <c r="I232" t="inlineStr">
        <is>
          <t>policy</t>
        </is>
      </c>
    </row>
    <row r="233">
      <c r="A233" s="2" t="inlineStr">
        <is>
          <t>C2897</t>
        </is>
      </c>
      <c r="B233" s="2" t="inlineStr">
        <is>
          <t>Randy Mcneil</t>
        </is>
      </c>
      <c r="C233" s="2" t="inlineStr">
        <is>
          <t>xcurry@gmail.com</t>
        </is>
      </c>
      <c r="D233" s="2" t="inlineStr">
        <is>
          <t>001-064-405-0404x48779</t>
        </is>
      </c>
      <c r="E233" s="2" t="inlineStr">
        <is>
          <t>36759 Kathleen Field, East Nicole, NM 52899</t>
        </is>
      </c>
      <c r="F233" s="2" t="inlineStr">
        <is>
          <t>Washingtonberg</t>
        </is>
      </c>
      <c r="G233" s="2" t="inlineStr">
        <is>
          <t>Estonia</t>
        </is>
      </c>
      <c r="H233" s="2" t="inlineStr">
        <is>
          <t>if</t>
        </is>
      </c>
      <c r="I233" t="inlineStr">
        <is>
          <t>local</t>
        </is>
      </c>
    </row>
    <row r="234">
      <c r="A234" s="2" t="inlineStr">
        <is>
          <t>C6856</t>
        </is>
      </c>
      <c r="B234" s="2" t="inlineStr">
        <is>
          <t>Madeline Roberts</t>
        </is>
      </c>
      <c r="C234" s="2" t="inlineStr">
        <is>
          <t>elizabeth57@montgomery.biz</t>
        </is>
      </c>
      <c r="D234" s="2" t="inlineStr">
        <is>
          <t>573-710-4685</t>
        </is>
      </c>
      <c r="E234" s="2" t="inlineStr">
        <is>
          <t>5649 Morgan Road, West Charlesland, LA 10032</t>
        </is>
      </c>
      <c r="F234" s="2" t="inlineStr">
        <is>
          <t>Danielchester</t>
        </is>
      </c>
      <c r="G234" s="2" t="inlineStr">
        <is>
          <t>Solomon Islands</t>
        </is>
      </c>
      <c r="H234" s="2" t="inlineStr">
        <is>
          <t>yourself</t>
        </is>
      </c>
      <c r="I234" t="inlineStr">
        <is>
          <t>low</t>
        </is>
      </c>
    </row>
    <row r="235">
      <c r="A235" s="2" t="inlineStr">
        <is>
          <t>C1631</t>
        </is>
      </c>
      <c r="B235" s="2" t="inlineStr">
        <is>
          <t>Danny Lawson</t>
        </is>
      </c>
      <c r="C235" s="2" t="inlineStr">
        <is>
          <t>pwolfe@davis.com</t>
        </is>
      </c>
      <c r="D235" s="2" t="inlineStr">
        <is>
          <t>(513)934-1518</t>
        </is>
      </c>
      <c r="E235" s="2" t="inlineStr">
        <is>
          <t>3035 Jennifer Ports Apt. 421, Lucasfort, MO 64732</t>
        </is>
      </c>
      <c r="F235" s="2" t="inlineStr">
        <is>
          <t>Johnsonton</t>
        </is>
      </c>
      <c r="G235" s="2" t="inlineStr">
        <is>
          <t>Djibouti</t>
        </is>
      </c>
      <c r="H235" s="2" t="inlineStr">
        <is>
          <t>start</t>
        </is>
      </c>
      <c r="I235" t="inlineStr">
        <is>
          <t>tax</t>
        </is>
      </c>
    </row>
    <row r="236">
      <c r="A236" s="2" t="inlineStr">
        <is>
          <t>C9528</t>
        </is>
      </c>
      <c r="B236" s="2" t="inlineStr">
        <is>
          <t>Gregory Zhang</t>
        </is>
      </c>
      <c r="C236" s="2" t="inlineStr">
        <is>
          <t>frankwatkins@hotmail.com</t>
        </is>
      </c>
      <c r="D236" s="2" t="inlineStr">
        <is>
          <t>+1-649-555-7835x92072</t>
        </is>
      </c>
      <c r="E236" s="2" t="inlineStr">
        <is>
          <t>873 Sandoval Inlet, Lake Scottshire, PA 80394</t>
        </is>
      </c>
      <c r="F236" s="2" t="inlineStr">
        <is>
          <t>Brittanybury</t>
        </is>
      </c>
      <c r="G236" s="2" t="inlineStr">
        <is>
          <t>Liechtenstein</t>
        </is>
      </c>
      <c r="H236" s="2" t="inlineStr">
        <is>
          <t>particular</t>
        </is>
      </c>
      <c r="I236" t="inlineStr">
        <is>
          <t>enjoy</t>
        </is>
      </c>
    </row>
    <row r="237">
      <c r="A237" s="2" t="inlineStr">
        <is>
          <t>C7310</t>
        </is>
      </c>
      <c r="B237" s="2" t="inlineStr">
        <is>
          <t>Laura Williams</t>
        </is>
      </c>
      <c r="C237" s="2" t="inlineStr">
        <is>
          <t>matthewsdylan@jackson.com</t>
        </is>
      </c>
      <c r="D237" s="2" t="inlineStr">
        <is>
          <t>+1-938-191-8202x167</t>
        </is>
      </c>
      <c r="E237" s="2" t="inlineStr">
        <is>
          <t>573 Williams Vista, East Julie, CA 90107</t>
        </is>
      </c>
      <c r="F237" s="2" t="inlineStr">
        <is>
          <t>South Nathanview</t>
        </is>
      </c>
      <c r="G237" s="2" t="inlineStr">
        <is>
          <t>Lithuania</t>
        </is>
      </c>
      <c r="H237" s="2" t="inlineStr">
        <is>
          <t>case</t>
        </is>
      </c>
      <c r="I237" t="inlineStr">
        <is>
          <t>trouble</t>
        </is>
      </c>
    </row>
    <row r="238">
      <c r="A238" s="2" t="inlineStr">
        <is>
          <t>C7275</t>
        </is>
      </c>
      <c r="B238" s="2" t="inlineStr">
        <is>
          <t>Joseph Nicholson</t>
        </is>
      </c>
      <c r="C238" s="2" t="inlineStr">
        <is>
          <t>roybrandon@hotmail.com</t>
        </is>
      </c>
      <c r="D238" s="2" t="inlineStr">
        <is>
          <t>+1-042-851-1082x60995</t>
        </is>
      </c>
      <c r="E238" s="2" t="inlineStr">
        <is>
          <t>861 Rick Drive Apt. 962, Port Todd, WA 67326</t>
        </is>
      </c>
      <c r="F238" s="2" t="inlineStr">
        <is>
          <t>Alexfort</t>
        </is>
      </c>
      <c r="G238" s="2" t="inlineStr">
        <is>
          <t>Western Sahara</t>
        </is>
      </c>
      <c r="H238" s="2" t="inlineStr">
        <is>
          <t>sort</t>
        </is>
      </c>
      <c r="I238" t="inlineStr">
        <is>
          <t>deep</t>
        </is>
      </c>
    </row>
    <row r="239">
      <c r="A239" s="2" t="inlineStr">
        <is>
          <t>C3018</t>
        </is>
      </c>
      <c r="B239" s="2" t="inlineStr">
        <is>
          <t>Jennifer Brennan</t>
        </is>
      </c>
      <c r="C239" s="2" t="inlineStr">
        <is>
          <t>paulacannon@gmail.com</t>
        </is>
      </c>
      <c r="D239" s="2" t="inlineStr">
        <is>
          <t>001-180-185-1619x62673</t>
        </is>
      </c>
      <c r="E239" s="2" t="inlineStr">
        <is>
          <t>914 Sergio Station Suite 312, New Brittanymouth, DC 08946</t>
        </is>
      </c>
      <c r="F239" s="2" t="inlineStr">
        <is>
          <t>North Robert</t>
        </is>
      </c>
      <c r="G239" s="2" t="inlineStr">
        <is>
          <t>Iran</t>
        </is>
      </c>
      <c r="H239" s="2" t="inlineStr">
        <is>
          <t>paper</t>
        </is>
      </c>
      <c r="I239" t="inlineStr">
        <is>
          <t>population</t>
        </is>
      </c>
    </row>
    <row r="240">
      <c r="A240" s="2" t="inlineStr">
        <is>
          <t>C4257</t>
        </is>
      </c>
      <c r="B240" s="2" t="inlineStr">
        <is>
          <t>Henry Ritter</t>
        </is>
      </c>
      <c r="C240" s="2" t="inlineStr">
        <is>
          <t>dlee@scott.net</t>
        </is>
      </c>
      <c r="D240" s="2" t="inlineStr">
        <is>
          <t>001-714-458-2640x253</t>
        </is>
      </c>
      <c r="E240" s="2" t="inlineStr">
        <is>
          <t>1599 Sherry Stravenue, Brittanybury, TN 21702</t>
        </is>
      </c>
      <c r="F240" s="2" t="inlineStr">
        <is>
          <t>Davismouth</t>
        </is>
      </c>
      <c r="G240" s="2" t="inlineStr">
        <is>
          <t>Tonga</t>
        </is>
      </c>
      <c r="H240" s="2" t="inlineStr">
        <is>
          <t>author</t>
        </is>
      </c>
      <c r="I240" t="inlineStr">
        <is>
          <t>or</t>
        </is>
      </c>
    </row>
    <row r="241">
      <c r="A241" s="2" t="inlineStr">
        <is>
          <t>C4222</t>
        </is>
      </c>
      <c r="B241" s="2" t="inlineStr">
        <is>
          <t>Jonathan Pitts</t>
        </is>
      </c>
      <c r="C241" s="2" t="inlineStr">
        <is>
          <t>cturner@gmail.com</t>
        </is>
      </c>
      <c r="D241" s="2" t="inlineStr">
        <is>
          <t>039-175-2646</t>
        </is>
      </c>
      <c r="E241" s="2" t="inlineStr">
        <is>
          <t>42722 Jackson Unions, Wendybury, CT 52957</t>
        </is>
      </c>
      <c r="F241" s="2" t="inlineStr">
        <is>
          <t>West Nicholasbury</t>
        </is>
      </c>
      <c r="G241" s="2" t="inlineStr">
        <is>
          <t>Netherlands</t>
        </is>
      </c>
      <c r="H241" s="2" t="inlineStr">
        <is>
          <t>country</t>
        </is>
      </c>
      <c r="I241" t="inlineStr">
        <is>
          <t>house</t>
        </is>
      </c>
    </row>
    <row r="242">
      <c r="A242" s="2" t="inlineStr">
        <is>
          <t>C1292</t>
        </is>
      </c>
      <c r="B242" s="2" t="inlineStr">
        <is>
          <t>George Johnson</t>
        </is>
      </c>
      <c r="C242" s="2" t="inlineStr">
        <is>
          <t>dorothygallagher@rivera-lynch.com</t>
        </is>
      </c>
      <c r="D242" s="2" t="inlineStr">
        <is>
          <t>436.525.3377</t>
        </is>
      </c>
      <c r="E242" s="2" t="inlineStr">
        <is>
          <t>USNV Mueller, FPO AA 09510</t>
        </is>
      </c>
      <c r="F242" s="2" t="inlineStr">
        <is>
          <t>Jeffreyfurt</t>
        </is>
      </c>
      <c r="G242" s="2" t="inlineStr">
        <is>
          <t>Taiwan</t>
        </is>
      </c>
      <c r="H242" s="2" t="inlineStr">
        <is>
          <t>physical</t>
        </is>
      </c>
      <c r="I242" t="inlineStr">
        <is>
          <t>to</t>
        </is>
      </c>
    </row>
    <row r="243">
      <c r="A243" s="2" t="inlineStr">
        <is>
          <t>C1114</t>
        </is>
      </c>
      <c r="B243" s="2" t="inlineStr">
        <is>
          <t>Kerry Fowler</t>
        </is>
      </c>
      <c r="C243" s="2" t="inlineStr">
        <is>
          <t>jenningsveronica@gmail.com</t>
        </is>
      </c>
      <c r="D243" s="2" t="inlineStr">
        <is>
          <t>001-178-925-9092x6540</t>
        </is>
      </c>
      <c r="E243" s="2" t="inlineStr">
        <is>
          <t>4996 Byrd Freeway, Davidville, CT 83973</t>
        </is>
      </c>
      <c r="F243" s="2" t="inlineStr">
        <is>
          <t>East David</t>
        </is>
      </c>
      <c r="G243" s="2" t="inlineStr">
        <is>
          <t>Greece</t>
        </is>
      </c>
      <c r="H243" s="2" t="inlineStr">
        <is>
          <t>thousand</t>
        </is>
      </c>
      <c r="I243" t="inlineStr">
        <is>
          <t>also</t>
        </is>
      </c>
    </row>
    <row r="244">
      <c r="A244" s="2" t="inlineStr">
        <is>
          <t>C1318</t>
        </is>
      </c>
      <c r="B244" s="2" t="inlineStr">
        <is>
          <t>Connie Ellis</t>
        </is>
      </c>
      <c r="C244" s="2" t="inlineStr">
        <is>
          <t>cramirez@parker.net</t>
        </is>
      </c>
      <c r="D244" s="2" t="inlineStr">
        <is>
          <t>367-544-4422x498</t>
        </is>
      </c>
      <c r="E244" s="2" t="inlineStr">
        <is>
          <t>9846 Michael Island, Donnaside, CO 58715</t>
        </is>
      </c>
      <c r="F244" s="2" t="inlineStr">
        <is>
          <t>Lake Amanda</t>
        </is>
      </c>
      <c r="G244" s="2" t="inlineStr">
        <is>
          <t>Georgia</t>
        </is>
      </c>
      <c r="H244" s="2" t="inlineStr">
        <is>
          <t>hard</t>
        </is>
      </c>
      <c r="I244" t="inlineStr">
        <is>
          <t>world</t>
        </is>
      </c>
    </row>
    <row r="245">
      <c r="A245" s="2" t="inlineStr">
        <is>
          <t>C5354</t>
        </is>
      </c>
      <c r="B245" s="2" t="inlineStr">
        <is>
          <t>Anthony Hall</t>
        </is>
      </c>
      <c r="C245" s="2" t="inlineStr">
        <is>
          <t>tmcgee@hotmail.com</t>
        </is>
      </c>
      <c r="D245" s="2" t="inlineStr">
        <is>
          <t>(501)935-4470x022</t>
        </is>
      </c>
      <c r="E245" s="2" t="inlineStr">
        <is>
          <t>192 Anthony Rapids Apt. 755, Jenningston, LA 35001</t>
        </is>
      </c>
      <c r="F245" s="2" t="inlineStr">
        <is>
          <t>New Jennifer</t>
        </is>
      </c>
      <c r="G245" s="2" t="inlineStr">
        <is>
          <t>Ethiopia</t>
        </is>
      </c>
      <c r="H245" s="2" t="inlineStr">
        <is>
          <t>she</t>
        </is>
      </c>
      <c r="I245" t="inlineStr">
        <is>
          <t>yet</t>
        </is>
      </c>
    </row>
    <row r="246">
      <c r="A246" s="2" t="inlineStr">
        <is>
          <t>C2315</t>
        </is>
      </c>
      <c r="B246" s="2" t="inlineStr">
        <is>
          <t>Jose Moreno</t>
        </is>
      </c>
      <c r="C246" s="2" t="inlineStr">
        <is>
          <t>myersmaria@schmidt.com</t>
        </is>
      </c>
      <c r="D246" s="2" t="inlineStr">
        <is>
          <t>483-402-1834x6372</t>
        </is>
      </c>
      <c r="E246" s="2" t="inlineStr">
        <is>
          <t>PSC 3713, Box 5735, APO AP 87751</t>
        </is>
      </c>
      <c r="F246" s="2" t="inlineStr">
        <is>
          <t>Lake Matthew</t>
        </is>
      </c>
      <c r="G246" s="2" t="inlineStr">
        <is>
          <t>United States Virgin Islands</t>
        </is>
      </c>
      <c r="H246" s="2" t="inlineStr">
        <is>
          <t>wait</t>
        </is>
      </c>
      <c r="I246" t="inlineStr">
        <is>
          <t>election</t>
        </is>
      </c>
    </row>
    <row r="247">
      <c r="A247" s="2" t="inlineStr">
        <is>
          <t>C9557</t>
        </is>
      </c>
      <c r="B247" s="2" t="inlineStr">
        <is>
          <t>Annette Wells</t>
        </is>
      </c>
      <c r="C247" s="2" t="inlineStr">
        <is>
          <t>stevengentry@ross.net</t>
        </is>
      </c>
      <c r="D247" s="2" t="inlineStr">
        <is>
          <t>681-215-3508x6796</t>
        </is>
      </c>
      <c r="E247" s="2" t="inlineStr">
        <is>
          <t>034 Brenda Knolls Suite 389, Valenciaburgh, RI 06609</t>
        </is>
      </c>
      <c r="F247" s="2" t="inlineStr">
        <is>
          <t>North Cameronland</t>
        </is>
      </c>
      <c r="G247" s="2" t="inlineStr">
        <is>
          <t>Palau</t>
        </is>
      </c>
      <c r="H247" s="2" t="inlineStr">
        <is>
          <t>eight</t>
        </is>
      </c>
      <c r="I247" t="inlineStr">
        <is>
          <t>site</t>
        </is>
      </c>
    </row>
    <row r="248">
      <c r="A248" s="2" t="inlineStr">
        <is>
          <t>C5414</t>
        </is>
      </c>
      <c r="B248" s="2" t="inlineStr">
        <is>
          <t>Mary Waters</t>
        </is>
      </c>
      <c r="C248" s="2" t="inlineStr">
        <is>
          <t>rodney05@hotmail.com</t>
        </is>
      </c>
      <c r="D248" s="2" t="inlineStr">
        <is>
          <t>7837260789</t>
        </is>
      </c>
      <c r="E248" s="2" t="inlineStr">
        <is>
          <t>5607 Julia Ford, Keyside, IL 79503</t>
        </is>
      </c>
      <c r="F248" s="2" t="inlineStr">
        <is>
          <t>Gregoryside</t>
        </is>
      </c>
      <c r="G248" s="2" t="inlineStr">
        <is>
          <t>French Polynesia</t>
        </is>
      </c>
      <c r="H248" s="2" t="inlineStr">
        <is>
          <t>main</t>
        </is>
      </c>
      <c r="I248" t="inlineStr">
        <is>
          <t>whose</t>
        </is>
      </c>
    </row>
    <row r="249">
      <c r="A249" s="2" t="inlineStr">
        <is>
          <t>C2750</t>
        </is>
      </c>
      <c r="B249" s="2" t="inlineStr">
        <is>
          <t>Ashley Morse</t>
        </is>
      </c>
      <c r="C249" s="2" t="inlineStr">
        <is>
          <t>brendagiles@fry.com</t>
        </is>
      </c>
      <c r="D249" s="2" t="inlineStr">
        <is>
          <t>151.614.3009</t>
        </is>
      </c>
      <c r="E249" s="2" t="inlineStr">
        <is>
          <t>0290 Douglas Harbor Apt. 438, New Kennethhaven, CT 39037</t>
        </is>
      </c>
      <c r="F249" s="2" t="inlineStr">
        <is>
          <t>East Jessicahaven</t>
        </is>
      </c>
      <c r="G249" s="2" t="inlineStr">
        <is>
          <t>Japan</t>
        </is>
      </c>
      <c r="H249" s="2" t="inlineStr">
        <is>
          <t>bring</t>
        </is>
      </c>
      <c r="I249" t="inlineStr">
        <is>
          <t>hotel</t>
        </is>
      </c>
    </row>
    <row r="250">
      <c r="A250" s="2" t="inlineStr">
        <is>
          <t>C4269</t>
        </is>
      </c>
      <c r="B250" s="2" t="inlineStr">
        <is>
          <t>Tiffany Dixon</t>
        </is>
      </c>
      <c r="C250" s="2" t="inlineStr">
        <is>
          <t>xmason@salas.info</t>
        </is>
      </c>
      <c r="D250" s="2" t="inlineStr">
        <is>
          <t>(505)248-0095x39224</t>
        </is>
      </c>
      <c r="E250" s="2" t="inlineStr">
        <is>
          <t>78639 Nicholas Prairie, Elizabethville, MI 53189</t>
        </is>
      </c>
      <c r="F250" s="2" t="inlineStr">
        <is>
          <t>Dannyshire</t>
        </is>
      </c>
      <c r="G250" s="2" t="inlineStr">
        <is>
          <t>Brunei Darussalam</t>
        </is>
      </c>
      <c r="H250" s="2" t="inlineStr">
        <is>
          <t>fall</t>
        </is>
      </c>
      <c r="I250" t="inlineStr">
        <is>
          <t>wind</t>
        </is>
      </c>
    </row>
    <row r="251">
      <c r="A251" s="2" t="inlineStr">
        <is>
          <t>C3831</t>
        </is>
      </c>
      <c r="B251" s="2" t="inlineStr">
        <is>
          <t>Steven Griffin</t>
        </is>
      </c>
      <c r="C251" s="2" t="inlineStr">
        <is>
          <t>jonathan95@price.com</t>
        </is>
      </c>
      <c r="D251" s="2" t="inlineStr">
        <is>
          <t>+1-845-574-1903x11312</t>
        </is>
      </c>
      <c r="E251" s="2" t="inlineStr">
        <is>
          <t>Unit 4798 Box 1159, DPO AP 06678</t>
        </is>
      </c>
      <c r="F251" s="2" t="inlineStr">
        <is>
          <t>East Shawn</t>
        </is>
      </c>
      <c r="G251" s="2" t="inlineStr">
        <is>
          <t>Kiribati</t>
        </is>
      </c>
      <c r="H251" s="2" t="inlineStr">
        <is>
          <t>tree</t>
        </is>
      </c>
      <c r="I251" t="inlineStr">
        <is>
          <t>hold</t>
        </is>
      </c>
    </row>
    <row r="252">
      <c r="A252" s="2" t="inlineStr">
        <is>
          <t>C6684</t>
        </is>
      </c>
      <c r="B252" s="2" t="inlineStr">
        <is>
          <t>Mason Robinson</t>
        </is>
      </c>
      <c r="C252" s="2" t="inlineStr">
        <is>
          <t>patricia98@hotmail.com</t>
        </is>
      </c>
      <c r="D252" s="2" t="inlineStr">
        <is>
          <t>001-307-158-5352x53707</t>
        </is>
      </c>
      <c r="E252" s="2" t="inlineStr">
        <is>
          <t>196 Stacy Manor Suite 378, Tammyshire, WY 44999</t>
        </is>
      </c>
      <c r="F252" s="2" t="inlineStr">
        <is>
          <t>Petersburgh</t>
        </is>
      </c>
      <c r="G252" s="2" t="inlineStr">
        <is>
          <t>United Kingdom</t>
        </is>
      </c>
      <c r="H252" s="2" t="inlineStr">
        <is>
          <t>fight</t>
        </is>
      </c>
      <c r="I252" t="inlineStr">
        <is>
          <t>activity</t>
        </is>
      </c>
    </row>
    <row r="253">
      <c r="A253" s="2" t="inlineStr">
        <is>
          <t>C9483</t>
        </is>
      </c>
      <c r="B253" s="2" t="inlineStr">
        <is>
          <t>Jacob Ferguson</t>
        </is>
      </c>
      <c r="C253" s="2" t="inlineStr">
        <is>
          <t>brownryan@yahoo.com</t>
        </is>
      </c>
      <c r="D253" s="2" t="inlineStr">
        <is>
          <t>+1-175-063-5024x2932</t>
        </is>
      </c>
      <c r="E253" s="2" t="inlineStr">
        <is>
          <t>250 Griffin Motorway, Lake Carol, HI 31763</t>
        </is>
      </c>
      <c r="F253" s="2" t="inlineStr">
        <is>
          <t>Freytown</t>
        </is>
      </c>
      <c r="G253" s="2" t="inlineStr">
        <is>
          <t>Jordan</t>
        </is>
      </c>
      <c r="H253" s="2" t="inlineStr">
        <is>
          <t>per</t>
        </is>
      </c>
      <c r="I253" t="inlineStr">
        <is>
          <t>serve</t>
        </is>
      </c>
    </row>
    <row r="254">
      <c r="A254" s="2" t="inlineStr">
        <is>
          <t>C8804</t>
        </is>
      </c>
      <c r="B254" s="2" t="inlineStr">
        <is>
          <t>Adam Patterson</t>
        </is>
      </c>
      <c r="C254" s="2" t="inlineStr">
        <is>
          <t>connie10@yahoo.com</t>
        </is>
      </c>
      <c r="D254" s="2" t="inlineStr">
        <is>
          <t>973-456-0639</t>
        </is>
      </c>
      <c r="E254" s="2" t="inlineStr">
        <is>
          <t>0394 Frances Fall Suite 995, North Carol, SD 84903</t>
        </is>
      </c>
      <c r="F254" s="2" t="inlineStr">
        <is>
          <t>Paulport</t>
        </is>
      </c>
      <c r="G254" s="2" t="inlineStr">
        <is>
          <t>Guinea-Bissau</t>
        </is>
      </c>
      <c r="H254" s="2" t="inlineStr">
        <is>
          <t>former</t>
        </is>
      </c>
      <c r="I254" t="inlineStr">
        <is>
          <t>eat</t>
        </is>
      </c>
    </row>
    <row r="255">
      <c r="A255" s="2" t="inlineStr">
        <is>
          <t>C1497</t>
        </is>
      </c>
      <c r="B255" s="2" t="inlineStr">
        <is>
          <t>Tonya Holt</t>
        </is>
      </c>
      <c r="C255" s="2" t="inlineStr">
        <is>
          <t>brownpamela@gmail.com</t>
        </is>
      </c>
      <c r="D255" s="2" t="inlineStr">
        <is>
          <t>+1-769-469-7398x74976</t>
        </is>
      </c>
      <c r="E255" s="2" t="inlineStr">
        <is>
          <t>055 Moore Trafficway Apt. 601, Robertfort, MN 18424</t>
        </is>
      </c>
      <c r="F255" s="2" t="inlineStr">
        <is>
          <t>Lake Joshuaburgh</t>
        </is>
      </c>
      <c r="G255" s="2" t="inlineStr">
        <is>
          <t>Kazakhstan</t>
        </is>
      </c>
      <c r="H255" s="2" t="inlineStr">
        <is>
          <t>other</t>
        </is>
      </c>
      <c r="I255" t="inlineStr">
        <is>
          <t>kind</t>
        </is>
      </c>
    </row>
    <row r="256">
      <c r="A256" s="2" t="inlineStr">
        <is>
          <t>C6883</t>
        </is>
      </c>
      <c r="B256" s="2" t="inlineStr">
        <is>
          <t>Thomas Leon</t>
        </is>
      </c>
      <c r="C256" s="2" t="inlineStr">
        <is>
          <t>daysamantha@carpenter.org</t>
        </is>
      </c>
      <c r="D256" s="2" t="inlineStr">
        <is>
          <t>569.663.8345x37319</t>
        </is>
      </c>
      <c r="E256" s="2" t="inlineStr">
        <is>
          <t>4348 Felicia Knoll Suite 601, Rachelmouth, WY 47864</t>
        </is>
      </c>
      <c r="F256" s="2" t="inlineStr">
        <is>
          <t>Weaverborough</t>
        </is>
      </c>
      <c r="G256" s="2" t="inlineStr">
        <is>
          <t>Kyrgyz Republic</t>
        </is>
      </c>
      <c r="H256" s="2" t="inlineStr">
        <is>
          <t>pressure</t>
        </is>
      </c>
      <c r="I256" t="inlineStr">
        <is>
          <t>yet</t>
        </is>
      </c>
    </row>
    <row r="257">
      <c r="A257" s="2" t="inlineStr">
        <is>
          <t>C2759</t>
        </is>
      </c>
      <c r="B257" s="2" t="inlineStr">
        <is>
          <t>Angela Thompson</t>
        </is>
      </c>
      <c r="C257" s="2" t="inlineStr">
        <is>
          <t>melissa75@hotmail.com</t>
        </is>
      </c>
      <c r="D257" s="2" t="inlineStr">
        <is>
          <t>317-798-3619</t>
        </is>
      </c>
      <c r="E257" s="2" t="inlineStr">
        <is>
          <t>0944 Rachel Overpass Apt. 158, Lake Katherine, IA 48397</t>
        </is>
      </c>
      <c r="F257" s="2" t="inlineStr">
        <is>
          <t>North Melissaport</t>
        </is>
      </c>
      <c r="G257" s="2" t="inlineStr">
        <is>
          <t>Saint Kitts and Nevis</t>
        </is>
      </c>
      <c r="H257" s="2" t="inlineStr">
        <is>
          <t>use</t>
        </is>
      </c>
      <c r="I257" t="inlineStr">
        <is>
          <t>cut</t>
        </is>
      </c>
    </row>
    <row r="258">
      <c r="A258" s="2" t="inlineStr">
        <is>
          <t>C1626</t>
        </is>
      </c>
      <c r="B258" s="2" t="inlineStr">
        <is>
          <t>Anthony Simmons</t>
        </is>
      </c>
      <c r="C258" s="2" t="inlineStr">
        <is>
          <t>tiffanyhendricks@dunn-moore.com</t>
        </is>
      </c>
      <c r="D258" s="2" t="inlineStr">
        <is>
          <t>(342)374-2689x06979</t>
        </is>
      </c>
      <c r="E258" s="2" t="inlineStr">
        <is>
          <t>860 Samantha Mills Suite 860, North Mackenzieview, NH 43869</t>
        </is>
      </c>
      <c r="F258" s="2" t="inlineStr">
        <is>
          <t>New Sarah</t>
        </is>
      </c>
      <c r="G258" s="2" t="inlineStr">
        <is>
          <t>Niger</t>
        </is>
      </c>
      <c r="H258" s="2" t="inlineStr">
        <is>
          <t>determine</t>
        </is>
      </c>
      <c r="I258" t="inlineStr">
        <is>
          <t>debate</t>
        </is>
      </c>
    </row>
    <row r="259">
      <c r="A259" s="2" t="inlineStr">
        <is>
          <t>C9882</t>
        </is>
      </c>
      <c r="B259" s="2" t="inlineStr">
        <is>
          <t>Thomas Cooper</t>
        </is>
      </c>
      <c r="C259" s="2" t="inlineStr">
        <is>
          <t>amanda27@gmail.com</t>
        </is>
      </c>
      <c r="D259" s="2" t="inlineStr">
        <is>
          <t>+1-028-423-8306x9145</t>
        </is>
      </c>
      <c r="E259" s="2" t="inlineStr">
        <is>
          <t>1568 Brown Passage Apt. 793, South Amanda, WA 44656</t>
        </is>
      </c>
      <c r="F259" s="2" t="inlineStr">
        <is>
          <t>Port Jennifer</t>
        </is>
      </c>
      <c r="G259" s="2" t="inlineStr">
        <is>
          <t>Morocco</t>
        </is>
      </c>
      <c r="H259" s="2" t="inlineStr">
        <is>
          <t>ahead</t>
        </is>
      </c>
      <c r="I259" t="inlineStr">
        <is>
          <t>rich</t>
        </is>
      </c>
    </row>
    <row r="260">
      <c r="A260" s="2" t="inlineStr">
        <is>
          <t>C8468</t>
        </is>
      </c>
      <c r="B260" s="2" t="inlineStr">
        <is>
          <t>Maria Lyons</t>
        </is>
      </c>
      <c r="C260" s="2" t="inlineStr">
        <is>
          <t>robertmckee@gmail.com</t>
        </is>
      </c>
      <c r="D260" s="2" t="inlineStr">
        <is>
          <t>140.376.3929x29140</t>
        </is>
      </c>
      <c r="E260" s="2" t="inlineStr">
        <is>
          <t>Unit 9719 Box 0597, DPO AE 02923</t>
        </is>
      </c>
      <c r="F260" s="2" t="inlineStr">
        <is>
          <t>Michaelmouth</t>
        </is>
      </c>
      <c r="G260" s="2" t="inlineStr">
        <is>
          <t>Bolivia</t>
        </is>
      </c>
      <c r="H260" s="2" t="inlineStr">
        <is>
          <t>scene</t>
        </is>
      </c>
      <c r="I260" t="inlineStr">
        <is>
          <t>off</t>
        </is>
      </c>
    </row>
    <row r="261">
      <c r="A261" s="2" t="inlineStr">
        <is>
          <t>C5814</t>
        </is>
      </c>
      <c r="B261" s="2" t="inlineStr">
        <is>
          <t>Anthony Fernandez</t>
        </is>
      </c>
      <c r="C261" s="2" t="inlineStr">
        <is>
          <t>raymondhernandez@yahoo.com</t>
        </is>
      </c>
      <c r="D261" s="2" t="inlineStr">
        <is>
          <t>(415)148-0942x38352</t>
        </is>
      </c>
      <c r="E261" s="2" t="inlineStr">
        <is>
          <t>40360 Casey Plaza, Lake Victor, LA 26325</t>
        </is>
      </c>
      <c r="F261" s="2" t="inlineStr">
        <is>
          <t>East Danielburgh</t>
        </is>
      </c>
      <c r="G261" s="2" t="inlineStr">
        <is>
          <t>Korea</t>
        </is>
      </c>
      <c r="H261" s="2" t="inlineStr">
        <is>
          <t>management</t>
        </is>
      </c>
      <c r="I261" t="inlineStr">
        <is>
          <t>site</t>
        </is>
      </c>
    </row>
    <row r="262">
      <c r="A262" s="2" t="inlineStr">
        <is>
          <t>C2206</t>
        </is>
      </c>
      <c r="B262" s="2" t="inlineStr">
        <is>
          <t>Sabrina Douglas</t>
        </is>
      </c>
      <c r="C262" s="2" t="inlineStr">
        <is>
          <t>carterryan@hotmail.com</t>
        </is>
      </c>
      <c r="D262" s="2" t="inlineStr">
        <is>
          <t>012-608-4282x361</t>
        </is>
      </c>
      <c r="E262" s="2" t="inlineStr">
        <is>
          <t>6835 Michelle Mount, East Ryan, CT 61281</t>
        </is>
      </c>
      <c r="F262" s="2" t="inlineStr">
        <is>
          <t>Nicoleport</t>
        </is>
      </c>
      <c r="G262" s="2" t="inlineStr">
        <is>
          <t>Nicaragua</t>
        </is>
      </c>
      <c r="H262" s="2" t="inlineStr">
        <is>
          <t>sure</t>
        </is>
      </c>
      <c r="I262" t="inlineStr">
        <is>
          <t>soldier</t>
        </is>
      </c>
    </row>
    <row r="263">
      <c r="A263" s="2" t="inlineStr">
        <is>
          <t>C7281</t>
        </is>
      </c>
      <c r="B263" s="2" t="inlineStr">
        <is>
          <t>Shannon Gonzalez</t>
        </is>
      </c>
      <c r="C263" s="2" t="inlineStr">
        <is>
          <t>smithcharles@gmail.com</t>
        </is>
      </c>
      <c r="D263" s="2" t="inlineStr">
        <is>
          <t>+1-888-270-1540x23757</t>
        </is>
      </c>
      <c r="E263" s="2" t="inlineStr">
        <is>
          <t>19327 Poole Heights Apt. 094, North Debbie, KS 86792</t>
        </is>
      </c>
      <c r="F263" s="2" t="inlineStr">
        <is>
          <t>Brookeburgh</t>
        </is>
      </c>
      <c r="G263" s="2" t="inlineStr">
        <is>
          <t>New Caledonia</t>
        </is>
      </c>
      <c r="H263" s="2" t="inlineStr">
        <is>
          <t>if</t>
        </is>
      </c>
      <c r="I263" t="inlineStr">
        <is>
          <t>brother</t>
        </is>
      </c>
    </row>
    <row r="264">
      <c r="A264" s="2" t="inlineStr">
        <is>
          <t>C8453</t>
        </is>
      </c>
      <c r="B264" s="2" t="inlineStr">
        <is>
          <t>Jeffrey Elliott</t>
        </is>
      </c>
      <c r="C264" s="2" t="inlineStr">
        <is>
          <t>samanthaandrews@gmail.com</t>
        </is>
      </c>
      <c r="D264" s="2" t="inlineStr">
        <is>
          <t>020.017.4765</t>
        </is>
      </c>
      <c r="E264" s="2" t="inlineStr">
        <is>
          <t>Unit 3037 Box 9676, DPO AE 39891</t>
        </is>
      </c>
      <c r="F264" s="2" t="inlineStr">
        <is>
          <t>Lake Jennifer</t>
        </is>
      </c>
      <c r="G264" s="2" t="inlineStr">
        <is>
          <t>Thailand</t>
        </is>
      </c>
      <c r="H264" s="2" t="inlineStr">
        <is>
          <t>tell</t>
        </is>
      </c>
      <c r="I264" t="inlineStr">
        <is>
          <t>service</t>
        </is>
      </c>
    </row>
    <row r="265">
      <c r="A265" s="2" t="inlineStr">
        <is>
          <t>C2512</t>
        </is>
      </c>
      <c r="B265" s="2" t="inlineStr">
        <is>
          <t>Christopher Brooks</t>
        </is>
      </c>
      <c r="C265" s="2" t="inlineStr">
        <is>
          <t>mduran@yahoo.com</t>
        </is>
      </c>
      <c r="D265" s="2" t="inlineStr">
        <is>
          <t>257-528-2470</t>
        </is>
      </c>
      <c r="E265" s="2" t="inlineStr">
        <is>
          <t>4722 Anthony Junctions Suite 211, Maddenchester, NV 56929</t>
        </is>
      </c>
      <c r="F265" s="2" t="inlineStr">
        <is>
          <t>Port Tracy</t>
        </is>
      </c>
      <c r="G265" s="2" t="inlineStr">
        <is>
          <t>Vietnam</t>
        </is>
      </c>
      <c r="H265" s="2" t="inlineStr">
        <is>
          <t>indicate</t>
        </is>
      </c>
      <c r="I265" t="inlineStr">
        <is>
          <t>high</t>
        </is>
      </c>
    </row>
    <row r="266">
      <c r="A266" s="2" t="inlineStr">
        <is>
          <t>C6178</t>
        </is>
      </c>
      <c r="B266" s="2" t="inlineStr">
        <is>
          <t>Jeremy Guzman</t>
        </is>
      </c>
      <c r="C266" s="2" t="inlineStr">
        <is>
          <t>dstone@hotmail.com</t>
        </is>
      </c>
      <c r="D266" s="2" t="inlineStr">
        <is>
          <t>(091)197-1353x23681</t>
        </is>
      </c>
      <c r="E266" s="2" t="inlineStr">
        <is>
          <t>413 Casey Prairie Suite 482, Port Gary, ME 56473</t>
        </is>
      </c>
      <c r="F266" s="2" t="inlineStr">
        <is>
          <t>Stevenville</t>
        </is>
      </c>
      <c r="G266" s="2" t="inlineStr">
        <is>
          <t>Liberia</t>
        </is>
      </c>
      <c r="H266" s="2" t="inlineStr">
        <is>
          <t>project</t>
        </is>
      </c>
      <c r="I266" t="inlineStr">
        <is>
          <t>happy</t>
        </is>
      </c>
    </row>
    <row r="267">
      <c r="A267" s="2" t="inlineStr">
        <is>
          <t>C3053</t>
        </is>
      </c>
      <c r="B267" s="2" t="inlineStr">
        <is>
          <t>Bianca Mejia</t>
        </is>
      </c>
      <c r="C267" s="2" t="inlineStr">
        <is>
          <t>roachjanice@gmail.com</t>
        </is>
      </c>
      <c r="D267" s="2" t="inlineStr">
        <is>
          <t>001-923-822-8859x660</t>
        </is>
      </c>
      <c r="E267" s="2" t="inlineStr">
        <is>
          <t>092 King Course Suite 694, South Aaronhaven, NH 71235</t>
        </is>
      </c>
      <c r="F267" s="2" t="inlineStr">
        <is>
          <t>Jasonton</t>
        </is>
      </c>
      <c r="G267" s="2" t="inlineStr">
        <is>
          <t>Finland</t>
        </is>
      </c>
      <c r="H267" s="2" t="inlineStr">
        <is>
          <t>nice</t>
        </is>
      </c>
      <c r="I267" t="inlineStr">
        <is>
          <t>senior</t>
        </is>
      </c>
    </row>
    <row r="268">
      <c r="A268" s="2" t="inlineStr">
        <is>
          <t>C7699</t>
        </is>
      </c>
      <c r="B268" s="2" t="inlineStr">
        <is>
          <t>Christopher Pace</t>
        </is>
      </c>
      <c r="C268" s="2" t="inlineStr">
        <is>
          <t>joseph90@mendoza.com</t>
        </is>
      </c>
      <c r="D268" s="2" t="inlineStr">
        <is>
          <t>(075)220-7844x59467</t>
        </is>
      </c>
      <c r="E268" s="2" t="inlineStr">
        <is>
          <t>Unit 7214 Box 0650, DPO AE 34664</t>
        </is>
      </c>
      <c r="F268" s="2" t="inlineStr">
        <is>
          <t>East Christopherbury</t>
        </is>
      </c>
      <c r="G268" s="2" t="inlineStr">
        <is>
          <t>Tajikistan</t>
        </is>
      </c>
      <c r="H268" s="2" t="inlineStr">
        <is>
          <t>week</t>
        </is>
      </c>
      <c r="I268" t="inlineStr">
        <is>
          <t>across</t>
        </is>
      </c>
    </row>
    <row r="269">
      <c r="A269" s="2" t="inlineStr">
        <is>
          <t>C3530</t>
        </is>
      </c>
      <c r="B269" s="2" t="inlineStr">
        <is>
          <t>Marissa Tucker</t>
        </is>
      </c>
      <c r="C269" s="2" t="inlineStr">
        <is>
          <t>qwilliams@gmail.com</t>
        </is>
      </c>
      <c r="D269" s="2" t="inlineStr">
        <is>
          <t>001-188-121-8558x066</t>
        </is>
      </c>
      <c r="E269" s="2" t="inlineStr">
        <is>
          <t>21658 Elizabeth Vista, Carolynton, UT 39317</t>
        </is>
      </c>
      <c r="F269" s="2" t="inlineStr">
        <is>
          <t>Lake Rebeccafurt</t>
        </is>
      </c>
      <c r="G269" s="2" t="inlineStr">
        <is>
          <t>Indonesia</t>
        </is>
      </c>
      <c r="H269" s="2" t="inlineStr">
        <is>
          <t>recently</t>
        </is>
      </c>
      <c r="I269" t="inlineStr">
        <is>
          <t>fund</t>
        </is>
      </c>
    </row>
    <row r="270">
      <c r="A270" s="2" t="inlineStr">
        <is>
          <t>C7639</t>
        </is>
      </c>
      <c r="B270" s="2" t="inlineStr">
        <is>
          <t>Christopher Odonnell</t>
        </is>
      </c>
      <c r="C270" s="2" t="inlineStr">
        <is>
          <t>robert62@hotmail.com</t>
        </is>
      </c>
      <c r="D270" s="2" t="inlineStr">
        <is>
          <t>029.765.7330x659</t>
        </is>
      </c>
      <c r="E270" s="2" t="inlineStr">
        <is>
          <t>2994 Clifford Mill, Port Timothy, KS 75988</t>
        </is>
      </c>
      <c r="F270" s="2" t="inlineStr">
        <is>
          <t>Yumouth</t>
        </is>
      </c>
      <c r="G270" s="2" t="inlineStr">
        <is>
          <t>Netherlands</t>
        </is>
      </c>
      <c r="H270" s="2" t="inlineStr">
        <is>
          <t>try</t>
        </is>
      </c>
      <c r="I270" t="inlineStr">
        <is>
          <t>skin</t>
        </is>
      </c>
    </row>
    <row r="271">
      <c r="A271" s="2" t="inlineStr">
        <is>
          <t>C8400</t>
        </is>
      </c>
      <c r="B271" s="2" t="inlineStr">
        <is>
          <t>Gary Gutierrez</t>
        </is>
      </c>
      <c r="C271" s="2" t="inlineStr">
        <is>
          <t>margaret98@gmail.com</t>
        </is>
      </c>
      <c r="D271" s="2" t="inlineStr">
        <is>
          <t>001-910-016-7658</t>
        </is>
      </c>
      <c r="E271" s="2" t="inlineStr">
        <is>
          <t>686 Moses Glen, Jacobsonmouth, CO 74706</t>
        </is>
      </c>
      <c r="F271" s="2" t="inlineStr">
        <is>
          <t>Petersonmouth</t>
        </is>
      </c>
      <c r="G271" s="2" t="inlineStr">
        <is>
          <t>Nepal</t>
        </is>
      </c>
      <c r="H271" s="2" t="inlineStr">
        <is>
          <t>war</t>
        </is>
      </c>
      <c r="I271" t="inlineStr">
        <is>
          <t>rest</t>
        </is>
      </c>
    </row>
    <row r="272">
      <c r="A272" s="2" t="inlineStr">
        <is>
          <t>C4869</t>
        </is>
      </c>
      <c r="B272" s="2" t="inlineStr">
        <is>
          <t>Carrie Smith</t>
        </is>
      </c>
      <c r="C272" s="2" t="inlineStr">
        <is>
          <t>cli@gmail.com</t>
        </is>
      </c>
      <c r="D272" s="2" t="inlineStr">
        <is>
          <t>001-309-878-7027x636</t>
        </is>
      </c>
      <c r="E272" s="2" t="inlineStr">
        <is>
          <t>Unit 8094 Box 4310, DPO AA 29432</t>
        </is>
      </c>
      <c r="F272" s="2" t="inlineStr">
        <is>
          <t>Fernandezview</t>
        </is>
      </c>
      <c r="G272" s="2" t="inlineStr">
        <is>
          <t>Somalia</t>
        </is>
      </c>
      <c r="H272" s="2" t="inlineStr">
        <is>
          <t>human</t>
        </is>
      </c>
      <c r="I272" t="inlineStr">
        <is>
          <t>color</t>
        </is>
      </c>
    </row>
    <row r="273">
      <c r="A273" s="2" t="inlineStr">
        <is>
          <t>C9533</t>
        </is>
      </c>
      <c r="B273" s="2" t="inlineStr">
        <is>
          <t>Shaun Atkins</t>
        </is>
      </c>
      <c r="C273" s="2" t="inlineStr">
        <is>
          <t>kthompson@gray.net</t>
        </is>
      </c>
      <c r="D273" s="2" t="inlineStr">
        <is>
          <t>+1-704-554-9313x8852</t>
        </is>
      </c>
      <c r="E273" s="2" t="inlineStr">
        <is>
          <t>452 Felicia Shore Apt. 813, Port Patriciamouth, MT 46687</t>
        </is>
      </c>
      <c r="F273" s="2" t="inlineStr">
        <is>
          <t>Gregorybury</t>
        </is>
      </c>
      <c r="G273" s="2" t="inlineStr">
        <is>
          <t>British Indian Ocean Territory (Chagos Archipelago)</t>
        </is>
      </c>
      <c r="H273" s="2" t="inlineStr">
        <is>
          <t>stock</t>
        </is>
      </c>
      <c r="I273" t="inlineStr">
        <is>
          <t>half</t>
        </is>
      </c>
    </row>
    <row r="274">
      <c r="A274" s="2" t="inlineStr">
        <is>
          <t>C7256</t>
        </is>
      </c>
      <c r="B274" s="2" t="inlineStr">
        <is>
          <t>Shannon Richards</t>
        </is>
      </c>
      <c r="C274" s="2" t="inlineStr">
        <is>
          <t>lyonsjared@jones.com</t>
        </is>
      </c>
      <c r="D274" s="2" t="inlineStr">
        <is>
          <t>578-889-0856x636</t>
        </is>
      </c>
      <c r="E274" s="2" t="inlineStr">
        <is>
          <t>6725 Martinez Cove Suite 970, Cantrellburgh, ME 60385</t>
        </is>
      </c>
      <c r="F274" s="2" t="inlineStr">
        <is>
          <t>Rebeccaville</t>
        </is>
      </c>
      <c r="G274" s="2" t="inlineStr">
        <is>
          <t>Montenegro</t>
        </is>
      </c>
      <c r="H274" s="2" t="inlineStr">
        <is>
          <t>program</t>
        </is>
      </c>
      <c r="I274" t="inlineStr">
        <is>
          <t>one</t>
        </is>
      </c>
    </row>
    <row r="275">
      <c r="A275" s="2" t="inlineStr">
        <is>
          <t>C9101</t>
        </is>
      </c>
      <c r="B275" s="2" t="inlineStr">
        <is>
          <t>Derek Mejia</t>
        </is>
      </c>
      <c r="C275" s="2" t="inlineStr">
        <is>
          <t>robin77@orozco.com</t>
        </is>
      </c>
      <c r="D275" s="2" t="inlineStr">
        <is>
          <t>001-540-842-1030x3972</t>
        </is>
      </c>
      <c r="E275" s="2" t="inlineStr">
        <is>
          <t>70813 Morris Club, West Amyshire, MI 04549</t>
        </is>
      </c>
      <c r="F275" s="2" t="inlineStr">
        <is>
          <t>West Kimberly</t>
        </is>
      </c>
      <c r="G275" s="2" t="inlineStr">
        <is>
          <t>Qatar</t>
        </is>
      </c>
      <c r="H275" s="2" t="inlineStr">
        <is>
          <t>long</t>
        </is>
      </c>
      <c r="I275" t="inlineStr">
        <is>
          <t>identify</t>
        </is>
      </c>
    </row>
    <row r="276">
      <c r="A276" s="2" t="inlineStr">
        <is>
          <t>C9595</t>
        </is>
      </c>
      <c r="B276" s="2" t="inlineStr">
        <is>
          <t>Donna Garrison</t>
        </is>
      </c>
      <c r="C276" s="2" t="inlineStr">
        <is>
          <t>cory43@ford.com</t>
        </is>
      </c>
      <c r="D276" s="2" t="inlineStr">
        <is>
          <t>908-456-9645x0300</t>
        </is>
      </c>
      <c r="E276" s="2" t="inlineStr">
        <is>
          <t>2355 Norman Ramp, North Alan, MI 28274</t>
        </is>
      </c>
      <c r="F276" s="2" t="inlineStr">
        <is>
          <t>Patrickton</t>
        </is>
      </c>
      <c r="G276" s="2" t="inlineStr">
        <is>
          <t>Chile</t>
        </is>
      </c>
      <c r="H276" s="2" t="inlineStr">
        <is>
          <t>poor</t>
        </is>
      </c>
      <c r="I276" t="inlineStr">
        <is>
          <t>near</t>
        </is>
      </c>
    </row>
    <row r="277">
      <c r="A277" s="2" t="inlineStr">
        <is>
          <t>C1588</t>
        </is>
      </c>
      <c r="B277" s="2" t="inlineStr">
        <is>
          <t>Ashley Mendez</t>
        </is>
      </c>
      <c r="C277" s="2" t="inlineStr">
        <is>
          <t>thompsonerica@hotmail.com</t>
        </is>
      </c>
      <c r="D277" s="2" t="inlineStr">
        <is>
          <t>(384)894-1120</t>
        </is>
      </c>
      <c r="E277" s="2" t="inlineStr">
        <is>
          <t>348 Christopher Extensions Apt. 360, South Trevor, AR 53278</t>
        </is>
      </c>
      <c r="F277" s="2" t="inlineStr">
        <is>
          <t>Petersstad</t>
        </is>
      </c>
      <c r="G277" s="2" t="inlineStr">
        <is>
          <t>India</t>
        </is>
      </c>
      <c r="H277" s="2" t="inlineStr">
        <is>
          <t>probably</t>
        </is>
      </c>
      <c r="I277" t="inlineStr">
        <is>
          <t>interest</t>
        </is>
      </c>
    </row>
    <row r="278">
      <c r="A278" s="2" t="inlineStr">
        <is>
          <t>C5385</t>
        </is>
      </c>
      <c r="B278" s="2" t="inlineStr">
        <is>
          <t>Timothy Vasquez</t>
        </is>
      </c>
      <c r="C278" s="2" t="inlineStr">
        <is>
          <t>dixonlori@schaefer.com</t>
        </is>
      </c>
      <c r="D278" s="2" t="inlineStr">
        <is>
          <t>001-793-396-7694x40492</t>
        </is>
      </c>
      <c r="E278" s="2" t="inlineStr">
        <is>
          <t>402 Lopez Circles Suite 396, Lake Savannah, TX 51486</t>
        </is>
      </c>
      <c r="F278" s="2" t="inlineStr">
        <is>
          <t>Lake Ricky</t>
        </is>
      </c>
      <c r="G278" s="2" t="inlineStr">
        <is>
          <t>Cambodia</t>
        </is>
      </c>
      <c r="H278" s="2" t="inlineStr">
        <is>
          <t>attack</t>
        </is>
      </c>
      <c r="I278" t="inlineStr">
        <is>
          <t>fill</t>
        </is>
      </c>
    </row>
    <row r="279">
      <c r="A279" s="2" t="inlineStr">
        <is>
          <t>C9853</t>
        </is>
      </c>
      <c r="B279" s="2" t="inlineStr">
        <is>
          <t>Cynthia Smith</t>
        </is>
      </c>
      <c r="C279" s="2" t="inlineStr">
        <is>
          <t>kevinperry@osborn-marshall.org</t>
        </is>
      </c>
      <c r="D279" s="2" t="inlineStr">
        <is>
          <t>038.917.8823</t>
        </is>
      </c>
      <c r="E279" s="2" t="inlineStr">
        <is>
          <t>22135 Cox Via, East Molly, CO 18748</t>
        </is>
      </c>
      <c r="F279" s="2" t="inlineStr">
        <is>
          <t>South Lisaland</t>
        </is>
      </c>
      <c r="G279" s="2" t="inlineStr">
        <is>
          <t>Svalbard &amp; Jan Mayen Islands</t>
        </is>
      </c>
      <c r="H279" s="2" t="inlineStr">
        <is>
          <t>computer</t>
        </is>
      </c>
      <c r="I279" t="inlineStr">
        <is>
          <t>put</t>
        </is>
      </c>
    </row>
    <row r="280">
      <c r="A280" s="2" t="inlineStr">
        <is>
          <t>C8544</t>
        </is>
      </c>
      <c r="B280" s="2" t="inlineStr">
        <is>
          <t>Julian Lane</t>
        </is>
      </c>
      <c r="C280" s="2" t="inlineStr">
        <is>
          <t>natashalopez@hotmail.com</t>
        </is>
      </c>
      <c r="D280" s="2" t="inlineStr">
        <is>
          <t>023.839.1246</t>
        </is>
      </c>
      <c r="E280" s="2" t="inlineStr">
        <is>
          <t>288 Wyatt Squares Suite 491, Staceyton, VA 06342</t>
        </is>
      </c>
      <c r="F280" s="2" t="inlineStr">
        <is>
          <t>West Jesseland</t>
        </is>
      </c>
      <c r="G280" s="2" t="inlineStr">
        <is>
          <t>Australia</t>
        </is>
      </c>
      <c r="H280" s="2" t="inlineStr">
        <is>
          <t>thousand</t>
        </is>
      </c>
      <c r="I280" t="inlineStr">
        <is>
          <t>foreign</t>
        </is>
      </c>
    </row>
    <row r="281">
      <c r="A281" s="2" t="inlineStr">
        <is>
          <t>C6134</t>
        </is>
      </c>
      <c r="B281" s="2" t="inlineStr">
        <is>
          <t>Paul Hughes</t>
        </is>
      </c>
      <c r="C281" s="2" t="inlineStr">
        <is>
          <t>zhangjeff@martinez.com</t>
        </is>
      </c>
      <c r="D281" s="2" t="inlineStr">
        <is>
          <t>(427)698-2445</t>
        </is>
      </c>
      <c r="E281" s="2" t="inlineStr">
        <is>
          <t>40930 Karen Pines Apt. 847, North Brittney, CO 73316</t>
        </is>
      </c>
      <c r="F281" s="2" t="inlineStr">
        <is>
          <t>South Rebecca</t>
        </is>
      </c>
      <c r="G281" s="2" t="inlineStr">
        <is>
          <t>Tajikistan</t>
        </is>
      </c>
      <c r="H281" s="2" t="inlineStr">
        <is>
          <t>consumer</t>
        </is>
      </c>
      <c r="I281" t="inlineStr">
        <is>
          <t>single</t>
        </is>
      </c>
    </row>
    <row r="282">
      <c r="A282" s="2" t="inlineStr">
        <is>
          <t>C7154</t>
        </is>
      </c>
      <c r="B282" s="2" t="inlineStr">
        <is>
          <t>Daniel Poole</t>
        </is>
      </c>
      <c r="C282" s="2" t="inlineStr">
        <is>
          <t>whitneywall@day-cole.net</t>
        </is>
      </c>
      <c r="D282" s="2" t="inlineStr">
        <is>
          <t>+1-669-405-8823x01971</t>
        </is>
      </c>
      <c r="E282" s="2" t="inlineStr">
        <is>
          <t>058 Green Rue, New Michael, WI 74517</t>
        </is>
      </c>
      <c r="F282" s="2" t="inlineStr">
        <is>
          <t>Andrewborough</t>
        </is>
      </c>
      <c r="G282" s="2" t="inlineStr">
        <is>
          <t>Comoros</t>
        </is>
      </c>
      <c r="H282" s="2" t="inlineStr">
        <is>
          <t>military</t>
        </is>
      </c>
      <c r="I282" t="inlineStr">
        <is>
          <t>or</t>
        </is>
      </c>
    </row>
    <row r="283">
      <c r="A283" s="2" t="inlineStr">
        <is>
          <t>C9630</t>
        </is>
      </c>
      <c r="B283" s="2" t="inlineStr">
        <is>
          <t>Andrew Harrison</t>
        </is>
      </c>
      <c r="C283" s="2" t="inlineStr">
        <is>
          <t>maria03@gmail.com</t>
        </is>
      </c>
      <c r="D283" s="2" t="inlineStr">
        <is>
          <t>824-118-2166x888</t>
        </is>
      </c>
      <c r="E283" s="2" t="inlineStr">
        <is>
          <t>835 Brandon Drive Apt. 841, Waltersstad, TX 50519</t>
        </is>
      </c>
      <c r="F283" s="2" t="inlineStr">
        <is>
          <t>West Calvin</t>
        </is>
      </c>
      <c r="G283" s="2" t="inlineStr">
        <is>
          <t>Sri Lanka</t>
        </is>
      </c>
      <c r="H283" s="2" t="inlineStr">
        <is>
          <t>spend</t>
        </is>
      </c>
      <c r="I283" t="inlineStr">
        <is>
          <t>far</t>
        </is>
      </c>
    </row>
    <row r="284">
      <c r="A284" s="2" t="inlineStr">
        <is>
          <t>C7876</t>
        </is>
      </c>
      <c r="B284" s="2" t="inlineStr">
        <is>
          <t>Zachary Fry</t>
        </is>
      </c>
      <c r="C284" s="2" t="inlineStr">
        <is>
          <t>casey13@yahoo.com</t>
        </is>
      </c>
      <c r="D284" s="2" t="inlineStr">
        <is>
          <t>325-955-0704</t>
        </is>
      </c>
      <c r="E284" s="2" t="inlineStr">
        <is>
          <t>17325 Duran Garden, South Chad, NV 45118</t>
        </is>
      </c>
      <c r="F284" s="2" t="inlineStr">
        <is>
          <t>Dorisstad</t>
        </is>
      </c>
      <c r="G284" s="2" t="inlineStr">
        <is>
          <t>Rwanda</t>
        </is>
      </c>
      <c r="H284" s="2" t="inlineStr">
        <is>
          <t>do</t>
        </is>
      </c>
      <c r="I284" t="inlineStr">
        <is>
          <t>financial</t>
        </is>
      </c>
    </row>
    <row r="285">
      <c r="A285" s="2" t="inlineStr">
        <is>
          <t>C4878</t>
        </is>
      </c>
      <c r="B285" s="2" t="inlineStr">
        <is>
          <t>Theresa Young</t>
        </is>
      </c>
      <c r="C285" s="2" t="inlineStr">
        <is>
          <t>samantharichardson@harris.com</t>
        </is>
      </c>
      <c r="D285" s="2" t="inlineStr">
        <is>
          <t>4628923300</t>
        </is>
      </c>
      <c r="E285" s="2" t="inlineStr">
        <is>
          <t>60985 Veronica Stream Apt. 770, North Davidburgh, SD 03420</t>
        </is>
      </c>
      <c r="F285" s="2" t="inlineStr">
        <is>
          <t>Lake Daniel</t>
        </is>
      </c>
      <c r="G285" s="2" t="inlineStr">
        <is>
          <t>Sudan</t>
        </is>
      </c>
      <c r="H285" s="2" t="inlineStr">
        <is>
          <t>main</t>
        </is>
      </c>
      <c r="I285" t="inlineStr">
        <is>
          <t>truth</t>
        </is>
      </c>
    </row>
    <row r="286">
      <c r="A286" s="2" t="inlineStr">
        <is>
          <t>C3003</t>
        </is>
      </c>
      <c r="B286" s="2" t="inlineStr">
        <is>
          <t>April Terry</t>
        </is>
      </c>
      <c r="C286" s="2" t="inlineStr">
        <is>
          <t>lovedavid@hotmail.com</t>
        </is>
      </c>
      <c r="D286" s="2" t="inlineStr">
        <is>
          <t>+1-835-571-8836x597</t>
        </is>
      </c>
      <c r="E286" s="2" t="inlineStr">
        <is>
          <t>67285 Bryan Knolls, East Julieshire, MA 02345</t>
        </is>
      </c>
      <c r="F286" s="2" t="inlineStr">
        <is>
          <t>West Lisa</t>
        </is>
      </c>
      <c r="G286" s="2" t="inlineStr">
        <is>
          <t>Burkina Faso</t>
        </is>
      </c>
      <c r="H286" s="2" t="inlineStr">
        <is>
          <t>interesting</t>
        </is>
      </c>
      <c r="I286" t="inlineStr">
        <is>
          <t>worker</t>
        </is>
      </c>
    </row>
    <row r="287">
      <c r="A287" s="2" t="inlineStr">
        <is>
          <t>C7207</t>
        </is>
      </c>
      <c r="B287" s="2" t="inlineStr">
        <is>
          <t>Jordan Owens</t>
        </is>
      </c>
      <c r="C287" s="2" t="inlineStr">
        <is>
          <t>reillybryan@nichols.net</t>
        </is>
      </c>
      <c r="D287" s="2" t="inlineStr">
        <is>
          <t>(558)322-4454x05237</t>
        </is>
      </c>
      <c r="E287" s="2" t="inlineStr">
        <is>
          <t>14710 Jacqueline Ridges Suite 292, Johntown, NC 73372</t>
        </is>
      </c>
      <c r="F287" s="2" t="inlineStr">
        <is>
          <t>Lake Laura</t>
        </is>
      </c>
      <c r="G287" s="2" t="inlineStr">
        <is>
          <t>Guinea-Bissau</t>
        </is>
      </c>
      <c r="H287" s="2" t="inlineStr">
        <is>
          <t>clear</t>
        </is>
      </c>
      <c r="I287" t="inlineStr">
        <is>
          <t>involve</t>
        </is>
      </c>
    </row>
    <row r="288">
      <c r="A288" s="2" t="inlineStr">
        <is>
          <t>C9033</t>
        </is>
      </c>
      <c r="B288" s="2" t="inlineStr">
        <is>
          <t>Jordan Franklin</t>
        </is>
      </c>
      <c r="C288" s="2" t="inlineStr">
        <is>
          <t>harrisonronald@weeks-murray.com</t>
        </is>
      </c>
      <c r="D288" s="2" t="inlineStr">
        <is>
          <t>883.416.8394</t>
        </is>
      </c>
      <c r="E288" s="2" t="inlineStr">
        <is>
          <t>41744 James Extensions Apt. 329, Lake Dawnfort, OK 89685</t>
        </is>
      </c>
      <c r="F288" s="2" t="inlineStr">
        <is>
          <t>West Brian</t>
        </is>
      </c>
      <c r="G288" s="2" t="inlineStr">
        <is>
          <t>Ireland</t>
        </is>
      </c>
      <c r="H288" s="2" t="inlineStr">
        <is>
          <t>form</t>
        </is>
      </c>
      <c r="I288" t="inlineStr">
        <is>
          <t>energy</t>
        </is>
      </c>
    </row>
    <row r="289">
      <c r="A289" s="2" t="inlineStr">
        <is>
          <t>C9928</t>
        </is>
      </c>
      <c r="B289" s="2" t="inlineStr">
        <is>
          <t>Eric Morris</t>
        </is>
      </c>
      <c r="C289" s="2" t="inlineStr">
        <is>
          <t>zmorales@brown.org</t>
        </is>
      </c>
      <c r="D289" s="2" t="inlineStr">
        <is>
          <t>(134)118-7812x14989</t>
        </is>
      </c>
      <c r="E289" s="2" t="inlineStr">
        <is>
          <t>3374 John Corners Apt. 183, Hicksland, LA 64165</t>
        </is>
      </c>
      <c r="F289" s="2" t="inlineStr">
        <is>
          <t>Amyside</t>
        </is>
      </c>
      <c r="G289" s="2" t="inlineStr">
        <is>
          <t>Israel</t>
        </is>
      </c>
      <c r="H289" s="2" t="inlineStr">
        <is>
          <t>film</t>
        </is>
      </c>
      <c r="I289" t="inlineStr">
        <is>
          <t>listen</t>
        </is>
      </c>
    </row>
    <row r="290">
      <c r="A290" s="2" t="inlineStr">
        <is>
          <t>C3287</t>
        </is>
      </c>
      <c r="B290" s="2" t="inlineStr">
        <is>
          <t>Darren Moore</t>
        </is>
      </c>
      <c r="C290" s="2" t="inlineStr">
        <is>
          <t>phillipskaren@jordan.com</t>
        </is>
      </c>
      <c r="D290" s="2" t="inlineStr">
        <is>
          <t>562.484.9316x051</t>
        </is>
      </c>
      <c r="E290" s="2" t="inlineStr">
        <is>
          <t>437 Dunn Fort Apt. 549, Port Aliciafort, NM 53120</t>
        </is>
      </c>
      <c r="F290" s="2" t="inlineStr">
        <is>
          <t>Simpsonside</t>
        </is>
      </c>
      <c r="G290" s="2" t="inlineStr">
        <is>
          <t>Guernsey</t>
        </is>
      </c>
      <c r="H290" s="2" t="inlineStr">
        <is>
          <t>trouble</t>
        </is>
      </c>
      <c r="I290" t="inlineStr">
        <is>
          <t>enjoy</t>
        </is>
      </c>
    </row>
    <row r="291">
      <c r="A291" s="2" t="inlineStr">
        <is>
          <t>C6191</t>
        </is>
      </c>
      <c r="B291" s="2" t="inlineStr">
        <is>
          <t>Susan Fields</t>
        </is>
      </c>
      <c r="C291" s="2" t="inlineStr">
        <is>
          <t>williamthompson@rojas-macias.com</t>
        </is>
      </c>
      <c r="D291" s="2" t="inlineStr">
        <is>
          <t>(342)592-1355x9753</t>
        </is>
      </c>
      <c r="E291" s="2" t="inlineStr">
        <is>
          <t>7536 Miller Lane, West Michaelland, VT 98029</t>
        </is>
      </c>
      <c r="F291" s="2" t="inlineStr">
        <is>
          <t>Deanborough</t>
        </is>
      </c>
      <c r="G291" s="2" t="inlineStr">
        <is>
          <t>Marshall Islands</t>
        </is>
      </c>
      <c r="H291" s="2" t="inlineStr">
        <is>
          <t>training</t>
        </is>
      </c>
      <c r="I291" t="inlineStr">
        <is>
          <t>apply</t>
        </is>
      </c>
    </row>
    <row r="292">
      <c r="A292" s="2" t="inlineStr">
        <is>
          <t>C3076</t>
        </is>
      </c>
      <c r="B292" s="2" t="inlineStr">
        <is>
          <t>Gregory Anderson</t>
        </is>
      </c>
      <c r="C292" s="2" t="inlineStr">
        <is>
          <t>isabelgomez@hotmail.com</t>
        </is>
      </c>
      <c r="D292" s="2" t="inlineStr">
        <is>
          <t>095.145.8042x02011</t>
        </is>
      </c>
      <c r="E292" s="2" t="inlineStr">
        <is>
          <t>02229 Bryan Crossing, Rodriguezmouth, NV 95245</t>
        </is>
      </c>
      <c r="F292" s="2" t="inlineStr">
        <is>
          <t>Port Kiaraport</t>
        </is>
      </c>
      <c r="G292" s="2" t="inlineStr">
        <is>
          <t>Lao People's Democratic Republic</t>
        </is>
      </c>
      <c r="H292" s="2" t="inlineStr">
        <is>
          <t>sell</t>
        </is>
      </c>
      <c r="I292" t="inlineStr">
        <is>
          <t>positive</t>
        </is>
      </c>
    </row>
    <row r="293">
      <c r="A293" s="2" t="inlineStr">
        <is>
          <t>C7803</t>
        </is>
      </c>
      <c r="B293" s="2" t="inlineStr">
        <is>
          <t>Rebecca Kelley</t>
        </is>
      </c>
      <c r="C293" s="2" t="inlineStr">
        <is>
          <t>robert17@black.com</t>
        </is>
      </c>
      <c r="D293" s="2" t="inlineStr">
        <is>
          <t>6823758365</t>
        </is>
      </c>
      <c r="E293" s="2" t="inlineStr">
        <is>
          <t>2674 Angie Center, Jenkinsburgh, AL 39047</t>
        </is>
      </c>
      <c r="F293" s="2" t="inlineStr">
        <is>
          <t>West Tara</t>
        </is>
      </c>
      <c r="G293" s="2" t="inlineStr">
        <is>
          <t>Guadeloupe</t>
        </is>
      </c>
      <c r="H293" s="2" t="inlineStr">
        <is>
          <t>possible</t>
        </is>
      </c>
      <c r="I293" t="inlineStr">
        <is>
          <t>decade</t>
        </is>
      </c>
    </row>
    <row r="294">
      <c r="A294" s="2" t="inlineStr">
        <is>
          <t>C2229</t>
        </is>
      </c>
      <c r="B294" s="2" t="inlineStr">
        <is>
          <t>Tommy Brown</t>
        </is>
      </c>
      <c r="C294" s="2" t="inlineStr">
        <is>
          <t>john20@medina.com</t>
        </is>
      </c>
      <c r="D294" s="2" t="inlineStr">
        <is>
          <t>952.173.2589</t>
        </is>
      </c>
      <c r="E294" s="2" t="inlineStr">
        <is>
          <t>77232 Krueger Vista Suite 518, Port Thomas, MO 95830</t>
        </is>
      </c>
      <c r="F294" s="2" t="inlineStr">
        <is>
          <t>Port Sharon</t>
        </is>
      </c>
      <c r="G294" s="2" t="inlineStr">
        <is>
          <t>Madagascar</t>
        </is>
      </c>
      <c r="H294" s="2" t="inlineStr">
        <is>
          <t>year</t>
        </is>
      </c>
      <c r="I294" t="inlineStr">
        <is>
          <t>mouth</t>
        </is>
      </c>
    </row>
    <row r="295">
      <c r="A295" s="2" t="inlineStr">
        <is>
          <t>C6549</t>
        </is>
      </c>
      <c r="B295" s="2" t="inlineStr">
        <is>
          <t>Mary Osborne</t>
        </is>
      </c>
      <c r="C295" s="2" t="inlineStr">
        <is>
          <t>barreracheryl@vargas.info</t>
        </is>
      </c>
      <c r="D295" s="2" t="inlineStr">
        <is>
          <t>215.231.9969</t>
        </is>
      </c>
      <c r="E295" s="2" t="inlineStr">
        <is>
          <t>7060 Petty Motorway Suite 980, Howardside, HI 73953</t>
        </is>
      </c>
      <c r="F295" s="2" t="inlineStr">
        <is>
          <t>Port Christopher</t>
        </is>
      </c>
      <c r="G295" s="2" t="inlineStr">
        <is>
          <t>Taiwan</t>
        </is>
      </c>
      <c r="H295" s="2" t="inlineStr">
        <is>
          <t>responsibility</t>
        </is>
      </c>
      <c r="I295" t="inlineStr">
        <is>
          <t>see</t>
        </is>
      </c>
    </row>
    <row r="296">
      <c r="A296" s="2" t="inlineStr">
        <is>
          <t>C9087</t>
        </is>
      </c>
      <c r="B296" s="2" t="inlineStr">
        <is>
          <t>Jamie Simmons</t>
        </is>
      </c>
      <c r="C296" s="2" t="inlineStr">
        <is>
          <t>zhughes@ritter.com</t>
        </is>
      </c>
      <c r="D296" s="2" t="inlineStr">
        <is>
          <t>(556)089-5780x559</t>
        </is>
      </c>
      <c r="E296" s="2" t="inlineStr">
        <is>
          <t>283 Jamie Courts Apt. 719, North Saraborough, VT 04316</t>
        </is>
      </c>
      <c r="F296" s="2" t="inlineStr">
        <is>
          <t>Stephaniefort</t>
        </is>
      </c>
      <c r="G296" s="2" t="inlineStr">
        <is>
          <t>Costa Rica</t>
        </is>
      </c>
      <c r="H296" s="2" t="inlineStr">
        <is>
          <t>case</t>
        </is>
      </c>
      <c r="I296" t="inlineStr">
        <is>
          <t>recognize</t>
        </is>
      </c>
    </row>
    <row r="297">
      <c r="A297" s="2" t="inlineStr">
        <is>
          <t>C8937</t>
        </is>
      </c>
      <c r="B297" s="2" t="inlineStr">
        <is>
          <t>Julia Rodriguez</t>
        </is>
      </c>
      <c r="C297" s="2" t="inlineStr">
        <is>
          <t>sgreene@zamora.com</t>
        </is>
      </c>
      <c r="D297" s="2" t="inlineStr">
        <is>
          <t>(417)518-3110</t>
        </is>
      </c>
      <c r="E297" s="2" t="inlineStr">
        <is>
          <t>176 Arnold Rapids, Keithport, AL 84628</t>
        </is>
      </c>
      <c r="F297" s="2" t="inlineStr">
        <is>
          <t>Robertsside</t>
        </is>
      </c>
      <c r="G297" s="2" t="inlineStr">
        <is>
          <t>Martinique</t>
        </is>
      </c>
      <c r="H297" s="2" t="inlineStr">
        <is>
          <t>theory</t>
        </is>
      </c>
      <c r="I297" t="inlineStr">
        <is>
          <t>from</t>
        </is>
      </c>
    </row>
    <row r="298">
      <c r="A298" s="2" t="inlineStr">
        <is>
          <t>C9539</t>
        </is>
      </c>
      <c r="B298" s="2" t="inlineStr">
        <is>
          <t>Mrs. Stephanie Munoz DDS</t>
        </is>
      </c>
      <c r="C298" s="2" t="inlineStr">
        <is>
          <t>jamesanderson@schaefer.com</t>
        </is>
      </c>
      <c r="D298" s="2" t="inlineStr">
        <is>
          <t>(148)525-0317x0000</t>
        </is>
      </c>
      <c r="E298" s="2" t="inlineStr">
        <is>
          <t>439 Kelly Springs Apt. 384, North Elizabeth, WV 83191</t>
        </is>
      </c>
      <c r="F298" s="2" t="inlineStr">
        <is>
          <t>Alanstad</t>
        </is>
      </c>
      <c r="G298" s="2" t="inlineStr">
        <is>
          <t>French Polynesia</t>
        </is>
      </c>
      <c r="H298" s="2" t="inlineStr">
        <is>
          <t>kind</t>
        </is>
      </c>
      <c r="I298" t="inlineStr">
        <is>
          <t>social</t>
        </is>
      </c>
    </row>
    <row r="299">
      <c r="A299" s="2" t="inlineStr">
        <is>
          <t>C4825</t>
        </is>
      </c>
      <c r="B299" s="2" t="inlineStr">
        <is>
          <t>Aaron Gross</t>
        </is>
      </c>
      <c r="C299" s="2" t="inlineStr">
        <is>
          <t>hwood@gmail.com</t>
        </is>
      </c>
      <c r="D299" s="2" t="inlineStr">
        <is>
          <t>070-497-7811x2884</t>
        </is>
      </c>
      <c r="E299" s="2" t="inlineStr">
        <is>
          <t>0205 Sarah Skyway Apt. 346, Brownmouth, KY 08520</t>
        </is>
      </c>
      <c r="F299" s="2" t="inlineStr">
        <is>
          <t>South Gregory</t>
        </is>
      </c>
      <c r="G299" s="2" t="inlineStr">
        <is>
          <t>Qatar</t>
        </is>
      </c>
      <c r="H299" s="2" t="inlineStr">
        <is>
          <t>you</t>
        </is>
      </c>
      <c r="I299" t="inlineStr">
        <is>
          <t>specific</t>
        </is>
      </c>
    </row>
    <row r="300">
      <c r="A300" s="2" t="inlineStr">
        <is>
          <t>C1534</t>
        </is>
      </c>
      <c r="B300" s="2" t="inlineStr">
        <is>
          <t>April Walker</t>
        </is>
      </c>
      <c r="C300" s="2" t="inlineStr">
        <is>
          <t>danielbenitez@gmail.com</t>
        </is>
      </c>
      <c r="D300" s="2" t="inlineStr">
        <is>
          <t>001-231-421-1252x630</t>
        </is>
      </c>
      <c r="E300" s="2" t="inlineStr">
        <is>
          <t>1807 Williams Plains Suite 649, Amandachester, MT 22360</t>
        </is>
      </c>
      <c r="F300" s="2" t="inlineStr">
        <is>
          <t>Lindaton</t>
        </is>
      </c>
      <c r="G300" s="2" t="inlineStr">
        <is>
          <t>Romania</t>
        </is>
      </c>
      <c r="H300" s="2" t="inlineStr">
        <is>
          <t>dream</t>
        </is>
      </c>
      <c r="I300" t="inlineStr">
        <is>
          <t>yourself</t>
        </is>
      </c>
    </row>
    <row r="301">
      <c r="A301" s="2" t="inlineStr">
        <is>
          <t>C9049</t>
        </is>
      </c>
      <c r="B301" s="2" t="inlineStr">
        <is>
          <t>Tammy Ross</t>
        </is>
      </c>
      <c r="C301" s="2" t="inlineStr">
        <is>
          <t>wdavis@yahoo.com</t>
        </is>
      </c>
      <c r="D301" s="2" t="inlineStr">
        <is>
          <t>(768)619-7526</t>
        </is>
      </c>
      <c r="E301" s="2" t="inlineStr">
        <is>
          <t>PSC 2845, Box 6416, APO AA 31001</t>
        </is>
      </c>
      <c r="F301" s="2" t="inlineStr">
        <is>
          <t>Garyberg</t>
        </is>
      </c>
      <c r="G301" s="2" t="inlineStr">
        <is>
          <t>Bosnia and Herzegovina</t>
        </is>
      </c>
      <c r="H301" s="2" t="inlineStr">
        <is>
          <t>low</t>
        </is>
      </c>
      <c r="I301" t="inlineStr">
        <is>
          <t>such</t>
        </is>
      </c>
    </row>
    <row r="302">
      <c r="A302" s="2" t="inlineStr">
        <is>
          <t>C9402</t>
        </is>
      </c>
      <c r="B302" s="2" t="inlineStr">
        <is>
          <t>Luke Martin</t>
        </is>
      </c>
      <c r="C302" s="2" t="inlineStr">
        <is>
          <t>mchase@fleming.info</t>
        </is>
      </c>
      <c r="D302" s="2" t="inlineStr">
        <is>
          <t>082-951-7108</t>
        </is>
      </c>
      <c r="E302" s="2" t="inlineStr">
        <is>
          <t>USNS Hanson, FPO AP 20869</t>
        </is>
      </c>
      <c r="F302" s="2" t="inlineStr">
        <is>
          <t>Odonnellside</t>
        </is>
      </c>
      <c r="G302" s="2" t="inlineStr">
        <is>
          <t>Lao People's Democratic Republic</t>
        </is>
      </c>
      <c r="H302" s="2" t="inlineStr">
        <is>
          <t>part</t>
        </is>
      </c>
      <c r="I302" t="inlineStr">
        <is>
          <t>medical</t>
        </is>
      </c>
    </row>
    <row r="303">
      <c r="A303" s="2" t="inlineStr">
        <is>
          <t>C3243</t>
        </is>
      </c>
      <c r="B303" s="2" t="inlineStr">
        <is>
          <t>Richard Sanchez</t>
        </is>
      </c>
      <c r="C303" s="2" t="inlineStr">
        <is>
          <t>robert65@herrera.com</t>
        </is>
      </c>
      <c r="D303" s="2" t="inlineStr">
        <is>
          <t>288-008-0958x35233</t>
        </is>
      </c>
      <c r="E303" s="2" t="inlineStr">
        <is>
          <t>42373 Traci Port, Wilsonburgh, KS 50185</t>
        </is>
      </c>
      <c r="F303" s="2" t="inlineStr">
        <is>
          <t>Kelleyshire</t>
        </is>
      </c>
      <c r="G303" s="2" t="inlineStr">
        <is>
          <t>Cuba</t>
        </is>
      </c>
      <c r="H303" s="2" t="inlineStr">
        <is>
          <t>someone</t>
        </is>
      </c>
      <c r="I303" t="inlineStr">
        <is>
          <t>decide</t>
        </is>
      </c>
    </row>
    <row r="304">
      <c r="A304" s="2" t="inlineStr">
        <is>
          <t>C8493</t>
        </is>
      </c>
      <c r="B304" s="2" t="inlineStr">
        <is>
          <t>Krystal Smith</t>
        </is>
      </c>
      <c r="C304" s="2" t="inlineStr">
        <is>
          <t>masontammy@gmail.com</t>
        </is>
      </c>
      <c r="D304" s="2" t="inlineStr">
        <is>
          <t>(383)254-8981x99172</t>
        </is>
      </c>
      <c r="E304" s="2" t="inlineStr">
        <is>
          <t>351 Jacob Pike, Sarahton, CT 54050</t>
        </is>
      </c>
      <c r="F304" s="2" t="inlineStr">
        <is>
          <t>West Nathaniel</t>
        </is>
      </c>
      <c r="G304" s="2" t="inlineStr">
        <is>
          <t>Saint Kitts and Nevis</t>
        </is>
      </c>
      <c r="H304" s="2" t="inlineStr">
        <is>
          <t>official</t>
        </is>
      </c>
      <c r="I304" t="inlineStr">
        <is>
          <t>per</t>
        </is>
      </c>
    </row>
    <row r="305">
      <c r="A305" s="2" t="inlineStr">
        <is>
          <t>C1719</t>
        </is>
      </c>
      <c r="B305" s="2" t="inlineStr">
        <is>
          <t>William Roberts</t>
        </is>
      </c>
      <c r="C305" s="2" t="inlineStr">
        <is>
          <t>bondlindsey@vasquez.com</t>
        </is>
      </c>
      <c r="D305" s="2" t="inlineStr">
        <is>
          <t>167-921-9027x54595</t>
        </is>
      </c>
      <c r="E305" s="2" t="inlineStr">
        <is>
          <t>6604 Chase Union Suite 236, Davisborough, VA 30224</t>
        </is>
      </c>
      <c r="F305" s="2" t="inlineStr">
        <is>
          <t>North Steven</t>
        </is>
      </c>
      <c r="G305" s="2" t="inlineStr">
        <is>
          <t>Belgium</t>
        </is>
      </c>
      <c r="H305" s="2" t="inlineStr">
        <is>
          <t>population</t>
        </is>
      </c>
      <c r="I305" t="inlineStr">
        <is>
          <t>training</t>
        </is>
      </c>
    </row>
    <row r="306">
      <c r="A306" s="2" t="inlineStr">
        <is>
          <t>C7829</t>
        </is>
      </c>
      <c r="B306" s="2" t="inlineStr">
        <is>
          <t>Cathy Reese</t>
        </is>
      </c>
      <c r="C306" s="2" t="inlineStr">
        <is>
          <t>eric96@gmail.com</t>
        </is>
      </c>
      <c r="D306" s="2" t="inlineStr">
        <is>
          <t>+1-379-995-3832x1944</t>
        </is>
      </c>
      <c r="E306" s="2" t="inlineStr">
        <is>
          <t>532 Jesus Cliff Suite 676, Lake Julie, DC 76484</t>
        </is>
      </c>
      <c r="F306" s="2" t="inlineStr">
        <is>
          <t>Gordonfort</t>
        </is>
      </c>
      <c r="G306" s="2" t="inlineStr">
        <is>
          <t>Bouvet Island (Bouvetoya)</t>
        </is>
      </c>
      <c r="H306" s="2" t="inlineStr">
        <is>
          <t>grow</t>
        </is>
      </c>
      <c r="I306" t="inlineStr">
        <is>
          <t>something</t>
        </is>
      </c>
    </row>
    <row r="307">
      <c r="A307" s="2" t="inlineStr">
        <is>
          <t>C5080</t>
        </is>
      </c>
      <c r="B307" s="2" t="inlineStr">
        <is>
          <t>Gary Figueroa</t>
        </is>
      </c>
      <c r="C307" s="2" t="inlineStr">
        <is>
          <t>nelsoncourtney@hotmail.com</t>
        </is>
      </c>
      <c r="D307" s="2" t="inlineStr">
        <is>
          <t>001-613-297-5582x271</t>
        </is>
      </c>
      <c r="E307" s="2" t="inlineStr">
        <is>
          <t>4313 Paul Mills, North Christinefurt, IN 80517</t>
        </is>
      </c>
      <c r="F307" s="2" t="inlineStr">
        <is>
          <t>Andrewshire</t>
        </is>
      </c>
      <c r="G307" s="2" t="inlineStr">
        <is>
          <t>Comoros</t>
        </is>
      </c>
      <c r="H307" s="2" t="inlineStr">
        <is>
          <t>they</t>
        </is>
      </c>
      <c r="I307" t="inlineStr">
        <is>
          <t>least</t>
        </is>
      </c>
    </row>
    <row r="308">
      <c r="A308" s="2" t="inlineStr">
        <is>
          <t>C5745</t>
        </is>
      </c>
      <c r="B308" s="2" t="inlineStr">
        <is>
          <t>Todd Smith</t>
        </is>
      </c>
      <c r="C308" s="2" t="inlineStr">
        <is>
          <t>katkins@hotmail.com</t>
        </is>
      </c>
      <c r="D308" s="2" t="inlineStr">
        <is>
          <t>(921)107-9187x3746</t>
        </is>
      </c>
      <c r="E308" s="2" t="inlineStr">
        <is>
          <t>16065 Lopez Islands Suite 110, Taylormouth, VA 39775</t>
        </is>
      </c>
      <c r="F308" s="2" t="inlineStr">
        <is>
          <t>Christopherton</t>
        </is>
      </c>
      <c r="G308" s="2" t="inlineStr">
        <is>
          <t>Mozambique</t>
        </is>
      </c>
      <c r="H308" s="2" t="inlineStr">
        <is>
          <t>party</t>
        </is>
      </c>
      <c r="I308" t="inlineStr">
        <is>
          <t>that</t>
        </is>
      </c>
    </row>
    <row r="309">
      <c r="A309" s="2" t="inlineStr">
        <is>
          <t>C6469</t>
        </is>
      </c>
      <c r="B309" s="2" t="inlineStr">
        <is>
          <t>Bonnie French</t>
        </is>
      </c>
      <c r="C309" s="2" t="inlineStr">
        <is>
          <t>georgerichards@ford.com</t>
        </is>
      </c>
      <c r="D309" s="2" t="inlineStr">
        <is>
          <t>+1-516-049-5606x6920</t>
        </is>
      </c>
      <c r="E309" s="2" t="inlineStr">
        <is>
          <t>206 Connie Prairie, Marcusmouth, NM 66066</t>
        </is>
      </c>
      <c r="F309" s="2" t="inlineStr">
        <is>
          <t>Stephanieborough</t>
        </is>
      </c>
      <c r="G309" s="2" t="inlineStr">
        <is>
          <t>Greece</t>
        </is>
      </c>
      <c r="H309" s="2" t="inlineStr">
        <is>
          <t>series</t>
        </is>
      </c>
      <c r="I309" t="inlineStr">
        <is>
          <t>network</t>
        </is>
      </c>
    </row>
    <row r="310">
      <c r="A310" s="2" t="inlineStr">
        <is>
          <t>C4650</t>
        </is>
      </c>
      <c r="B310" s="2" t="inlineStr">
        <is>
          <t>Robert Shields</t>
        </is>
      </c>
      <c r="C310" s="2" t="inlineStr">
        <is>
          <t>zpope@richardson.org</t>
        </is>
      </c>
      <c r="D310" s="2" t="inlineStr">
        <is>
          <t>+1-162-057-9369x206</t>
        </is>
      </c>
      <c r="E310" s="2" t="inlineStr">
        <is>
          <t>Unit 7004 Box 6223, DPO AA 15721</t>
        </is>
      </c>
      <c r="F310" s="2" t="inlineStr">
        <is>
          <t>South Jennifer</t>
        </is>
      </c>
      <c r="G310" s="2" t="inlineStr">
        <is>
          <t>Western Sahara</t>
        </is>
      </c>
      <c r="H310" s="2" t="inlineStr">
        <is>
          <t>wide</t>
        </is>
      </c>
      <c r="I310" t="inlineStr">
        <is>
          <t>answer</t>
        </is>
      </c>
    </row>
    <row r="311">
      <c r="A311" s="2" t="inlineStr">
        <is>
          <t>C8463</t>
        </is>
      </c>
      <c r="B311" s="2" t="inlineStr">
        <is>
          <t>Heather Marsh</t>
        </is>
      </c>
      <c r="C311" s="2" t="inlineStr">
        <is>
          <t>tina82@hotmail.com</t>
        </is>
      </c>
      <c r="D311" s="2" t="inlineStr">
        <is>
          <t>(395)313-0803</t>
        </is>
      </c>
      <c r="E311" s="2" t="inlineStr">
        <is>
          <t>435 Thomas Corners, Thomasshire, UT 38829</t>
        </is>
      </c>
      <c r="F311" s="2" t="inlineStr">
        <is>
          <t>Williamtown</t>
        </is>
      </c>
      <c r="G311" s="2" t="inlineStr">
        <is>
          <t>Afghanistan</t>
        </is>
      </c>
      <c r="H311" s="2" t="inlineStr">
        <is>
          <t>yard</t>
        </is>
      </c>
      <c r="I311" t="inlineStr">
        <is>
          <t>its</t>
        </is>
      </c>
    </row>
    <row r="312">
      <c r="A312" s="2" t="inlineStr">
        <is>
          <t>C4620</t>
        </is>
      </c>
      <c r="B312" s="2" t="inlineStr">
        <is>
          <t>Amy Mclean</t>
        </is>
      </c>
      <c r="C312" s="2" t="inlineStr">
        <is>
          <t>vmiller@bishop.biz</t>
        </is>
      </c>
      <c r="D312" s="2" t="inlineStr">
        <is>
          <t>+1-360-237-4453x3482</t>
        </is>
      </c>
      <c r="E312" s="2" t="inlineStr">
        <is>
          <t>7240 Meyers Well Suite 828, Zacharyfort, NH 77299</t>
        </is>
      </c>
      <c r="F312" s="2" t="inlineStr">
        <is>
          <t>South Amy</t>
        </is>
      </c>
      <c r="G312" s="2" t="inlineStr">
        <is>
          <t>Angola</t>
        </is>
      </c>
      <c r="H312" s="2" t="inlineStr">
        <is>
          <t>including</t>
        </is>
      </c>
      <c r="I312" t="inlineStr">
        <is>
          <t>group</t>
        </is>
      </c>
    </row>
    <row r="313">
      <c r="A313" s="2" t="inlineStr">
        <is>
          <t>C1017</t>
        </is>
      </c>
      <c r="B313" s="2" t="inlineStr">
        <is>
          <t>Paul Williams</t>
        </is>
      </c>
      <c r="C313" s="2" t="inlineStr">
        <is>
          <t>yporter@barker.com</t>
        </is>
      </c>
      <c r="D313" s="2" t="inlineStr">
        <is>
          <t>674-102-3801</t>
        </is>
      </c>
      <c r="E313" s="2" t="inlineStr">
        <is>
          <t>16107 Peter Unions Suite 303, Vazquezland, PA 50363</t>
        </is>
      </c>
      <c r="F313" s="2" t="inlineStr">
        <is>
          <t>East Dawn</t>
        </is>
      </c>
      <c r="G313" s="2" t="inlineStr">
        <is>
          <t>Namibia</t>
        </is>
      </c>
      <c r="H313" s="2" t="inlineStr">
        <is>
          <t>baby</t>
        </is>
      </c>
      <c r="I313" t="inlineStr">
        <is>
          <t>card</t>
        </is>
      </c>
    </row>
    <row r="314">
      <c r="A314" s="2" t="inlineStr">
        <is>
          <t>C5503</t>
        </is>
      </c>
      <c r="B314" s="2" t="inlineStr">
        <is>
          <t>Ashley Tate</t>
        </is>
      </c>
      <c r="C314" s="2" t="inlineStr">
        <is>
          <t>robert65@gmail.com</t>
        </is>
      </c>
      <c r="D314" s="2" t="inlineStr">
        <is>
          <t>647-175-3558</t>
        </is>
      </c>
      <c r="E314" s="2" t="inlineStr">
        <is>
          <t>1079 Eileen Course, Reeseborough, NM 50228</t>
        </is>
      </c>
      <c r="F314" s="2" t="inlineStr">
        <is>
          <t>Hawkinsport</t>
        </is>
      </c>
      <c r="G314" s="2" t="inlineStr">
        <is>
          <t>Canada</t>
        </is>
      </c>
      <c r="H314" s="2" t="inlineStr">
        <is>
          <t>establish</t>
        </is>
      </c>
      <c r="I314" t="inlineStr">
        <is>
          <t>you</t>
        </is>
      </c>
    </row>
    <row r="315">
      <c r="A315" s="2" t="inlineStr">
        <is>
          <t>C5484</t>
        </is>
      </c>
      <c r="B315" s="2" t="inlineStr">
        <is>
          <t>Tracy Henderson</t>
        </is>
      </c>
      <c r="C315" s="2" t="inlineStr">
        <is>
          <t>mcneilsamantha@yahoo.com</t>
        </is>
      </c>
      <c r="D315" s="2" t="inlineStr">
        <is>
          <t>529-551-5890x67603</t>
        </is>
      </c>
      <c r="E315" s="2" t="inlineStr">
        <is>
          <t>33920 Cassandra Mission Suite 589, Port Kennethchester, PA 97304</t>
        </is>
      </c>
      <c r="F315" s="2" t="inlineStr">
        <is>
          <t>New Johnnybury</t>
        </is>
      </c>
      <c r="G315" s="2" t="inlineStr">
        <is>
          <t>Aruba</t>
        </is>
      </c>
      <c r="H315" s="2" t="inlineStr">
        <is>
          <t>add</t>
        </is>
      </c>
      <c r="I315" t="inlineStr">
        <is>
          <t>significant</t>
        </is>
      </c>
    </row>
    <row r="316">
      <c r="A316" s="2" t="inlineStr">
        <is>
          <t>C6315</t>
        </is>
      </c>
      <c r="B316" s="2" t="inlineStr">
        <is>
          <t>Dillon Bentley</t>
        </is>
      </c>
      <c r="C316" s="2" t="inlineStr">
        <is>
          <t>donna61@gmail.com</t>
        </is>
      </c>
      <c r="D316" s="2" t="inlineStr">
        <is>
          <t>281-189-8231x0172</t>
        </is>
      </c>
      <c r="E316" s="2" t="inlineStr">
        <is>
          <t>5085 Bradshaw Burg Suite 452, North Christina, GA 16900</t>
        </is>
      </c>
      <c r="F316" s="2" t="inlineStr">
        <is>
          <t>Isaacview</t>
        </is>
      </c>
      <c r="G316" s="2" t="inlineStr">
        <is>
          <t>Germany</t>
        </is>
      </c>
      <c r="H316" s="2" t="inlineStr">
        <is>
          <t>political</t>
        </is>
      </c>
      <c r="I316" t="inlineStr">
        <is>
          <t>cost</t>
        </is>
      </c>
    </row>
    <row r="317">
      <c r="A317" s="2" t="inlineStr">
        <is>
          <t>C5096</t>
        </is>
      </c>
      <c r="B317" s="2" t="inlineStr">
        <is>
          <t>Robin Smith</t>
        </is>
      </c>
      <c r="C317" s="2" t="inlineStr">
        <is>
          <t>kristinabeard@yahoo.com</t>
        </is>
      </c>
      <c r="D317" s="2" t="inlineStr">
        <is>
          <t>+1-872-415-5744</t>
        </is>
      </c>
      <c r="E317" s="2" t="inlineStr">
        <is>
          <t>67902 Wood Road Suite 680, Leachfort, NM 91150</t>
        </is>
      </c>
      <c r="F317" s="2" t="inlineStr">
        <is>
          <t>East Kristinaberg</t>
        </is>
      </c>
      <c r="G317" s="2" t="inlineStr">
        <is>
          <t>Qatar</t>
        </is>
      </c>
      <c r="H317" s="2" t="inlineStr">
        <is>
          <t>water</t>
        </is>
      </c>
      <c r="I317" t="inlineStr">
        <is>
          <t>simply</t>
        </is>
      </c>
    </row>
    <row r="318">
      <c r="A318" s="2" t="inlineStr">
        <is>
          <t>C6664</t>
        </is>
      </c>
      <c r="B318" s="2" t="inlineStr">
        <is>
          <t>Mrs. Briana Morgan</t>
        </is>
      </c>
      <c r="C318" s="2" t="inlineStr">
        <is>
          <t>shawna81@miller.info</t>
        </is>
      </c>
      <c r="D318" s="2" t="inlineStr">
        <is>
          <t>(234)849-9102x40402</t>
        </is>
      </c>
      <c r="E318" s="2" t="inlineStr">
        <is>
          <t>174 Lauren Turnpike, Collinsmouth, UT 56757</t>
        </is>
      </c>
      <c r="F318" s="2" t="inlineStr">
        <is>
          <t>West Elizabeth</t>
        </is>
      </c>
      <c r="G318" s="2" t="inlineStr">
        <is>
          <t>Sweden</t>
        </is>
      </c>
      <c r="H318" s="2" t="inlineStr">
        <is>
          <t>student</t>
        </is>
      </c>
      <c r="I318" t="inlineStr">
        <is>
          <t>through</t>
        </is>
      </c>
    </row>
    <row r="319">
      <c r="A319" s="2" t="inlineStr">
        <is>
          <t>C7674</t>
        </is>
      </c>
      <c r="B319" s="2" t="inlineStr">
        <is>
          <t>Angel Frank</t>
        </is>
      </c>
      <c r="C319" s="2" t="inlineStr">
        <is>
          <t>nforbes@gmail.com</t>
        </is>
      </c>
      <c r="D319" s="2" t="inlineStr">
        <is>
          <t>8991856002</t>
        </is>
      </c>
      <c r="E319" s="2" t="inlineStr">
        <is>
          <t>Unit 0990 Box 8914, DPO AP 67538</t>
        </is>
      </c>
      <c r="F319" s="2" t="inlineStr">
        <is>
          <t>Port Stevenchester</t>
        </is>
      </c>
      <c r="G319" s="2" t="inlineStr">
        <is>
          <t>Bahrain</t>
        </is>
      </c>
      <c r="H319" s="2" t="inlineStr">
        <is>
          <t>fill</t>
        </is>
      </c>
      <c r="I319" t="inlineStr">
        <is>
          <t>interest</t>
        </is>
      </c>
    </row>
    <row r="320">
      <c r="A320" s="2" t="inlineStr">
        <is>
          <t>C4525</t>
        </is>
      </c>
      <c r="B320" s="2" t="inlineStr">
        <is>
          <t>Jeffrey Johnson</t>
        </is>
      </c>
      <c r="C320" s="2" t="inlineStr">
        <is>
          <t>dixonkathleen@hotmail.com</t>
        </is>
      </c>
      <c r="D320" s="2" t="inlineStr">
        <is>
          <t>861-506-1116</t>
        </is>
      </c>
      <c r="E320" s="2" t="inlineStr">
        <is>
          <t>5782 Jennifer Drives, North Shannonhaven, MT 53415</t>
        </is>
      </c>
      <c r="F320" s="2" t="inlineStr">
        <is>
          <t>South Alexandrastad</t>
        </is>
      </c>
      <c r="G320" s="2" t="inlineStr">
        <is>
          <t>Fiji</t>
        </is>
      </c>
      <c r="H320" s="2" t="inlineStr">
        <is>
          <t>officer</t>
        </is>
      </c>
      <c r="I320" t="inlineStr">
        <is>
          <t>road</t>
        </is>
      </c>
    </row>
    <row r="321">
      <c r="A321" s="2" t="inlineStr">
        <is>
          <t>C1513</t>
        </is>
      </c>
      <c r="B321" s="2" t="inlineStr">
        <is>
          <t>Douglas Cook</t>
        </is>
      </c>
      <c r="C321" s="2" t="inlineStr">
        <is>
          <t>adambrown@mendez-baker.biz</t>
        </is>
      </c>
      <c r="D321" s="2" t="inlineStr">
        <is>
          <t>886.954.0427</t>
        </is>
      </c>
      <c r="E321" s="2" t="inlineStr">
        <is>
          <t>783 Rojas Curve, Wilsonton, NM 38145</t>
        </is>
      </c>
      <c r="F321" s="2" t="inlineStr">
        <is>
          <t>Myersview</t>
        </is>
      </c>
      <c r="G321" s="2" t="inlineStr">
        <is>
          <t>Tunisia</t>
        </is>
      </c>
      <c r="H321" s="2" t="inlineStr">
        <is>
          <t>industry</t>
        </is>
      </c>
      <c r="I321" t="inlineStr">
        <is>
          <t>choice</t>
        </is>
      </c>
    </row>
    <row r="322">
      <c r="A322" s="2" t="inlineStr">
        <is>
          <t>C8981</t>
        </is>
      </c>
      <c r="B322" s="2" t="inlineStr">
        <is>
          <t>John Howell</t>
        </is>
      </c>
      <c r="C322" s="2" t="inlineStr">
        <is>
          <t>nwashington@gregory-morales.org</t>
        </is>
      </c>
      <c r="D322" s="2" t="inlineStr">
        <is>
          <t>321.344.5541x20370</t>
        </is>
      </c>
      <c r="E322" s="2" t="inlineStr">
        <is>
          <t>1668 Lauren Road Apt. 119, Port Ryanmouth, OK 80598</t>
        </is>
      </c>
      <c r="F322" s="2" t="inlineStr">
        <is>
          <t>Parkertown</t>
        </is>
      </c>
      <c r="G322" s="2" t="inlineStr">
        <is>
          <t>San Marino</t>
        </is>
      </c>
      <c r="H322" s="2" t="inlineStr">
        <is>
          <t>try</t>
        </is>
      </c>
      <c r="I322" t="inlineStr">
        <is>
          <t>task</t>
        </is>
      </c>
    </row>
    <row r="323">
      <c r="A323" s="2" t="inlineStr">
        <is>
          <t>C3333</t>
        </is>
      </c>
      <c r="B323" s="2" t="inlineStr">
        <is>
          <t>Terry Smith</t>
        </is>
      </c>
      <c r="C323" s="2" t="inlineStr">
        <is>
          <t>jonathan30@rodriguez.com</t>
        </is>
      </c>
      <c r="D323" s="2" t="inlineStr">
        <is>
          <t>(420)078-1973x1202</t>
        </is>
      </c>
      <c r="E323" s="2" t="inlineStr">
        <is>
          <t>53434 Sandra Points, Hollymouth, NY 05538</t>
        </is>
      </c>
      <c r="F323" s="2" t="inlineStr">
        <is>
          <t>East Matthewbury</t>
        </is>
      </c>
      <c r="G323" s="2" t="inlineStr">
        <is>
          <t>Kyrgyz Republic</t>
        </is>
      </c>
      <c r="H323" s="2" t="inlineStr">
        <is>
          <t>station</t>
        </is>
      </c>
      <c r="I323" t="inlineStr">
        <is>
          <t>maybe</t>
        </is>
      </c>
    </row>
    <row r="324">
      <c r="A324" s="2" t="inlineStr">
        <is>
          <t>C8316</t>
        </is>
      </c>
      <c r="B324" s="2" t="inlineStr">
        <is>
          <t>Jason Delgado</t>
        </is>
      </c>
      <c r="C324" s="2" t="inlineStr">
        <is>
          <t>rhondachavez@white.com</t>
        </is>
      </c>
      <c r="D324" s="2" t="inlineStr">
        <is>
          <t>9970857198</t>
        </is>
      </c>
      <c r="E324" s="2" t="inlineStr">
        <is>
          <t>6047 Price Creek Apt. 639, Corymouth, SC 93868</t>
        </is>
      </c>
      <c r="F324" s="2" t="inlineStr">
        <is>
          <t>Port Aaronbury</t>
        </is>
      </c>
      <c r="G324" s="2" t="inlineStr">
        <is>
          <t>Martinique</t>
        </is>
      </c>
      <c r="H324" s="2" t="inlineStr">
        <is>
          <t>back</t>
        </is>
      </c>
      <c r="I324" t="inlineStr">
        <is>
          <t>probably</t>
        </is>
      </c>
    </row>
    <row r="325">
      <c r="A325" s="2" t="inlineStr">
        <is>
          <t>C6502</t>
        </is>
      </c>
      <c r="B325" s="2" t="inlineStr">
        <is>
          <t>Christopher Mills</t>
        </is>
      </c>
      <c r="C325" s="2" t="inlineStr">
        <is>
          <t>craig39@fisher.com</t>
        </is>
      </c>
      <c r="D325" s="2" t="inlineStr">
        <is>
          <t>(924)489-4150x07433</t>
        </is>
      </c>
      <c r="E325" s="2" t="inlineStr">
        <is>
          <t>7877 Miller Burgs, New Jeffreyhaven, RI 94202</t>
        </is>
      </c>
      <c r="F325" s="2" t="inlineStr">
        <is>
          <t>Baileyborough</t>
        </is>
      </c>
      <c r="G325" s="2" t="inlineStr">
        <is>
          <t>Western Sahara</t>
        </is>
      </c>
      <c r="H325" s="2" t="inlineStr">
        <is>
          <t>east</t>
        </is>
      </c>
      <c r="I325" t="inlineStr">
        <is>
          <t>whom</t>
        </is>
      </c>
    </row>
    <row r="326">
      <c r="A326" s="2" t="inlineStr">
        <is>
          <t>C3912</t>
        </is>
      </c>
      <c r="B326" s="2" t="inlineStr">
        <is>
          <t>Mrs. Elizabeth Gray</t>
        </is>
      </c>
      <c r="C326" s="2" t="inlineStr">
        <is>
          <t>lopezmaureen@yahoo.com</t>
        </is>
      </c>
      <c r="D326" s="2" t="inlineStr">
        <is>
          <t>(563)977-4845</t>
        </is>
      </c>
      <c r="E326" s="2" t="inlineStr">
        <is>
          <t>170 Foster Gardens Apt. 857, North William, OK 65582</t>
        </is>
      </c>
      <c r="F326" s="2" t="inlineStr">
        <is>
          <t>Jameshaven</t>
        </is>
      </c>
      <c r="G326" s="2" t="inlineStr">
        <is>
          <t>United Kingdom</t>
        </is>
      </c>
      <c r="H326" s="2" t="inlineStr">
        <is>
          <t>opportunity</t>
        </is>
      </c>
      <c r="I326" t="inlineStr">
        <is>
          <t>machine</t>
        </is>
      </c>
    </row>
    <row r="327">
      <c r="A327" s="2" t="inlineStr">
        <is>
          <t>C3128</t>
        </is>
      </c>
      <c r="B327" s="2" t="inlineStr">
        <is>
          <t>Joseph Rios</t>
        </is>
      </c>
      <c r="C327" s="2" t="inlineStr">
        <is>
          <t>fwade@hotmail.com</t>
        </is>
      </c>
      <c r="D327" s="2" t="inlineStr">
        <is>
          <t>495-060-7927</t>
        </is>
      </c>
      <c r="E327" s="2" t="inlineStr">
        <is>
          <t>Unit 3565 Box 7990, DPO AA 84024</t>
        </is>
      </c>
      <c r="F327" s="2" t="inlineStr">
        <is>
          <t>Lake Christopher</t>
        </is>
      </c>
      <c r="G327" s="2" t="inlineStr">
        <is>
          <t>Finland</t>
        </is>
      </c>
      <c r="H327" s="2" t="inlineStr">
        <is>
          <t>bad</t>
        </is>
      </c>
      <c r="I327" t="inlineStr">
        <is>
          <t>star</t>
        </is>
      </c>
    </row>
    <row r="328">
      <c r="A328" s="2" t="inlineStr">
        <is>
          <t>C1538</t>
        </is>
      </c>
      <c r="B328" s="2" t="inlineStr">
        <is>
          <t>Jennifer Mathews</t>
        </is>
      </c>
      <c r="C328" s="2" t="inlineStr">
        <is>
          <t>brooksjames@brown.biz</t>
        </is>
      </c>
      <c r="D328" s="2" t="inlineStr">
        <is>
          <t>(762)562-9152</t>
        </is>
      </c>
      <c r="E328" s="2" t="inlineStr">
        <is>
          <t>35112 Douglas Springs Suite 928, Patelshire, MI 82164</t>
        </is>
      </c>
      <c r="F328" s="2" t="inlineStr">
        <is>
          <t>Grayfort</t>
        </is>
      </c>
      <c r="G328" s="2" t="inlineStr">
        <is>
          <t>Seychelles</t>
        </is>
      </c>
      <c r="H328" s="2" t="inlineStr">
        <is>
          <t>full</t>
        </is>
      </c>
      <c r="I328" t="inlineStr">
        <is>
          <t>let</t>
        </is>
      </c>
    </row>
    <row r="329">
      <c r="A329" s="2" t="inlineStr">
        <is>
          <t>C5271</t>
        </is>
      </c>
      <c r="B329" s="2" t="inlineStr">
        <is>
          <t>Erica Rodriguez</t>
        </is>
      </c>
      <c r="C329" s="2" t="inlineStr">
        <is>
          <t>amandajohnson@yahoo.com</t>
        </is>
      </c>
      <c r="D329" s="2" t="inlineStr">
        <is>
          <t>001-814-189-8103x34901</t>
        </is>
      </c>
      <c r="E329" s="2" t="inlineStr">
        <is>
          <t>301 Morris Harbor Suite 698, Baileyview, WI 01828</t>
        </is>
      </c>
      <c r="F329" s="2" t="inlineStr">
        <is>
          <t>North Danielshire</t>
        </is>
      </c>
      <c r="G329" s="2" t="inlineStr">
        <is>
          <t>United States Minor Outlying Islands</t>
        </is>
      </c>
      <c r="H329" s="2" t="inlineStr">
        <is>
          <t>sense</t>
        </is>
      </c>
      <c r="I329" t="inlineStr">
        <is>
          <t>new</t>
        </is>
      </c>
    </row>
    <row r="330">
      <c r="A330" s="2" t="inlineStr">
        <is>
          <t>C2162</t>
        </is>
      </c>
      <c r="B330" s="2" t="inlineStr">
        <is>
          <t>Theresa Garcia</t>
        </is>
      </c>
      <c r="C330" s="2" t="inlineStr">
        <is>
          <t>fhunter@yahoo.com</t>
        </is>
      </c>
      <c r="D330" s="2" t="inlineStr">
        <is>
          <t>001-314-175-3328x3913</t>
        </is>
      </c>
      <c r="E330" s="2" t="inlineStr">
        <is>
          <t>4976 Sandra Tunnel, Lake Logan, LA 42882</t>
        </is>
      </c>
      <c r="F330" s="2" t="inlineStr">
        <is>
          <t>Lindaland</t>
        </is>
      </c>
      <c r="G330" s="2" t="inlineStr">
        <is>
          <t>French Guiana</t>
        </is>
      </c>
      <c r="H330" s="2" t="inlineStr">
        <is>
          <t>reflect</t>
        </is>
      </c>
      <c r="I330" t="inlineStr">
        <is>
          <t>stay</t>
        </is>
      </c>
    </row>
    <row r="331">
      <c r="A331" s="2" t="inlineStr">
        <is>
          <t>C2203</t>
        </is>
      </c>
      <c r="B331" s="2" t="inlineStr">
        <is>
          <t>Karen Gallegos</t>
        </is>
      </c>
      <c r="C331" s="2" t="inlineStr">
        <is>
          <t>jordanmary@yahoo.com</t>
        </is>
      </c>
      <c r="D331" s="2" t="inlineStr">
        <is>
          <t>+1-001-301-5071x105</t>
        </is>
      </c>
      <c r="E331" s="2" t="inlineStr">
        <is>
          <t>990 Adams Manor Apt. 813, Jonesfurt, MS 08898</t>
        </is>
      </c>
      <c r="F331" s="2" t="inlineStr">
        <is>
          <t>Sarahmouth</t>
        </is>
      </c>
      <c r="G331" s="2" t="inlineStr">
        <is>
          <t>Grenada</t>
        </is>
      </c>
      <c r="H331" s="2" t="inlineStr">
        <is>
          <t>this</t>
        </is>
      </c>
      <c r="I331" t="inlineStr">
        <is>
          <t>add</t>
        </is>
      </c>
    </row>
    <row r="332">
      <c r="A332" s="2" t="inlineStr">
        <is>
          <t>C5984</t>
        </is>
      </c>
      <c r="B332" s="2" t="inlineStr">
        <is>
          <t>Mason Joyce</t>
        </is>
      </c>
      <c r="C332" s="2" t="inlineStr">
        <is>
          <t>rachel96@gmail.com</t>
        </is>
      </c>
      <c r="D332" s="2" t="inlineStr">
        <is>
          <t>001-948-722-2561</t>
        </is>
      </c>
      <c r="E332" s="2" t="inlineStr">
        <is>
          <t>3739 Mcknight Stravenue, Port Carol, NC 39835</t>
        </is>
      </c>
      <c r="F332" s="2" t="inlineStr">
        <is>
          <t>Robertberg</t>
        </is>
      </c>
      <c r="G332" s="2" t="inlineStr">
        <is>
          <t>Kyrgyz Republic</t>
        </is>
      </c>
      <c r="H332" s="2" t="inlineStr">
        <is>
          <t>begin</t>
        </is>
      </c>
      <c r="I332" t="inlineStr">
        <is>
          <t>discussion</t>
        </is>
      </c>
    </row>
    <row r="333">
      <c r="A333" s="2" t="inlineStr">
        <is>
          <t>C4424</t>
        </is>
      </c>
      <c r="B333" s="2" t="inlineStr">
        <is>
          <t>Rachel Davis</t>
        </is>
      </c>
      <c r="C333" s="2" t="inlineStr">
        <is>
          <t>james07@mendez.net</t>
        </is>
      </c>
      <c r="D333" s="2" t="inlineStr">
        <is>
          <t>(882)092-4920</t>
        </is>
      </c>
      <c r="E333" s="2" t="inlineStr">
        <is>
          <t>9208 French Ville, Lake Valeriechester, VA 48383</t>
        </is>
      </c>
      <c r="F333" s="2" t="inlineStr">
        <is>
          <t>New Jamesborough</t>
        </is>
      </c>
      <c r="G333" s="2" t="inlineStr">
        <is>
          <t>Hungary</t>
        </is>
      </c>
      <c r="H333" s="2" t="inlineStr">
        <is>
          <t>service</t>
        </is>
      </c>
      <c r="I333" t="inlineStr">
        <is>
          <t>eye</t>
        </is>
      </c>
    </row>
    <row r="334">
      <c r="A334" s="2" t="inlineStr">
        <is>
          <t>C9137</t>
        </is>
      </c>
      <c r="B334" s="2" t="inlineStr">
        <is>
          <t>Justin Thompson</t>
        </is>
      </c>
      <c r="C334" s="2" t="inlineStr">
        <is>
          <t>nancybradshaw@hotmail.com</t>
        </is>
      </c>
      <c r="D334" s="2" t="inlineStr">
        <is>
          <t>1929626104</t>
        </is>
      </c>
      <c r="E334" s="2" t="inlineStr">
        <is>
          <t>98978 Brown Cove, Lake Brianshire, NV 65088</t>
        </is>
      </c>
      <c r="F334" s="2" t="inlineStr">
        <is>
          <t>New Trevorstad</t>
        </is>
      </c>
      <c r="G334" s="2" t="inlineStr">
        <is>
          <t>Vanuatu</t>
        </is>
      </c>
      <c r="H334" s="2" t="inlineStr">
        <is>
          <t>show</t>
        </is>
      </c>
      <c r="I334" t="inlineStr">
        <is>
          <t>his</t>
        </is>
      </c>
    </row>
    <row r="335">
      <c r="A335" s="2" t="inlineStr">
        <is>
          <t>C3098</t>
        </is>
      </c>
      <c r="B335" s="2" t="inlineStr">
        <is>
          <t>Nancy Murphy</t>
        </is>
      </c>
      <c r="C335" s="2" t="inlineStr">
        <is>
          <t>wlewis@gmail.com</t>
        </is>
      </c>
      <c r="D335" s="2" t="inlineStr">
        <is>
          <t>697.639.0297</t>
        </is>
      </c>
      <c r="E335" s="2" t="inlineStr">
        <is>
          <t>50529 Shannon Gateway, Lake Ronald, SC 28258</t>
        </is>
      </c>
      <c r="F335" s="2" t="inlineStr">
        <is>
          <t>Port Robertville</t>
        </is>
      </c>
      <c r="G335" s="2" t="inlineStr">
        <is>
          <t>Afghanistan</t>
        </is>
      </c>
      <c r="H335" s="2" t="inlineStr">
        <is>
          <t>like</t>
        </is>
      </c>
      <c r="I335" t="inlineStr">
        <is>
          <t>magazine</t>
        </is>
      </c>
    </row>
    <row r="336">
      <c r="A336" s="2" t="inlineStr">
        <is>
          <t>C4187</t>
        </is>
      </c>
      <c r="B336" s="2" t="inlineStr">
        <is>
          <t>Alicia Haas</t>
        </is>
      </c>
      <c r="C336" s="2" t="inlineStr">
        <is>
          <t>zachary18@calhoun-ramirez.info</t>
        </is>
      </c>
      <c r="D336" s="2" t="inlineStr">
        <is>
          <t>001-412-122-3284</t>
        </is>
      </c>
      <c r="E336" s="2" t="inlineStr">
        <is>
          <t>0171 Aaron Islands Suite 534, Jesusside, OH 05604</t>
        </is>
      </c>
      <c r="F336" s="2" t="inlineStr">
        <is>
          <t>Derekborough</t>
        </is>
      </c>
      <c r="G336" s="2" t="inlineStr">
        <is>
          <t>Burundi</t>
        </is>
      </c>
      <c r="H336" s="2" t="inlineStr">
        <is>
          <t>another</t>
        </is>
      </c>
      <c r="I336" t="inlineStr">
        <is>
          <t>defense</t>
        </is>
      </c>
    </row>
    <row r="337">
      <c r="A337" s="2" t="inlineStr">
        <is>
          <t>C6888</t>
        </is>
      </c>
      <c r="B337" s="2" t="inlineStr">
        <is>
          <t>Kevin Barry</t>
        </is>
      </c>
      <c r="C337" s="2" t="inlineStr">
        <is>
          <t>kwilson@gmail.com</t>
        </is>
      </c>
      <c r="D337" s="2" t="inlineStr">
        <is>
          <t>489-236-8617x56736</t>
        </is>
      </c>
      <c r="E337" s="2" t="inlineStr">
        <is>
          <t>372 Bryan Walk, Danieltown, CO 64083</t>
        </is>
      </c>
      <c r="F337" s="2" t="inlineStr">
        <is>
          <t>Pruittfort</t>
        </is>
      </c>
      <c r="G337" s="2" t="inlineStr">
        <is>
          <t>Guadeloupe</t>
        </is>
      </c>
      <c r="H337" s="2" t="inlineStr">
        <is>
          <t>perform</t>
        </is>
      </c>
      <c r="I337" t="inlineStr">
        <is>
          <t>might</t>
        </is>
      </c>
    </row>
    <row r="338">
      <c r="A338" s="2" t="inlineStr">
        <is>
          <t>C5709</t>
        </is>
      </c>
      <c r="B338" s="2" t="inlineStr">
        <is>
          <t>Timothy Simmons</t>
        </is>
      </c>
      <c r="C338" s="2" t="inlineStr">
        <is>
          <t>ewilson@collins-townsend.com</t>
        </is>
      </c>
      <c r="D338" s="2" t="inlineStr">
        <is>
          <t>391.516.1742</t>
        </is>
      </c>
      <c r="E338" s="2" t="inlineStr">
        <is>
          <t>2095 Samuel Brook, Lake Nicole, WV 84449</t>
        </is>
      </c>
      <c r="F338" s="2" t="inlineStr">
        <is>
          <t>Rickyberg</t>
        </is>
      </c>
      <c r="G338" s="2" t="inlineStr">
        <is>
          <t>Papua New Guinea</t>
        </is>
      </c>
      <c r="H338" s="2" t="inlineStr">
        <is>
          <t>big</t>
        </is>
      </c>
      <c r="I338" t="inlineStr">
        <is>
          <t>example</t>
        </is>
      </c>
    </row>
    <row r="339">
      <c r="A339" s="2" t="inlineStr">
        <is>
          <t>C4642</t>
        </is>
      </c>
      <c r="B339" s="2" t="inlineStr">
        <is>
          <t>Steven Brown</t>
        </is>
      </c>
      <c r="C339" s="2" t="inlineStr">
        <is>
          <t>curryrachel@gmail.com</t>
        </is>
      </c>
      <c r="D339" s="2" t="inlineStr">
        <is>
          <t>001-408-854-2142</t>
        </is>
      </c>
      <c r="E339" s="2" t="inlineStr">
        <is>
          <t>073 Brown Rapid Suite 033, North Helenport, NJ 47417</t>
        </is>
      </c>
      <c r="F339" s="2" t="inlineStr">
        <is>
          <t>Johnsonton</t>
        </is>
      </c>
      <c r="G339" s="2" t="inlineStr">
        <is>
          <t>Italy</t>
        </is>
      </c>
      <c r="H339" s="2" t="inlineStr">
        <is>
          <t>source</t>
        </is>
      </c>
      <c r="I339" t="inlineStr">
        <is>
          <t>call</t>
        </is>
      </c>
    </row>
    <row r="340">
      <c r="A340" s="2" t="inlineStr">
        <is>
          <t>C8314</t>
        </is>
      </c>
      <c r="B340" s="2" t="inlineStr">
        <is>
          <t>Matthew Martinez</t>
        </is>
      </c>
      <c r="C340" s="2" t="inlineStr">
        <is>
          <t>robynblair@hotmail.com</t>
        </is>
      </c>
      <c r="D340" s="2" t="inlineStr">
        <is>
          <t>497-721-2155x55702</t>
        </is>
      </c>
      <c r="E340" s="2" t="inlineStr">
        <is>
          <t>USCGC Andrews, FPO AA 20420</t>
        </is>
      </c>
      <c r="F340" s="2" t="inlineStr">
        <is>
          <t>South Amy</t>
        </is>
      </c>
      <c r="G340" s="2" t="inlineStr">
        <is>
          <t>Indonesia</t>
        </is>
      </c>
      <c r="H340" s="2" t="inlineStr">
        <is>
          <t>pay</t>
        </is>
      </c>
      <c r="I340" t="inlineStr">
        <is>
          <t>first</t>
        </is>
      </c>
    </row>
    <row r="341">
      <c r="A341" s="2" t="inlineStr">
        <is>
          <t>C7558</t>
        </is>
      </c>
      <c r="B341" s="2" t="inlineStr">
        <is>
          <t>Steven Rodriguez</t>
        </is>
      </c>
      <c r="C341" s="2" t="inlineStr">
        <is>
          <t>thomasjerry@coleman.com</t>
        </is>
      </c>
      <c r="D341" s="2" t="inlineStr">
        <is>
          <t>645.198.4744</t>
        </is>
      </c>
      <c r="E341" s="2" t="inlineStr">
        <is>
          <t>91170 Amy Road Suite 245, East Shane, IL 22652</t>
        </is>
      </c>
      <c r="F341" s="2" t="inlineStr">
        <is>
          <t>Port Ashley</t>
        </is>
      </c>
      <c r="G341" s="2" t="inlineStr">
        <is>
          <t>Antarctica (the territory South of 60 deg S)</t>
        </is>
      </c>
      <c r="H341" s="2" t="inlineStr">
        <is>
          <t>firm</t>
        </is>
      </c>
      <c r="I341" t="inlineStr">
        <is>
          <t>necessary</t>
        </is>
      </c>
    </row>
    <row r="342">
      <c r="A342" s="2" t="inlineStr">
        <is>
          <t>C4035</t>
        </is>
      </c>
      <c r="B342" s="2" t="inlineStr">
        <is>
          <t>Gregory Obrien</t>
        </is>
      </c>
      <c r="C342" s="2" t="inlineStr">
        <is>
          <t>garciamitchell@yahoo.com</t>
        </is>
      </c>
      <c r="D342" s="2" t="inlineStr">
        <is>
          <t>001-641-860-0557x14254</t>
        </is>
      </c>
      <c r="E342" s="2" t="inlineStr">
        <is>
          <t>16226 Moore Springs Suite 511, Kristinfort, OH 34304</t>
        </is>
      </c>
      <c r="F342" s="2" t="inlineStr">
        <is>
          <t>South David</t>
        </is>
      </c>
      <c r="G342" s="2" t="inlineStr">
        <is>
          <t>Norfolk Island</t>
        </is>
      </c>
      <c r="H342" s="2" t="inlineStr">
        <is>
          <t>myself</t>
        </is>
      </c>
      <c r="I342" t="inlineStr">
        <is>
          <t>last</t>
        </is>
      </c>
    </row>
    <row r="343">
      <c r="A343" s="2" t="inlineStr">
        <is>
          <t>C7512</t>
        </is>
      </c>
      <c r="B343" s="2" t="inlineStr">
        <is>
          <t>Melissa Smith</t>
        </is>
      </c>
      <c r="C343" s="2" t="inlineStr">
        <is>
          <t>hillelizabeth@fitzgerald.biz</t>
        </is>
      </c>
      <c r="D343" s="2" t="inlineStr">
        <is>
          <t>+1-457-455-9031x3676</t>
        </is>
      </c>
      <c r="E343" s="2" t="inlineStr">
        <is>
          <t>387 Perry Freeway, Adamshire, UT 96031</t>
        </is>
      </c>
      <c r="F343" s="2" t="inlineStr">
        <is>
          <t>Scottmouth</t>
        </is>
      </c>
      <c r="G343" s="2" t="inlineStr">
        <is>
          <t>Australia</t>
        </is>
      </c>
      <c r="H343" s="2" t="inlineStr">
        <is>
          <t>dream</t>
        </is>
      </c>
      <c r="I343" t="inlineStr">
        <is>
          <t>measure</t>
        </is>
      </c>
    </row>
    <row r="344">
      <c r="A344" s="2" t="inlineStr">
        <is>
          <t>C4696</t>
        </is>
      </c>
      <c r="B344" s="2" t="inlineStr">
        <is>
          <t>Nicole Moses</t>
        </is>
      </c>
      <c r="C344" s="2" t="inlineStr">
        <is>
          <t>ihernandez@hotmail.com</t>
        </is>
      </c>
      <c r="D344" s="2" t="inlineStr">
        <is>
          <t>+1-262-336-8492x928</t>
        </is>
      </c>
      <c r="E344" s="2" t="inlineStr">
        <is>
          <t>852 Derek Points Apt. 486, Port Jessicabury, MO 00772</t>
        </is>
      </c>
      <c r="F344" s="2" t="inlineStr">
        <is>
          <t>Lake Jason</t>
        </is>
      </c>
      <c r="G344" s="2" t="inlineStr">
        <is>
          <t>Iran</t>
        </is>
      </c>
      <c r="H344" s="2" t="inlineStr">
        <is>
          <t>probably</t>
        </is>
      </c>
      <c r="I344" t="inlineStr">
        <is>
          <t>street</t>
        </is>
      </c>
    </row>
    <row r="345">
      <c r="A345" s="2" t="inlineStr">
        <is>
          <t>C1014</t>
        </is>
      </c>
      <c r="B345" s="2" t="inlineStr">
        <is>
          <t>Anne Barrett</t>
        </is>
      </c>
      <c r="C345" s="2" t="inlineStr">
        <is>
          <t>usanchez@hotmail.com</t>
        </is>
      </c>
      <c r="D345" s="2" t="inlineStr">
        <is>
          <t>623.446.0943</t>
        </is>
      </c>
      <c r="E345" s="2" t="inlineStr">
        <is>
          <t>875 Jenna Harbors, North Rhonda, WA 69711</t>
        </is>
      </c>
      <c r="F345" s="2" t="inlineStr">
        <is>
          <t>Thompsonmouth</t>
        </is>
      </c>
      <c r="G345" s="2" t="inlineStr">
        <is>
          <t>Samoa</t>
        </is>
      </c>
      <c r="H345" s="2" t="inlineStr">
        <is>
          <t>between</t>
        </is>
      </c>
      <c r="I345" t="inlineStr">
        <is>
          <t>rate</t>
        </is>
      </c>
    </row>
    <row r="346">
      <c r="A346" s="2" t="inlineStr">
        <is>
          <t>C2468</t>
        </is>
      </c>
      <c r="B346" s="2" t="inlineStr">
        <is>
          <t>Amy Martin</t>
        </is>
      </c>
      <c r="C346" s="2" t="inlineStr">
        <is>
          <t>owashington@kelly.com</t>
        </is>
      </c>
      <c r="D346" s="2" t="inlineStr">
        <is>
          <t>(971)127-8273</t>
        </is>
      </c>
      <c r="E346" s="2" t="inlineStr">
        <is>
          <t>826 Brandon Creek Apt. 968, Collinsview, CO 29016</t>
        </is>
      </c>
      <c r="F346" s="2" t="inlineStr">
        <is>
          <t>East Charlesville</t>
        </is>
      </c>
      <c r="G346" s="2" t="inlineStr">
        <is>
          <t>Mali</t>
        </is>
      </c>
      <c r="H346" s="2" t="inlineStr">
        <is>
          <t>politics</t>
        </is>
      </c>
      <c r="I346" t="inlineStr">
        <is>
          <t>result</t>
        </is>
      </c>
    </row>
    <row r="347">
      <c r="A347" s="2" t="inlineStr">
        <is>
          <t>C3710</t>
        </is>
      </c>
      <c r="B347" s="2" t="inlineStr">
        <is>
          <t>Megan Woods</t>
        </is>
      </c>
      <c r="C347" s="2" t="inlineStr">
        <is>
          <t>cynthia33@yahoo.com</t>
        </is>
      </c>
      <c r="D347" s="2" t="inlineStr">
        <is>
          <t>0268459393</t>
        </is>
      </c>
      <c r="E347" s="2" t="inlineStr">
        <is>
          <t>2441 Lutz Grove Apt. 501, Robersonburgh, UT 69675</t>
        </is>
      </c>
      <c r="F347" s="2" t="inlineStr">
        <is>
          <t>Jimmyberg</t>
        </is>
      </c>
      <c r="G347" s="2" t="inlineStr">
        <is>
          <t>French Polynesia</t>
        </is>
      </c>
      <c r="H347" s="2" t="inlineStr">
        <is>
          <t>central</t>
        </is>
      </c>
      <c r="I347" t="inlineStr">
        <is>
          <t>every</t>
        </is>
      </c>
    </row>
    <row r="348">
      <c r="A348" s="2" t="inlineStr">
        <is>
          <t>C8033</t>
        </is>
      </c>
      <c r="B348" s="2" t="inlineStr">
        <is>
          <t>Sarah Acosta</t>
        </is>
      </c>
      <c r="C348" s="2" t="inlineStr">
        <is>
          <t>joseph76@chapman.biz</t>
        </is>
      </c>
      <c r="D348" s="2" t="inlineStr">
        <is>
          <t>(664)703-5172</t>
        </is>
      </c>
      <c r="E348" s="2" t="inlineStr">
        <is>
          <t>059 Delgado Rapids, Erikahaven, WY 14753</t>
        </is>
      </c>
      <c r="F348" s="2" t="inlineStr">
        <is>
          <t>Lake Brandy</t>
        </is>
      </c>
      <c r="G348" s="2" t="inlineStr">
        <is>
          <t>New Zealand</t>
        </is>
      </c>
      <c r="H348" s="2" t="inlineStr">
        <is>
          <t>travel</t>
        </is>
      </c>
      <c r="I348" t="inlineStr">
        <is>
          <t>call</t>
        </is>
      </c>
    </row>
    <row r="349">
      <c r="A349" s="2" t="inlineStr">
        <is>
          <t>C1400</t>
        </is>
      </c>
      <c r="B349" s="2" t="inlineStr">
        <is>
          <t>Lisa Norton</t>
        </is>
      </c>
      <c r="C349" s="2" t="inlineStr">
        <is>
          <t>kdavies@yahoo.com</t>
        </is>
      </c>
      <c r="D349" s="2" t="inlineStr">
        <is>
          <t>791.325.8339x9185</t>
        </is>
      </c>
      <c r="E349" s="2" t="inlineStr">
        <is>
          <t>2235 Alexandra Street, Josephshire, AR 89826</t>
        </is>
      </c>
      <c r="F349" s="2" t="inlineStr">
        <is>
          <t>South Jasonhaven</t>
        </is>
      </c>
      <c r="G349" s="2" t="inlineStr">
        <is>
          <t>Ghana</t>
        </is>
      </c>
      <c r="H349" s="2" t="inlineStr">
        <is>
          <t>fact</t>
        </is>
      </c>
      <c r="I349" t="inlineStr">
        <is>
          <t>small</t>
        </is>
      </c>
    </row>
    <row r="350">
      <c r="A350" s="2" t="inlineStr">
        <is>
          <t>C1765</t>
        </is>
      </c>
      <c r="B350" s="2" t="inlineStr">
        <is>
          <t>Glenda Taylor</t>
        </is>
      </c>
      <c r="C350" s="2" t="inlineStr">
        <is>
          <t>dianaanderson@malone-perry.com</t>
        </is>
      </c>
      <c r="D350" s="2" t="inlineStr">
        <is>
          <t>+1-656-358-6111x9782</t>
        </is>
      </c>
      <c r="E350" s="2" t="inlineStr">
        <is>
          <t>5455 Gabriel Squares Suite 824, Harthaven, SC 56231</t>
        </is>
      </c>
      <c r="F350" s="2" t="inlineStr">
        <is>
          <t>Atkinshaven</t>
        </is>
      </c>
      <c r="G350" s="2" t="inlineStr">
        <is>
          <t>France</t>
        </is>
      </c>
      <c r="H350" s="2" t="inlineStr">
        <is>
          <t>marriage</t>
        </is>
      </c>
      <c r="I350" t="inlineStr">
        <is>
          <t>city</t>
        </is>
      </c>
    </row>
    <row r="351">
      <c r="A351" s="2" t="inlineStr">
        <is>
          <t>C2989</t>
        </is>
      </c>
      <c r="B351" s="2" t="inlineStr">
        <is>
          <t>Kim Richardson</t>
        </is>
      </c>
      <c r="C351" s="2" t="inlineStr">
        <is>
          <t>weaveredward@koch.com</t>
        </is>
      </c>
      <c r="D351" s="2" t="inlineStr">
        <is>
          <t>(840)619-5093</t>
        </is>
      </c>
      <c r="E351" s="2" t="inlineStr">
        <is>
          <t>6509 Blair Coves, Perezton, AR 03971</t>
        </is>
      </c>
      <c r="F351" s="2" t="inlineStr">
        <is>
          <t>North Elizabeth</t>
        </is>
      </c>
      <c r="G351" s="2" t="inlineStr">
        <is>
          <t>Botswana</t>
        </is>
      </c>
      <c r="H351" s="2" t="inlineStr">
        <is>
          <t>get</t>
        </is>
      </c>
      <c r="I351" t="inlineStr">
        <is>
          <t>force</t>
        </is>
      </c>
    </row>
    <row r="352">
      <c r="A352" s="2" t="inlineStr">
        <is>
          <t>C2517</t>
        </is>
      </c>
      <c r="B352" s="2" t="inlineStr">
        <is>
          <t>Danielle Gardner</t>
        </is>
      </c>
      <c r="C352" s="2" t="inlineStr">
        <is>
          <t>nancy62@hotmail.com</t>
        </is>
      </c>
      <c r="D352" s="2" t="inlineStr">
        <is>
          <t>001-427-336-3522</t>
        </is>
      </c>
      <c r="E352" s="2" t="inlineStr">
        <is>
          <t>775 Edwin Fork Suite 671, East Dominic, TX 21013</t>
        </is>
      </c>
      <c r="F352" s="2" t="inlineStr">
        <is>
          <t>East Donnaside</t>
        </is>
      </c>
      <c r="G352" s="2" t="inlineStr">
        <is>
          <t>Haiti</t>
        </is>
      </c>
      <c r="H352" s="2" t="inlineStr">
        <is>
          <t>figure</t>
        </is>
      </c>
      <c r="I352" t="inlineStr">
        <is>
          <t>traditional</t>
        </is>
      </c>
    </row>
    <row r="353">
      <c r="A353" s="2" t="inlineStr">
        <is>
          <t>C5769</t>
        </is>
      </c>
      <c r="B353" s="2" t="inlineStr">
        <is>
          <t>Jennifer Mason</t>
        </is>
      </c>
      <c r="C353" s="2" t="inlineStr">
        <is>
          <t>hughescarl@savage.com</t>
        </is>
      </c>
      <c r="D353" s="2" t="inlineStr">
        <is>
          <t>075-800-5268</t>
        </is>
      </c>
      <c r="E353" s="2" t="inlineStr">
        <is>
          <t>5560 Aaron Landing Apt. 191, Duranburgh, AL 25819</t>
        </is>
      </c>
      <c r="F353" s="2" t="inlineStr">
        <is>
          <t>Frankbury</t>
        </is>
      </c>
      <c r="G353" s="2" t="inlineStr">
        <is>
          <t>Mozambique</t>
        </is>
      </c>
      <c r="H353" s="2" t="inlineStr">
        <is>
          <t>seek</t>
        </is>
      </c>
      <c r="I353" t="inlineStr">
        <is>
          <t>late</t>
        </is>
      </c>
    </row>
    <row r="354">
      <c r="A354" s="2" t="inlineStr">
        <is>
          <t>C2647</t>
        </is>
      </c>
      <c r="B354" s="2" t="inlineStr">
        <is>
          <t>Michael Silva</t>
        </is>
      </c>
      <c r="C354" s="2" t="inlineStr">
        <is>
          <t>stevensonjimmy@caldwell.com</t>
        </is>
      </c>
      <c r="D354" s="2" t="inlineStr">
        <is>
          <t>+1-012-013-1832x270</t>
        </is>
      </c>
      <c r="E354" s="2" t="inlineStr">
        <is>
          <t>6978 Cox Ranch Suite 041, East Zachary, DC 32758</t>
        </is>
      </c>
      <c r="F354" s="2" t="inlineStr">
        <is>
          <t>Smithborough</t>
        </is>
      </c>
      <c r="G354" s="2" t="inlineStr">
        <is>
          <t>Lebanon</t>
        </is>
      </c>
      <c r="H354" s="2" t="inlineStr">
        <is>
          <t>operation</t>
        </is>
      </c>
      <c r="I354" t="inlineStr">
        <is>
          <t>garden</t>
        </is>
      </c>
    </row>
    <row r="355">
      <c r="A355" s="2" t="inlineStr">
        <is>
          <t>C8520</t>
        </is>
      </c>
      <c r="B355" s="2" t="inlineStr">
        <is>
          <t>Heidi Williams</t>
        </is>
      </c>
      <c r="C355" s="2" t="inlineStr">
        <is>
          <t>utaylor@yahoo.com</t>
        </is>
      </c>
      <c r="D355" s="2" t="inlineStr">
        <is>
          <t>001-583-833-3272x097</t>
        </is>
      </c>
      <c r="E355" s="2" t="inlineStr">
        <is>
          <t>Unit 8665 Box 0526, DPO AA 61692</t>
        </is>
      </c>
      <c r="F355" s="2" t="inlineStr">
        <is>
          <t>West Amytown</t>
        </is>
      </c>
      <c r="G355" s="2" t="inlineStr">
        <is>
          <t>Morocco</t>
        </is>
      </c>
      <c r="H355" s="2" t="inlineStr">
        <is>
          <t>case</t>
        </is>
      </c>
      <c r="I355" t="inlineStr">
        <is>
          <t>measure</t>
        </is>
      </c>
    </row>
    <row r="356">
      <c r="A356" s="2" t="inlineStr">
        <is>
          <t>C8903</t>
        </is>
      </c>
      <c r="B356" s="2" t="inlineStr">
        <is>
          <t>Darlene Butler</t>
        </is>
      </c>
      <c r="C356" s="2" t="inlineStr">
        <is>
          <t>shawnbrown@yahoo.com</t>
        </is>
      </c>
      <c r="D356" s="2" t="inlineStr">
        <is>
          <t>(210)202-5771</t>
        </is>
      </c>
      <c r="E356" s="2" t="inlineStr">
        <is>
          <t>5331 Dean Extensions Apt. 784, Mitchelltown, TX 63797</t>
        </is>
      </c>
      <c r="F356" s="2" t="inlineStr">
        <is>
          <t>Lake Mariaburgh</t>
        </is>
      </c>
      <c r="G356" s="2" t="inlineStr">
        <is>
          <t>Tajikistan</t>
        </is>
      </c>
      <c r="H356" s="2" t="inlineStr">
        <is>
          <t>campaign</t>
        </is>
      </c>
      <c r="I356" t="inlineStr">
        <is>
          <t>language</t>
        </is>
      </c>
    </row>
    <row r="357">
      <c r="A357" s="2" t="inlineStr">
        <is>
          <t>C3033</t>
        </is>
      </c>
      <c r="B357" s="2" t="inlineStr">
        <is>
          <t>Monique Long</t>
        </is>
      </c>
      <c r="C357" s="2" t="inlineStr">
        <is>
          <t>ahendrix@carlson-gilbert.com</t>
        </is>
      </c>
      <c r="D357" s="2" t="inlineStr">
        <is>
          <t>274-227-5589</t>
        </is>
      </c>
      <c r="E357" s="2" t="inlineStr">
        <is>
          <t>USNS Roth, FPO AA 59108</t>
        </is>
      </c>
      <c r="F357" s="2" t="inlineStr">
        <is>
          <t>Rivasmouth</t>
        </is>
      </c>
      <c r="G357" s="2" t="inlineStr">
        <is>
          <t>Paraguay</t>
        </is>
      </c>
      <c r="H357" s="2" t="inlineStr">
        <is>
          <t>alone</t>
        </is>
      </c>
      <c r="I357" t="inlineStr">
        <is>
          <t>oil</t>
        </is>
      </c>
    </row>
    <row r="358">
      <c r="A358" s="2" t="inlineStr">
        <is>
          <t>C7129</t>
        </is>
      </c>
      <c r="B358" s="2" t="inlineStr">
        <is>
          <t>Jerry James</t>
        </is>
      </c>
      <c r="C358" s="2" t="inlineStr">
        <is>
          <t>xbarnes@yahoo.com</t>
        </is>
      </c>
      <c r="D358" s="2" t="inlineStr">
        <is>
          <t>(177)236-7155</t>
        </is>
      </c>
      <c r="E358" s="2" t="inlineStr">
        <is>
          <t>787 Marco Turnpike, Dianeshire, MO 59861</t>
        </is>
      </c>
      <c r="F358" s="2" t="inlineStr">
        <is>
          <t>Port Cassandra</t>
        </is>
      </c>
      <c r="G358" s="2" t="inlineStr">
        <is>
          <t>Gibraltar</t>
        </is>
      </c>
      <c r="H358" s="2" t="inlineStr">
        <is>
          <t>teacher</t>
        </is>
      </c>
      <c r="I358" t="inlineStr">
        <is>
          <t>number</t>
        </is>
      </c>
    </row>
    <row r="359">
      <c r="A359" s="2" t="inlineStr">
        <is>
          <t>C2912</t>
        </is>
      </c>
      <c r="B359" s="2" t="inlineStr">
        <is>
          <t>Mr. Johnny Smith</t>
        </is>
      </c>
      <c r="C359" s="2" t="inlineStr">
        <is>
          <t>kmiller@warner-pearson.com</t>
        </is>
      </c>
      <c r="D359" s="2" t="inlineStr">
        <is>
          <t>001-580-250-0183x915</t>
        </is>
      </c>
      <c r="E359" s="2" t="inlineStr">
        <is>
          <t>773 Ramirez Plaza Apt. 960, Port Shannonbury, IA 30874</t>
        </is>
      </c>
      <c r="F359" s="2" t="inlineStr">
        <is>
          <t>North Cody</t>
        </is>
      </c>
      <c r="G359" s="2" t="inlineStr">
        <is>
          <t>New Caledonia</t>
        </is>
      </c>
      <c r="H359" s="2" t="inlineStr">
        <is>
          <t>mouth</t>
        </is>
      </c>
      <c r="I359" t="inlineStr">
        <is>
          <t>concern</t>
        </is>
      </c>
    </row>
    <row r="360">
      <c r="A360" s="2" t="inlineStr">
        <is>
          <t>C3348</t>
        </is>
      </c>
      <c r="B360" s="2" t="inlineStr">
        <is>
          <t>Vanessa Hinton</t>
        </is>
      </c>
      <c r="C360" s="2" t="inlineStr">
        <is>
          <t>gregorybeth@day-shaw.net</t>
        </is>
      </c>
      <c r="D360" s="2" t="inlineStr">
        <is>
          <t>705-089-3334x74246</t>
        </is>
      </c>
      <c r="E360" s="2" t="inlineStr">
        <is>
          <t>Unit 9827 Box 5254, DPO AP 97731</t>
        </is>
      </c>
      <c r="F360" s="2" t="inlineStr">
        <is>
          <t>Parsonsland</t>
        </is>
      </c>
      <c r="G360" s="2" t="inlineStr">
        <is>
          <t>Antarctica (the territory South of 60 deg S)</t>
        </is>
      </c>
      <c r="H360" s="2" t="inlineStr">
        <is>
          <t>serious</t>
        </is>
      </c>
      <c r="I360" t="inlineStr">
        <is>
          <t>guy</t>
        </is>
      </c>
    </row>
    <row r="361">
      <c r="A361" s="2" t="inlineStr">
        <is>
          <t>C6617</t>
        </is>
      </c>
      <c r="B361" s="2" t="inlineStr">
        <is>
          <t>Audrey Harris</t>
        </is>
      </c>
      <c r="C361" s="2" t="inlineStr">
        <is>
          <t>connorking@hotmail.com</t>
        </is>
      </c>
      <c r="D361" s="2" t="inlineStr">
        <is>
          <t>1824527230</t>
        </is>
      </c>
      <c r="E361" s="2" t="inlineStr">
        <is>
          <t>1471 Anderson Springs Apt. 685, Isaacberg, MO 73086</t>
        </is>
      </c>
      <c r="F361" s="2" t="inlineStr">
        <is>
          <t>West Abigailburgh</t>
        </is>
      </c>
      <c r="G361" s="2" t="inlineStr">
        <is>
          <t>Guatemala</t>
        </is>
      </c>
      <c r="H361" s="2" t="inlineStr">
        <is>
          <t>team</t>
        </is>
      </c>
      <c r="I361" t="inlineStr">
        <is>
          <t>me</t>
        </is>
      </c>
    </row>
    <row r="362">
      <c r="A362" s="2" t="inlineStr">
        <is>
          <t>C2985</t>
        </is>
      </c>
      <c r="B362" s="2" t="inlineStr">
        <is>
          <t>Mr. Jesus Key</t>
        </is>
      </c>
      <c r="C362" s="2" t="inlineStr">
        <is>
          <t>rebecca66@gmail.com</t>
        </is>
      </c>
      <c r="D362" s="2" t="inlineStr">
        <is>
          <t>+1-623-876-4548</t>
        </is>
      </c>
      <c r="E362" s="2" t="inlineStr">
        <is>
          <t>328 Jessica Burg, Sawyerview, PA 35188</t>
        </is>
      </c>
      <c r="F362" s="2" t="inlineStr">
        <is>
          <t>Christopherton</t>
        </is>
      </c>
      <c r="G362" s="2" t="inlineStr">
        <is>
          <t>Korea</t>
        </is>
      </c>
      <c r="H362" s="2" t="inlineStr">
        <is>
          <t>majority</t>
        </is>
      </c>
      <c r="I362" t="inlineStr">
        <is>
          <t>age</t>
        </is>
      </c>
    </row>
    <row r="363">
      <c r="A363" s="2" t="inlineStr">
        <is>
          <t>C9260</t>
        </is>
      </c>
      <c r="B363" s="2" t="inlineStr">
        <is>
          <t>Marc Miller</t>
        </is>
      </c>
      <c r="C363" s="2" t="inlineStr">
        <is>
          <t>christiesummers@gmail.com</t>
        </is>
      </c>
      <c r="D363" s="2" t="inlineStr">
        <is>
          <t>957-601-3094x49037</t>
        </is>
      </c>
      <c r="E363" s="2" t="inlineStr">
        <is>
          <t>548 Humphrey Run Suite 321, West Kathleenstad, NH 83122</t>
        </is>
      </c>
      <c r="F363" s="2" t="inlineStr">
        <is>
          <t>Lake Davidborough</t>
        </is>
      </c>
      <c r="G363" s="2" t="inlineStr">
        <is>
          <t>Chad</t>
        </is>
      </c>
      <c r="H363" s="2" t="inlineStr">
        <is>
          <t>girl</t>
        </is>
      </c>
      <c r="I363" t="inlineStr">
        <is>
          <t>night</t>
        </is>
      </c>
    </row>
    <row r="364">
      <c r="A364" s="2" t="inlineStr">
        <is>
          <t>C4288</t>
        </is>
      </c>
      <c r="B364" s="2" t="inlineStr">
        <is>
          <t>Keith Franklin</t>
        </is>
      </c>
      <c r="C364" s="2" t="inlineStr">
        <is>
          <t>eoconnor@gmail.com</t>
        </is>
      </c>
      <c r="D364" s="2" t="inlineStr">
        <is>
          <t>(739)431-6719</t>
        </is>
      </c>
      <c r="E364" s="2" t="inlineStr">
        <is>
          <t>USS Ray, FPO AA 87565</t>
        </is>
      </c>
      <c r="F364" s="2" t="inlineStr">
        <is>
          <t>Lake Michael</t>
        </is>
      </c>
      <c r="G364" s="2" t="inlineStr">
        <is>
          <t>Thailand</t>
        </is>
      </c>
      <c r="H364" s="2" t="inlineStr">
        <is>
          <t>finally</t>
        </is>
      </c>
      <c r="I364" t="inlineStr">
        <is>
          <t>building</t>
        </is>
      </c>
    </row>
    <row r="365">
      <c r="A365" s="2" t="inlineStr">
        <is>
          <t>C3965</t>
        </is>
      </c>
      <c r="B365" s="2" t="inlineStr">
        <is>
          <t>Eddie Foster</t>
        </is>
      </c>
      <c r="C365" s="2" t="inlineStr">
        <is>
          <t>hancockmeredith@hotmail.com</t>
        </is>
      </c>
      <c r="D365" s="2" t="inlineStr">
        <is>
          <t>(001)486-5564</t>
        </is>
      </c>
      <c r="E365" s="2" t="inlineStr">
        <is>
          <t>7570 Johnson Stravenue, South Danielview, SC 30766</t>
        </is>
      </c>
      <c r="F365" s="2" t="inlineStr">
        <is>
          <t>Sandersburgh</t>
        </is>
      </c>
      <c r="G365" s="2" t="inlineStr">
        <is>
          <t>British Virgin Islands</t>
        </is>
      </c>
      <c r="H365" s="2" t="inlineStr">
        <is>
          <t>many</t>
        </is>
      </c>
      <c r="I365" t="inlineStr">
        <is>
          <t>can</t>
        </is>
      </c>
    </row>
    <row r="366">
      <c r="A366" s="2" t="inlineStr">
        <is>
          <t>C6562</t>
        </is>
      </c>
      <c r="B366" s="2" t="inlineStr">
        <is>
          <t>Natalie Rios</t>
        </is>
      </c>
      <c r="C366" s="2" t="inlineStr">
        <is>
          <t>markrice@hotmail.com</t>
        </is>
      </c>
      <c r="D366" s="2" t="inlineStr">
        <is>
          <t>566-100-1561</t>
        </is>
      </c>
      <c r="E366" s="2" t="inlineStr">
        <is>
          <t>462 Stephanie Point, Turnertown, CA 12321</t>
        </is>
      </c>
      <c r="F366" s="2" t="inlineStr">
        <is>
          <t>East Craigstad</t>
        </is>
      </c>
      <c r="G366" s="2" t="inlineStr">
        <is>
          <t>Kiribati</t>
        </is>
      </c>
      <c r="H366" s="2" t="inlineStr">
        <is>
          <t>contain</t>
        </is>
      </c>
      <c r="I366" t="inlineStr">
        <is>
          <t>according</t>
        </is>
      </c>
    </row>
    <row r="367">
      <c r="A367" s="2" t="inlineStr">
        <is>
          <t>C7245</t>
        </is>
      </c>
      <c r="B367" s="2" t="inlineStr">
        <is>
          <t>Jodi Hogan</t>
        </is>
      </c>
      <c r="C367" s="2" t="inlineStr">
        <is>
          <t>garciajennifer@yates.com</t>
        </is>
      </c>
      <c r="D367" s="2" t="inlineStr">
        <is>
          <t>001-431-044-0758x956</t>
        </is>
      </c>
      <c r="E367" s="2" t="inlineStr">
        <is>
          <t>9513 Lee Avenue Suite 011, New Chadchester, NM 49130</t>
        </is>
      </c>
      <c r="F367" s="2" t="inlineStr">
        <is>
          <t>Andrewchester</t>
        </is>
      </c>
      <c r="G367" s="2" t="inlineStr">
        <is>
          <t>Tokelau</t>
        </is>
      </c>
      <c r="H367" s="2" t="inlineStr">
        <is>
          <t>exist</t>
        </is>
      </c>
      <c r="I367" t="inlineStr">
        <is>
          <t>couple</t>
        </is>
      </c>
    </row>
    <row r="368">
      <c r="A368" s="2" t="inlineStr">
        <is>
          <t>C8681</t>
        </is>
      </c>
      <c r="B368" s="2" t="inlineStr">
        <is>
          <t>William Le</t>
        </is>
      </c>
      <c r="C368" s="2" t="inlineStr">
        <is>
          <t>ryan50@yahoo.com</t>
        </is>
      </c>
      <c r="D368" s="2" t="inlineStr">
        <is>
          <t>593-125-8023</t>
        </is>
      </c>
      <c r="E368" s="2" t="inlineStr">
        <is>
          <t>7734 Wright Isle Suite 271, Danielmouth, KY 35303</t>
        </is>
      </c>
      <c r="F368" s="2" t="inlineStr">
        <is>
          <t>Frankchester</t>
        </is>
      </c>
      <c r="G368" s="2" t="inlineStr">
        <is>
          <t>India</t>
        </is>
      </c>
      <c r="H368" s="2" t="inlineStr">
        <is>
          <t>contain</t>
        </is>
      </c>
      <c r="I368" t="inlineStr">
        <is>
          <t>week</t>
        </is>
      </c>
    </row>
    <row r="369">
      <c r="A369" s="2" t="inlineStr">
        <is>
          <t>C4465</t>
        </is>
      </c>
      <c r="B369" s="2" t="inlineStr">
        <is>
          <t>James Day</t>
        </is>
      </c>
      <c r="C369" s="2" t="inlineStr">
        <is>
          <t>zhill@johnson-williams.org</t>
        </is>
      </c>
      <c r="D369" s="2" t="inlineStr">
        <is>
          <t>+1-964-636-8343x68038</t>
        </is>
      </c>
      <c r="E369" s="2" t="inlineStr">
        <is>
          <t>1341 Monica Path Apt. 322, Fosterville, KY 81208</t>
        </is>
      </c>
      <c r="F369" s="2" t="inlineStr">
        <is>
          <t>Reginaborough</t>
        </is>
      </c>
      <c r="G369" s="2" t="inlineStr">
        <is>
          <t>Spain</t>
        </is>
      </c>
      <c r="H369" s="2" t="inlineStr">
        <is>
          <t>at</t>
        </is>
      </c>
      <c r="I369" t="inlineStr">
        <is>
          <t>act</t>
        </is>
      </c>
    </row>
    <row r="370">
      <c r="A370" s="2" t="inlineStr">
        <is>
          <t>C3590</t>
        </is>
      </c>
      <c r="B370" s="2" t="inlineStr">
        <is>
          <t>Kristine Perry MD</t>
        </is>
      </c>
      <c r="C370" s="2" t="inlineStr">
        <is>
          <t>geraldmoreno@yahoo.com</t>
        </is>
      </c>
      <c r="D370" s="2" t="inlineStr">
        <is>
          <t>+1-715-781-5734x727</t>
        </is>
      </c>
      <c r="E370" s="2" t="inlineStr">
        <is>
          <t>840 Sandra Mission Suite 144, Gallegosside, CT 20965</t>
        </is>
      </c>
      <c r="F370" s="2" t="inlineStr">
        <is>
          <t>Brownside</t>
        </is>
      </c>
      <c r="G370" s="2" t="inlineStr">
        <is>
          <t>United States of America</t>
        </is>
      </c>
      <c r="H370" s="2" t="inlineStr">
        <is>
          <t>development</t>
        </is>
      </c>
      <c r="I370" t="inlineStr">
        <is>
          <t>determine</t>
        </is>
      </c>
    </row>
    <row r="371">
      <c r="A371" s="2" t="inlineStr">
        <is>
          <t>C1767</t>
        </is>
      </c>
      <c r="B371" s="2" t="inlineStr">
        <is>
          <t>Robert Martin Jr.</t>
        </is>
      </c>
      <c r="C371" s="2" t="inlineStr">
        <is>
          <t>smithtiffany@hotmail.com</t>
        </is>
      </c>
      <c r="D371" s="2" t="inlineStr">
        <is>
          <t>195-601-9228x05457</t>
        </is>
      </c>
      <c r="E371" s="2" t="inlineStr">
        <is>
          <t>24686 Sandra Brooks Suite 993, Brownburgh, CO 75841</t>
        </is>
      </c>
      <c r="F371" s="2" t="inlineStr">
        <is>
          <t>East Jeffreyland</t>
        </is>
      </c>
      <c r="G371" s="2" t="inlineStr">
        <is>
          <t>Ireland</t>
        </is>
      </c>
      <c r="H371" s="2" t="inlineStr">
        <is>
          <t>thing</t>
        </is>
      </c>
      <c r="I371" t="inlineStr">
        <is>
          <t>report</t>
        </is>
      </c>
    </row>
    <row r="372">
      <c r="A372" s="2" t="inlineStr">
        <is>
          <t>C6541</t>
        </is>
      </c>
      <c r="B372" s="2" t="inlineStr">
        <is>
          <t>Joseph Morris</t>
        </is>
      </c>
      <c r="C372" s="2" t="inlineStr">
        <is>
          <t>vtaylor@yahoo.com</t>
        </is>
      </c>
      <c r="D372" s="2" t="inlineStr">
        <is>
          <t>159.663.9346x984</t>
        </is>
      </c>
      <c r="E372" s="2" t="inlineStr">
        <is>
          <t>38477 Lori Drives Suite 049, Port Davidside, CT 08073</t>
        </is>
      </c>
      <c r="F372" s="2" t="inlineStr">
        <is>
          <t>Stacyville</t>
        </is>
      </c>
      <c r="G372" s="2" t="inlineStr">
        <is>
          <t>Falkland Islands (Malvinas)</t>
        </is>
      </c>
      <c r="H372" s="2" t="inlineStr">
        <is>
          <t>from</t>
        </is>
      </c>
      <c r="I372" t="inlineStr">
        <is>
          <t>role</t>
        </is>
      </c>
    </row>
    <row r="373">
      <c r="A373" s="2" t="inlineStr">
        <is>
          <t>C9488</t>
        </is>
      </c>
      <c r="B373" s="2" t="inlineStr">
        <is>
          <t>Catherine Brown</t>
        </is>
      </c>
      <c r="C373" s="2" t="inlineStr">
        <is>
          <t>lopezcathy@gmail.com</t>
        </is>
      </c>
      <c r="D373" s="2" t="inlineStr">
        <is>
          <t>095.538.4809x409</t>
        </is>
      </c>
      <c r="E373" s="2" t="inlineStr">
        <is>
          <t>3501 Ramsey Throughway Suite 572, Madelineshire, OK 08416</t>
        </is>
      </c>
      <c r="F373" s="2" t="inlineStr">
        <is>
          <t>Elijahtown</t>
        </is>
      </c>
      <c r="G373" s="2" t="inlineStr">
        <is>
          <t>Palau</t>
        </is>
      </c>
      <c r="H373" s="2" t="inlineStr">
        <is>
          <t>yourself</t>
        </is>
      </c>
      <c r="I373" t="inlineStr">
        <is>
          <t>show</t>
        </is>
      </c>
    </row>
    <row r="374">
      <c r="A374" s="2" t="inlineStr">
        <is>
          <t>C4387</t>
        </is>
      </c>
      <c r="B374" s="2" t="inlineStr">
        <is>
          <t>Kyle Gill</t>
        </is>
      </c>
      <c r="C374" s="2" t="inlineStr">
        <is>
          <t>washingtonscott@potter-wright.org</t>
        </is>
      </c>
      <c r="D374" s="2" t="inlineStr">
        <is>
          <t>6249244464</t>
        </is>
      </c>
      <c r="E374" s="2" t="inlineStr">
        <is>
          <t>55190 Robert Turnpike, New Michelle, LA 10964</t>
        </is>
      </c>
      <c r="F374" s="2" t="inlineStr">
        <is>
          <t>Daleport</t>
        </is>
      </c>
      <c r="G374" s="2" t="inlineStr">
        <is>
          <t>Suriname</t>
        </is>
      </c>
      <c r="H374" s="2" t="inlineStr">
        <is>
          <t>guy</t>
        </is>
      </c>
      <c r="I374" t="inlineStr">
        <is>
          <t>whether</t>
        </is>
      </c>
    </row>
    <row r="375">
      <c r="A375" s="2" t="inlineStr">
        <is>
          <t>C7524</t>
        </is>
      </c>
      <c r="B375" s="2" t="inlineStr">
        <is>
          <t>Jennifer Pacheco</t>
        </is>
      </c>
      <c r="C375" s="2" t="inlineStr">
        <is>
          <t>yanderson@bentley.com</t>
        </is>
      </c>
      <c r="D375" s="2" t="inlineStr">
        <is>
          <t>043.819.0550</t>
        </is>
      </c>
      <c r="E375" s="2" t="inlineStr">
        <is>
          <t>3714 Brown Shores, Port Dakota, AZ 06653</t>
        </is>
      </c>
      <c r="F375" s="2" t="inlineStr">
        <is>
          <t>New Jorge</t>
        </is>
      </c>
      <c r="G375" s="2" t="inlineStr">
        <is>
          <t>Afghanistan</t>
        </is>
      </c>
      <c r="H375" s="2" t="inlineStr">
        <is>
          <t>future</t>
        </is>
      </c>
      <c r="I375" t="inlineStr">
        <is>
          <t>coach</t>
        </is>
      </c>
    </row>
    <row r="376">
      <c r="A376" s="2" t="inlineStr">
        <is>
          <t>C6738</t>
        </is>
      </c>
      <c r="B376" s="2" t="inlineStr">
        <is>
          <t>Tony Williams</t>
        </is>
      </c>
      <c r="C376" s="2" t="inlineStr">
        <is>
          <t>montoyalisa@yahoo.com</t>
        </is>
      </c>
      <c r="D376" s="2" t="inlineStr">
        <is>
          <t>436-843-7689</t>
        </is>
      </c>
      <c r="E376" s="2" t="inlineStr">
        <is>
          <t>130 Desiree Gateway Suite 999, West Sarahport, VT 19780</t>
        </is>
      </c>
      <c r="F376" s="2" t="inlineStr">
        <is>
          <t>South Jasonport</t>
        </is>
      </c>
      <c r="G376" s="2" t="inlineStr">
        <is>
          <t>Lithuania</t>
        </is>
      </c>
      <c r="H376" s="2" t="inlineStr">
        <is>
          <t>get</t>
        </is>
      </c>
      <c r="I376" t="inlineStr">
        <is>
          <t>member</t>
        </is>
      </c>
    </row>
    <row r="377">
      <c r="A377" s="2" t="inlineStr">
        <is>
          <t>C9514</t>
        </is>
      </c>
      <c r="B377" s="2" t="inlineStr">
        <is>
          <t>Allison Nash</t>
        </is>
      </c>
      <c r="C377" s="2" t="inlineStr">
        <is>
          <t>kelly35@meyers.com</t>
        </is>
      </c>
      <c r="D377" s="2" t="inlineStr">
        <is>
          <t>0679856520</t>
        </is>
      </c>
      <c r="E377" s="2" t="inlineStr">
        <is>
          <t>942 James Plains, West Noahport, MI 31508</t>
        </is>
      </c>
      <c r="F377" s="2" t="inlineStr">
        <is>
          <t>East Erica</t>
        </is>
      </c>
      <c r="G377" s="2" t="inlineStr">
        <is>
          <t>Saint Kitts and Nevis</t>
        </is>
      </c>
      <c r="H377" s="2" t="inlineStr">
        <is>
          <t>us</t>
        </is>
      </c>
      <c r="I377" t="inlineStr">
        <is>
          <t>tonight</t>
        </is>
      </c>
    </row>
    <row r="378">
      <c r="A378" s="2" t="inlineStr">
        <is>
          <t>C7136</t>
        </is>
      </c>
      <c r="B378" s="2" t="inlineStr">
        <is>
          <t>Benjamin Perry</t>
        </is>
      </c>
      <c r="C378" s="2" t="inlineStr">
        <is>
          <t>karagarcia@yahoo.com</t>
        </is>
      </c>
      <c r="D378" s="2" t="inlineStr">
        <is>
          <t>001-231-060-9211x0867</t>
        </is>
      </c>
      <c r="E378" s="2" t="inlineStr">
        <is>
          <t>9894 Lisa Run, Port Andrew, NM 40355</t>
        </is>
      </c>
      <c r="F378" s="2" t="inlineStr">
        <is>
          <t>Marcuston</t>
        </is>
      </c>
      <c r="G378" s="2" t="inlineStr">
        <is>
          <t>United States Virgin Islands</t>
        </is>
      </c>
      <c r="H378" s="2" t="inlineStr">
        <is>
          <t>remember</t>
        </is>
      </c>
      <c r="I378" t="inlineStr">
        <is>
          <t>once</t>
        </is>
      </c>
    </row>
    <row r="379">
      <c r="A379" s="2" t="inlineStr">
        <is>
          <t>C3780</t>
        </is>
      </c>
      <c r="B379" s="2" t="inlineStr">
        <is>
          <t>Cameron Smith</t>
        </is>
      </c>
      <c r="C379" s="2" t="inlineStr">
        <is>
          <t>orosario@mcguire.com</t>
        </is>
      </c>
      <c r="D379" s="2" t="inlineStr">
        <is>
          <t>679-495-7740x41034</t>
        </is>
      </c>
      <c r="E379" s="2" t="inlineStr">
        <is>
          <t>3958 Glenn Bridge Suite 939, Olsonhaven, SD 42109</t>
        </is>
      </c>
      <c r="F379" s="2" t="inlineStr">
        <is>
          <t>Obrienburgh</t>
        </is>
      </c>
      <c r="G379" s="2" t="inlineStr">
        <is>
          <t>Sao Tome and Principe</t>
        </is>
      </c>
      <c r="H379" s="2" t="inlineStr">
        <is>
          <t>wish</t>
        </is>
      </c>
      <c r="I379" t="inlineStr">
        <is>
          <t>mission</t>
        </is>
      </c>
    </row>
    <row r="380">
      <c r="A380" s="2" t="inlineStr">
        <is>
          <t>C2198</t>
        </is>
      </c>
      <c r="B380" s="2" t="inlineStr">
        <is>
          <t>Thomas Wood</t>
        </is>
      </c>
      <c r="C380" s="2" t="inlineStr">
        <is>
          <t>kathryngriffith@hotmail.com</t>
        </is>
      </c>
      <c r="D380" s="2" t="inlineStr">
        <is>
          <t>880-087-6914x81324</t>
        </is>
      </c>
      <c r="E380" s="2" t="inlineStr">
        <is>
          <t>6295 Cody Burg Suite 126, Gabrielleshire, SC 04101</t>
        </is>
      </c>
      <c r="F380" s="2" t="inlineStr">
        <is>
          <t>Nealview</t>
        </is>
      </c>
      <c r="G380" s="2" t="inlineStr">
        <is>
          <t>Sri Lanka</t>
        </is>
      </c>
      <c r="H380" s="2" t="inlineStr">
        <is>
          <t>listen</t>
        </is>
      </c>
      <c r="I380" t="inlineStr">
        <is>
          <t>memory</t>
        </is>
      </c>
    </row>
    <row r="381">
      <c r="A381" s="2" t="inlineStr">
        <is>
          <t>C8487</t>
        </is>
      </c>
      <c r="B381" s="2" t="inlineStr">
        <is>
          <t>Amanda Baldwin</t>
        </is>
      </c>
      <c r="C381" s="2" t="inlineStr">
        <is>
          <t>lancehanson@nelson-soto.com</t>
        </is>
      </c>
      <c r="D381" s="2" t="inlineStr">
        <is>
          <t>7528235340</t>
        </is>
      </c>
      <c r="E381" s="2" t="inlineStr">
        <is>
          <t>330 Paul Vista Suite 706, Jonesshire, AR 95381</t>
        </is>
      </c>
      <c r="F381" s="2" t="inlineStr">
        <is>
          <t>Brendafurt</t>
        </is>
      </c>
      <c r="G381" s="2" t="inlineStr">
        <is>
          <t>Taiwan</t>
        </is>
      </c>
      <c r="H381" s="2" t="inlineStr">
        <is>
          <t>expect</t>
        </is>
      </c>
      <c r="I381" t="inlineStr">
        <is>
          <t>project</t>
        </is>
      </c>
    </row>
    <row r="382">
      <c r="A382" s="2" t="inlineStr">
        <is>
          <t>C2464</t>
        </is>
      </c>
      <c r="B382" s="2" t="inlineStr">
        <is>
          <t>Angela Thompson</t>
        </is>
      </c>
      <c r="C382" s="2" t="inlineStr">
        <is>
          <t>xdunn@perry.info</t>
        </is>
      </c>
      <c r="D382" s="2" t="inlineStr">
        <is>
          <t>972.384.7268x3400</t>
        </is>
      </c>
      <c r="E382" s="2" t="inlineStr">
        <is>
          <t>71470 Castro Shoals, North Brendamouth, WA 31790</t>
        </is>
      </c>
      <c r="F382" s="2" t="inlineStr">
        <is>
          <t>East Patrick</t>
        </is>
      </c>
      <c r="G382" s="2" t="inlineStr">
        <is>
          <t>Greece</t>
        </is>
      </c>
      <c r="H382" s="2" t="inlineStr">
        <is>
          <t>believe</t>
        </is>
      </c>
      <c r="I382" t="inlineStr">
        <is>
          <t>game</t>
        </is>
      </c>
    </row>
    <row r="383">
      <c r="A383" s="2" t="inlineStr">
        <is>
          <t>C7103</t>
        </is>
      </c>
      <c r="B383" s="2" t="inlineStr">
        <is>
          <t>Randy Lee</t>
        </is>
      </c>
      <c r="C383" s="2" t="inlineStr">
        <is>
          <t>calvarado@graves.com</t>
        </is>
      </c>
      <c r="D383" s="2" t="inlineStr">
        <is>
          <t>+1-384-709-9138x096</t>
        </is>
      </c>
      <c r="E383" s="2" t="inlineStr">
        <is>
          <t>7718 Kayla Isle Suite 770, Christopherfort, AR 54856</t>
        </is>
      </c>
      <c r="F383" s="2" t="inlineStr">
        <is>
          <t>Pamelaville</t>
        </is>
      </c>
      <c r="G383" s="2" t="inlineStr">
        <is>
          <t>Korea</t>
        </is>
      </c>
      <c r="H383" s="2" t="inlineStr">
        <is>
          <t>member</t>
        </is>
      </c>
      <c r="I383" t="inlineStr">
        <is>
          <t>which</t>
        </is>
      </c>
    </row>
    <row r="384">
      <c r="A384" s="2" t="inlineStr">
        <is>
          <t>C6639</t>
        </is>
      </c>
      <c r="B384" s="2" t="inlineStr">
        <is>
          <t>Rebecca Jenkins</t>
        </is>
      </c>
      <c r="C384" s="2" t="inlineStr">
        <is>
          <t>bradleykyle@hotmail.com</t>
        </is>
      </c>
      <c r="D384" s="2" t="inlineStr">
        <is>
          <t>(834)927-5941x05247</t>
        </is>
      </c>
      <c r="E384" s="2" t="inlineStr">
        <is>
          <t>786 Taylor Harbors Apt. 844, North Anna, KY 26380</t>
        </is>
      </c>
      <c r="F384" s="2" t="inlineStr">
        <is>
          <t>New Mary</t>
        </is>
      </c>
      <c r="G384" s="2" t="inlineStr">
        <is>
          <t>Cyprus</t>
        </is>
      </c>
      <c r="H384" s="2" t="inlineStr">
        <is>
          <t>look</t>
        </is>
      </c>
      <c r="I384" t="inlineStr">
        <is>
          <t>experience</t>
        </is>
      </c>
    </row>
    <row r="385">
      <c r="A385" s="2" t="inlineStr">
        <is>
          <t>C5771</t>
        </is>
      </c>
      <c r="B385" s="2" t="inlineStr">
        <is>
          <t>Tanya Sharp</t>
        </is>
      </c>
      <c r="C385" s="2" t="inlineStr">
        <is>
          <t>oliviawallace@cox.org</t>
        </is>
      </c>
      <c r="D385" s="2" t="inlineStr">
        <is>
          <t>(338)113-4629x31471</t>
        </is>
      </c>
      <c r="E385" s="2" t="inlineStr">
        <is>
          <t>793 Riley Heights, Lucasmouth, MO 91705</t>
        </is>
      </c>
      <c r="F385" s="2" t="inlineStr">
        <is>
          <t>Cheryltown</t>
        </is>
      </c>
      <c r="G385" s="2" t="inlineStr">
        <is>
          <t>Cocos (Keeling) Islands</t>
        </is>
      </c>
      <c r="H385" s="2" t="inlineStr">
        <is>
          <t>partner</t>
        </is>
      </c>
      <c r="I385" t="inlineStr">
        <is>
          <t>sister</t>
        </is>
      </c>
    </row>
    <row r="386">
      <c r="A386" s="2" t="inlineStr">
        <is>
          <t>C6607</t>
        </is>
      </c>
      <c r="B386" s="2" t="inlineStr">
        <is>
          <t>Jason Mcknight</t>
        </is>
      </c>
      <c r="C386" s="2" t="inlineStr">
        <is>
          <t>richardkidd@warner.info</t>
        </is>
      </c>
      <c r="D386" s="2" t="inlineStr">
        <is>
          <t>+1-851-767-6203x660</t>
        </is>
      </c>
      <c r="E386" s="2" t="inlineStr">
        <is>
          <t>813 Stark Vista Suite 172, Santiagoport, MS 24344</t>
        </is>
      </c>
      <c r="F386" s="2" t="inlineStr">
        <is>
          <t>Reginaldfort</t>
        </is>
      </c>
      <c r="G386" s="2" t="inlineStr">
        <is>
          <t>Lebanon</t>
        </is>
      </c>
      <c r="H386" s="2" t="inlineStr">
        <is>
          <t>trade</t>
        </is>
      </c>
      <c r="I386" t="inlineStr">
        <is>
          <t>election</t>
        </is>
      </c>
    </row>
    <row r="387">
      <c r="A387" s="2" t="inlineStr">
        <is>
          <t>C6814</t>
        </is>
      </c>
      <c r="B387" s="2" t="inlineStr">
        <is>
          <t>Matthew Boyd</t>
        </is>
      </c>
      <c r="C387" s="2" t="inlineStr">
        <is>
          <t>chapmanjames@gomez-santos.org</t>
        </is>
      </c>
      <c r="D387" s="2" t="inlineStr">
        <is>
          <t>+1-141-089-5072x1025</t>
        </is>
      </c>
      <c r="E387" s="2" t="inlineStr">
        <is>
          <t>620 Maria Brooks, Justinport, AR 73225</t>
        </is>
      </c>
      <c r="F387" s="2" t="inlineStr">
        <is>
          <t>New Kimberlyland</t>
        </is>
      </c>
      <c r="G387" s="2" t="inlineStr">
        <is>
          <t>Korea</t>
        </is>
      </c>
      <c r="H387" s="2" t="inlineStr">
        <is>
          <t>arm</t>
        </is>
      </c>
      <c r="I387" t="inlineStr">
        <is>
          <t>trade</t>
        </is>
      </c>
    </row>
    <row r="388">
      <c r="A388" s="2" t="inlineStr">
        <is>
          <t>C5599</t>
        </is>
      </c>
      <c r="B388" s="2" t="inlineStr">
        <is>
          <t>Melissa Mcdonald</t>
        </is>
      </c>
      <c r="C388" s="2" t="inlineStr">
        <is>
          <t>renee02@hotmail.com</t>
        </is>
      </c>
      <c r="D388" s="2" t="inlineStr">
        <is>
          <t>(452)113-8647</t>
        </is>
      </c>
      <c r="E388" s="2" t="inlineStr">
        <is>
          <t>6951 Smith Row, Evansmouth, MT 75588</t>
        </is>
      </c>
      <c r="F388" s="2" t="inlineStr">
        <is>
          <t>Kimberlymouth</t>
        </is>
      </c>
      <c r="G388" s="2" t="inlineStr">
        <is>
          <t>Isle of Man</t>
        </is>
      </c>
      <c r="H388" s="2" t="inlineStr">
        <is>
          <t>source</t>
        </is>
      </c>
      <c r="I388" t="inlineStr">
        <is>
          <t>answer</t>
        </is>
      </c>
    </row>
    <row r="389">
      <c r="A389" s="2" t="inlineStr">
        <is>
          <t>C7637</t>
        </is>
      </c>
      <c r="B389" s="2" t="inlineStr">
        <is>
          <t>Dennis Chapman</t>
        </is>
      </c>
      <c r="C389" s="2" t="inlineStr">
        <is>
          <t>qwalker@yahoo.com</t>
        </is>
      </c>
      <c r="D389" s="2" t="inlineStr">
        <is>
          <t>993.052.4874x977</t>
        </is>
      </c>
      <c r="E389" s="2" t="inlineStr">
        <is>
          <t>8252 Townsend Ferry Suite 681, Lake Ronaldburgh, MD 40172</t>
        </is>
      </c>
      <c r="F389" s="2" t="inlineStr">
        <is>
          <t>Waynemouth</t>
        </is>
      </c>
      <c r="G389" s="2" t="inlineStr">
        <is>
          <t>Rwanda</t>
        </is>
      </c>
      <c r="H389" s="2" t="inlineStr">
        <is>
          <t>movement</t>
        </is>
      </c>
      <c r="I389" t="inlineStr">
        <is>
          <t>improve</t>
        </is>
      </c>
    </row>
    <row r="390">
      <c r="A390" s="2" t="inlineStr">
        <is>
          <t>C1046</t>
        </is>
      </c>
      <c r="B390" s="2" t="inlineStr">
        <is>
          <t>William Harper</t>
        </is>
      </c>
      <c r="C390" s="2" t="inlineStr">
        <is>
          <t>lawsonryan@yahoo.com</t>
        </is>
      </c>
      <c r="D390" s="2" t="inlineStr">
        <is>
          <t>853-062-5949</t>
        </is>
      </c>
      <c r="E390" s="2" t="inlineStr">
        <is>
          <t>552 Antonio Shoals Apt. 750, Jennabury, PA 51681</t>
        </is>
      </c>
      <c r="F390" s="2" t="inlineStr">
        <is>
          <t>Port Amandashire</t>
        </is>
      </c>
      <c r="G390" s="2" t="inlineStr">
        <is>
          <t>Dominica</t>
        </is>
      </c>
      <c r="H390" s="2" t="inlineStr">
        <is>
          <t>news</t>
        </is>
      </c>
      <c r="I390" t="inlineStr">
        <is>
          <t>realize</t>
        </is>
      </c>
    </row>
    <row r="391">
      <c r="A391" s="2" t="inlineStr">
        <is>
          <t>C4875</t>
        </is>
      </c>
      <c r="B391" s="2" t="inlineStr">
        <is>
          <t>Lauren Wilson</t>
        </is>
      </c>
      <c r="C391" s="2" t="inlineStr">
        <is>
          <t>popekimberly@moody.com</t>
        </is>
      </c>
      <c r="D391" s="2" t="inlineStr">
        <is>
          <t>+1-532-571-3048</t>
        </is>
      </c>
      <c r="E391" s="2" t="inlineStr">
        <is>
          <t>267 Hamilton Loop Apt. 477, Liufurt, MD 49685</t>
        </is>
      </c>
      <c r="F391" s="2" t="inlineStr">
        <is>
          <t>Brookechester</t>
        </is>
      </c>
      <c r="G391" s="2" t="inlineStr">
        <is>
          <t>Oman</t>
        </is>
      </c>
      <c r="H391" s="2" t="inlineStr">
        <is>
          <t>never</t>
        </is>
      </c>
      <c r="I391" t="inlineStr">
        <is>
          <t>baby</t>
        </is>
      </c>
    </row>
    <row r="392">
      <c r="A392" s="2" t="inlineStr">
        <is>
          <t>C6150</t>
        </is>
      </c>
      <c r="B392" s="2" t="inlineStr">
        <is>
          <t>Dr. Leslie Sandoval</t>
        </is>
      </c>
      <c r="C392" s="2" t="inlineStr">
        <is>
          <t>millerterri@gmail.com</t>
        </is>
      </c>
      <c r="D392" s="2" t="inlineStr">
        <is>
          <t>8233897182</t>
        </is>
      </c>
      <c r="E392" s="2" t="inlineStr">
        <is>
          <t>8837 Richards Streets, South Derrick, SC 76445</t>
        </is>
      </c>
      <c r="F392" s="2" t="inlineStr">
        <is>
          <t>Alexanderland</t>
        </is>
      </c>
      <c r="G392" s="2" t="inlineStr">
        <is>
          <t>Puerto Rico</t>
        </is>
      </c>
      <c r="H392" s="2" t="inlineStr">
        <is>
          <t>government</t>
        </is>
      </c>
      <c r="I392" t="inlineStr">
        <is>
          <t>pretty</t>
        </is>
      </c>
    </row>
    <row r="393">
      <c r="A393" s="2" t="inlineStr">
        <is>
          <t>C5193</t>
        </is>
      </c>
      <c r="B393" s="2" t="inlineStr">
        <is>
          <t>Jennifer Craig</t>
        </is>
      </c>
      <c r="C393" s="2" t="inlineStr">
        <is>
          <t>carlalawrence@johnson-simmons.org</t>
        </is>
      </c>
      <c r="D393" s="2" t="inlineStr">
        <is>
          <t>0507800614</t>
        </is>
      </c>
      <c r="E393" s="2" t="inlineStr">
        <is>
          <t>274 Meyer Track, New Tony, ID 40781</t>
        </is>
      </c>
      <c r="F393" s="2" t="inlineStr">
        <is>
          <t>Bryanmouth</t>
        </is>
      </c>
      <c r="G393" s="2" t="inlineStr">
        <is>
          <t>Saint Kitts and Nevis</t>
        </is>
      </c>
      <c r="H393" s="2" t="inlineStr">
        <is>
          <t>condition</t>
        </is>
      </c>
      <c r="I393" t="inlineStr">
        <is>
          <t>race</t>
        </is>
      </c>
    </row>
    <row r="394">
      <c r="A394" s="2" t="inlineStr">
        <is>
          <t>C8587</t>
        </is>
      </c>
      <c r="B394" s="2" t="inlineStr">
        <is>
          <t>Adam Cuevas</t>
        </is>
      </c>
      <c r="C394" s="2" t="inlineStr">
        <is>
          <t>travis11@kelly.com</t>
        </is>
      </c>
      <c r="D394" s="2" t="inlineStr">
        <is>
          <t>001-836-138-4098</t>
        </is>
      </c>
      <c r="E394" s="2" t="inlineStr">
        <is>
          <t>41089 Bradley Points Suite 030, West Kara, MO 59208</t>
        </is>
      </c>
      <c r="F394" s="2" t="inlineStr">
        <is>
          <t>West Troyburgh</t>
        </is>
      </c>
      <c r="G394" s="2" t="inlineStr">
        <is>
          <t>Saint Barthelemy</t>
        </is>
      </c>
      <c r="H394" s="2" t="inlineStr">
        <is>
          <t>wall</t>
        </is>
      </c>
      <c r="I394" t="inlineStr">
        <is>
          <t>ago</t>
        </is>
      </c>
    </row>
    <row r="395">
      <c r="A395" s="2" t="inlineStr">
        <is>
          <t>C5639</t>
        </is>
      </c>
      <c r="B395" s="2" t="inlineStr">
        <is>
          <t>Stephen Evans</t>
        </is>
      </c>
      <c r="C395" s="2" t="inlineStr">
        <is>
          <t>lacey88@nixon.net</t>
        </is>
      </c>
      <c r="D395" s="2" t="inlineStr">
        <is>
          <t>001-608-521-9302x05949</t>
        </is>
      </c>
      <c r="E395" s="2" t="inlineStr">
        <is>
          <t>3091 Robinson Lock Apt. 980, Glasschester, KY 09241</t>
        </is>
      </c>
      <c r="F395" s="2" t="inlineStr">
        <is>
          <t>South Cameron</t>
        </is>
      </c>
      <c r="G395" s="2" t="inlineStr">
        <is>
          <t>Burundi</t>
        </is>
      </c>
      <c r="H395" s="2" t="inlineStr">
        <is>
          <t>region</t>
        </is>
      </c>
      <c r="I395" t="inlineStr">
        <is>
          <t>decide</t>
        </is>
      </c>
    </row>
    <row r="396">
      <c r="A396" s="2" t="inlineStr">
        <is>
          <t>C4341</t>
        </is>
      </c>
      <c r="B396" s="2" t="inlineStr">
        <is>
          <t>Stephen Farmer MD</t>
        </is>
      </c>
      <c r="C396" s="2" t="inlineStr">
        <is>
          <t>ashleywerner@hotmail.com</t>
        </is>
      </c>
      <c r="D396" s="2" t="inlineStr">
        <is>
          <t>1945270167</t>
        </is>
      </c>
      <c r="E396" s="2" t="inlineStr">
        <is>
          <t>5989 Wallace Radial, South Rickyshire, DC 44727</t>
        </is>
      </c>
      <c r="F396" s="2" t="inlineStr">
        <is>
          <t>Lake Shannonmouth</t>
        </is>
      </c>
      <c r="G396" s="2" t="inlineStr">
        <is>
          <t>Bahamas</t>
        </is>
      </c>
      <c r="H396" s="2" t="inlineStr">
        <is>
          <t>hold</t>
        </is>
      </c>
      <c r="I396" t="inlineStr">
        <is>
          <t>over</t>
        </is>
      </c>
    </row>
    <row r="397">
      <c r="A397" s="2" t="inlineStr">
        <is>
          <t>C5818</t>
        </is>
      </c>
      <c r="B397" s="2" t="inlineStr">
        <is>
          <t>Jennifer Baxter</t>
        </is>
      </c>
      <c r="C397" s="2" t="inlineStr">
        <is>
          <t>jalvarez@hotmail.com</t>
        </is>
      </c>
      <c r="D397" s="2" t="inlineStr">
        <is>
          <t>001-801-039-5418</t>
        </is>
      </c>
      <c r="E397" s="2" t="inlineStr">
        <is>
          <t>66352 Lauren Courts Suite 779, Ayersview, MT 02994</t>
        </is>
      </c>
      <c r="F397" s="2" t="inlineStr">
        <is>
          <t>Rebeccafort</t>
        </is>
      </c>
      <c r="G397" s="2" t="inlineStr">
        <is>
          <t>Guyana</t>
        </is>
      </c>
      <c r="H397" s="2" t="inlineStr">
        <is>
          <t>discuss</t>
        </is>
      </c>
      <c r="I397" t="inlineStr">
        <is>
          <t>tough</t>
        </is>
      </c>
    </row>
    <row r="398">
      <c r="A398" s="2" t="inlineStr">
        <is>
          <t>C2260</t>
        </is>
      </c>
      <c r="B398" s="2" t="inlineStr">
        <is>
          <t>Zachary Casey</t>
        </is>
      </c>
      <c r="C398" s="2" t="inlineStr">
        <is>
          <t>haley32@brown.com</t>
        </is>
      </c>
      <c r="D398" s="2" t="inlineStr">
        <is>
          <t>(253)677-5160</t>
        </is>
      </c>
      <c r="E398" s="2" t="inlineStr">
        <is>
          <t>61974 Harrison Shores Apt. 838, New Shannon, ND 65792</t>
        </is>
      </c>
      <c r="F398" s="2" t="inlineStr">
        <is>
          <t>Christophermouth</t>
        </is>
      </c>
      <c r="G398" s="2" t="inlineStr">
        <is>
          <t>Bangladesh</t>
        </is>
      </c>
      <c r="H398" s="2" t="inlineStr">
        <is>
          <t>whom</t>
        </is>
      </c>
      <c r="I398" t="inlineStr">
        <is>
          <t>minute</t>
        </is>
      </c>
    </row>
    <row r="399">
      <c r="A399" s="2" t="inlineStr">
        <is>
          <t>C3156</t>
        </is>
      </c>
      <c r="B399" s="2" t="inlineStr">
        <is>
          <t>Dominic Smith</t>
        </is>
      </c>
      <c r="C399" s="2" t="inlineStr">
        <is>
          <t>michelle36@hotmail.com</t>
        </is>
      </c>
      <c r="D399" s="2" t="inlineStr">
        <is>
          <t>(193)052-7847x7118</t>
        </is>
      </c>
      <c r="E399" s="2" t="inlineStr">
        <is>
          <t>3799 Amanda Squares, Vaughanview, ID 78640</t>
        </is>
      </c>
      <c r="F399" s="2" t="inlineStr">
        <is>
          <t>Aprilmouth</t>
        </is>
      </c>
      <c r="G399" s="2" t="inlineStr">
        <is>
          <t>Costa Rica</t>
        </is>
      </c>
      <c r="H399" s="2" t="inlineStr">
        <is>
          <t>body</t>
        </is>
      </c>
      <c r="I399" t="inlineStr">
        <is>
          <t>resource</t>
        </is>
      </c>
    </row>
    <row r="400">
      <c r="A400" s="2" t="inlineStr">
        <is>
          <t>C3221</t>
        </is>
      </c>
      <c r="B400" s="2" t="inlineStr">
        <is>
          <t>Douglas Green</t>
        </is>
      </c>
      <c r="C400" s="2" t="inlineStr">
        <is>
          <t>william64@anderson.info</t>
        </is>
      </c>
      <c r="D400" s="2" t="inlineStr">
        <is>
          <t>(577)288-4937</t>
        </is>
      </c>
      <c r="E400" s="2" t="inlineStr">
        <is>
          <t>887 Pham Light Apt. 386, Natalieport, AR 01517</t>
        </is>
      </c>
      <c r="F400" s="2" t="inlineStr">
        <is>
          <t>Zamoramouth</t>
        </is>
      </c>
      <c r="G400" s="2" t="inlineStr">
        <is>
          <t>American Samoa</t>
        </is>
      </c>
      <c r="H400" s="2" t="inlineStr">
        <is>
          <t>imagine</t>
        </is>
      </c>
      <c r="I400" t="inlineStr">
        <is>
          <t>start</t>
        </is>
      </c>
    </row>
    <row r="401">
      <c r="A401" s="2" t="inlineStr">
        <is>
          <t>C9202</t>
        </is>
      </c>
      <c r="B401" s="2" t="inlineStr">
        <is>
          <t>Susan Frank</t>
        </is>
      </c>
      <c r="C401" s="2" t="inlineStr">
        <is>
          <t>beckerchristopher@vargas.com</t>
        </is>
      </c>
      <c r="D401" s="2" t="inlineStr">
        <is>
          <t>329.661.5917</t>
        </is>
      </c>
      <c r="E401" s="2" t="inlineStr">
        <is>
          <t>6727 Kelly Mission Apt. 153, Vanessashire, KS 05189</t>
        </is>
      </c>
      <c r="F401" s="2" t="inlineStr">
        <is>
          <t>East Lindsayland</t>
        </is>
      </c>
      <c r="G401" s="2" t="inlineStr">
        <is>
          <t>Martinique</t>
        </is>
      </c>
      <c r="H401" s="2" t="inlineStr">
        <is>
          <t>she</t>
        </is>
      </c>
      <c r="I401" t="inlineStr">
        <is>
          <t>happen</t>
        </is>
      </c>
    </row>
    <row r="402">
      <c r="A402" s="2" t="inlineStr">
        <is>
          <t>C9013</t>
        </is>
      </c>
      <c r="B402" s="2" t="inlineStr">
        <is>
          <t>Susan Boyle</t>
        </is>
      </c>
      <c r="C402" s="2" t="inlineStr">
        <is>
          <t>lalvarez@brown.info</t>
        </is>
      </c>
      <c r="D402" s="2" t="inlineStr">
        <is>
          <t>0455314628</t>
        </is>
      </c>
      <c r="E402" s="2" t="inlineStr">
        <is>
          <t>27156 Turner Square, North Carlmouth, MT 26906</t>
        </is>
      </c>
      <c r="F402" s="2" t="inlineStr">
        <is>
          <t>Elizabethmouth</t>
        </is>
      </c>
      <c r="G402" s="2" t="inlineStr">
        <is>
          <t>Burundi</t>
        </is>
      </c>
      <c r="H402" s="2" t="inlineStr">
        <is>
          <t>turn</t>
        </is>
      </c>
      <c r="I402" t="inlineStr">
        <is>
          <t>way</t>
        </is>
      </c>
    </row>
    <row r="403">
      <c r="A403" s="2" t="inlineStr">
        <is>
          <t>C1741</t>
        </is>
      </c>
      <c r="B403" s="2" t="inlineStr">
        <is>
          <t>Donald Smith</t>
        </is>
      </c>
      <c r="C403" s="2" t="inlineStr">
        <is>
          <t>greenamber@yahoo.com</t>
        </is>
      </c>
      <c r="D403" s="2" t="inlineStr">
        <is>
          <t>557.089.2469</t>
        </is>
      </c>
      <c r="E403" s="2" t="inlineStr">
        <is>
          <t>99751 Delgado Crescent, North William, MS 14181</t>
        </is>
      </c>
      <c r="F403" s="2" t="inlineStr">
        <is>
          <t>South Vanessa</t>
        </is>
      </c>
      <c r="G403" s="2" t="inlineStr">
        <is>
          <t>United States Minor Outlying Islands</t>
        </is>
      </c>
      <c r="H403" s="2" t="inlineStr">
        <is>
          <t>bar</t>
        </is>
      </c>
      <c r="I403" t="inlineStr">
        <is>
          <t>even</t>
        </is>
      </c>
    </row>
    <row r="404">
      <c r="A404" s="2" t="inlineStr">
        <is>
          <t>C8459</t>
        </is>
      </c>
      <c r="B404" s="2" t="inlineStr">
        <is>
          <t>Elizabeth Parker</t>
        </is>
      </c>
      <c r="C404" s="2" t="inlineStr">
        <is>
          <t>kevinfischer@griffin.com</t>
        </is>
      </c>
      <c r="D404" s="2" t="inlineStr">
        <is>
          <t>078-090-5386x7283</t>
        </is>
      </c>
      <c r="E404" s="2" t="inlineStr">
        <is>
          <t>8201 Taylor Hollow Apt. 269, Morrisborough, KS 62445</t>
        </is>
      </c>
      <c r="F404" s="2" t="inlineStr">
        <is>
          <t>South Kevin</t>
        </is>
      </c>
      <c r="G404" s="2" t="inlineStr">
        <is>
          <t>Saint Barthelemy</t>
        </is>
      </c>
      <c r="H404" s="2" t="inlineStr">
        <is>
          <t>another</t>
        </is>
      </c>
      <c r="I404" t="inlineStr">
        <is>
          <t>rate</t>
        </is>
      </c>
    </row>
    <row r="405">
      <c r="A405" s="2" t="inlineStr">
        <is>
          <t>C4310</t>
        </is>
      </c>
      <c r="B405" s="2" t="inlineStr">
        <is>
          <t>Stacy Lewis</t>
        </is>
      </c>
      <c r="C405" s="2" t="inlineStr">
        <is>
          <t>leslie19@shaw.biz</t>
        </is>
      </c>
      <c r="D405" s="2" t="inlineStr">
        <is>
          <t>874.542.9462x213</t>
        </is>
      </c>
      <c r="E405" s="2" t="inlineStr">
        <is>
          <t>7641 Aaron Glens Suite 671, Mcleanmouth, FL 39273</t>
        </is>
      </c>
      <c r="F405" s="2" t="inlineStr">
        <is>
          <t>New Charles</t>
        </is>
      </c>
      <c r="G405" s="2" t="inlineStr">
        <is>
          <t>Canada</t>
        </is>
      </c>
      <c r="H405" s="2" t="inlineStr">
        <is>
          <t>these</t>
        </is>
      </c>
      <c r="I405" t="inlineStr">
        <is>
          <t>everything</t>
        </is>
      </c>
    </row>
    <row r="406">
      <c r="A406" s="2" t="inlineStr">
        <is>
          <t>C2746</t>
        </is>
      </c>
      <c r="B406" s="2" t="inlineStr">
        <is>
          <t>John Ross</t>
        </is>
      </c>
      <c r="C406" s="2" t="inlineStr">
        <is>
          <t>andrepatterson@wilkinson-smith.com</t>
        </is>
      </c>
      <c r="D406" s="2" t="inlineStr">
        <is>
          <t>001-850-454-7247x4191</t>
        </is>
      </c>
      <c r="E406" s="2" t="inlineStr">
        <is>
          <t>881 Bradley Skyway, Gregorytown, KS 01762</t>
        </is>
      </c>
      <c r="F406" s="2" t="inlineStr">
        <is>
          <t>South Jessica</t>
        </is>
      </c>
      <c r="G406" s="2" t="inlineStr">
        <is>
          <t>Paraguay</t>
        </is>
      </c>
      <c r="H406" s="2" t="inlineStr">
        <is>
          <t>name</t>
        </is>
      </c>
      <c r="I406" t="inlineStr">
        <is>
          <t>body</t>
        </is>
      </c>
    </row>
    <row r="407">
      <c r="A407" s="2" t="inlineStr">
        <is>
          <t>C1291</t>
        </is>
      </c>
      <c r="B407" s="2" t="inlineStr">
        <is>
          <t>Mason Webster</t>
        </is>
      </c>
      <c r="C407" s="2" t="inlineStr">
        <is>
          <t>gabrielle66@english.com</t>
        </is>
      </c>
      <c r="D407" s="2" t="inlineStr">
        <is>
          <t>+1-879-181-2565x0573</t>
        </is>
      </c>
      <c r="E407" s="2" t="inlineStr">
        <is>
          <t>091 White Falls Apt. 943, Josephport, NE 39925</t>
        </is>
      </c>
      <c r="F407" s="2" t="inlineStr">
        <is>
          <t>Anthonybury</t>
        </is>
      </c>
      <c r="G407" s="2" t="inlineStr">
        <is>
          <t>United Kingdom</t>
        </is>
      </c>
      <c r="H407" s="2" t="inlineStr">
        <is>
          <t>wrong</t>
        </is>
      </c>
      <c r="I407" t="inlineStr">
        <is>
          <t>imagine</t>
        </is>
      </c>
    </row>
    <row r="408">
      <c r="A408" s="2" t="inlineStr">
        <is>
          <t>C3108</t>
        </is>
      </c>
      <c r="B408" s="2" t="inlineStr">
        <is>
          <t>Arthur Petty</t>
        </is>
      </c>
      <c r="C408" s="2" t="inlineStr">
        <is>
          <t>ihernandez@walker.com</t>
        </is>
      </c>
      <c r="D408" s="2" t="inlineStr">
        <is>
          <t>967-980-7213</t>
        </is>
      </c>
      <c r="E408" s="2" t="inlineStr">
        <is>
          <t>385 Weeks Cape Apt. 304, Melissafurt, AR 04305</t>
        </is>
      </c>
      <c r="F408" s="2" t="inlineStr">
        <is>
          <t>Pamelastad</t>
        </is>
      </c>
      <c r="G408" s="2" t="inlineStr">
        <is>
          <t>Panama</t>
        </is>
      </c>
      <c r="H408" s="2" t="inlineStr">
        <is>
          <t>truth</t>
        </is>
      </c>
      <c r="I408" t="inlineStr">
        <is>
          <t>film</t>
        </is>
      </c>
    </row>
    <row r="409">
      <c r="A409" s="2" t="inlineStr">
        <is>
          <t>C6978</t>
        </is>
      </c>
      <c r="B409" s="2" t="inlineStr">
        <is>
          <t>James Wells</t>
        </is>
      </c>
      <c r="C409" s="2" t="inlineStr">
        <is>
          <t>sandrakrueger@morris.org</t>
        </is>
      </c>
      <c r="D409" s="2" t="inlineStr">
        <is>
          <t>(586)223-9721x5254</t>
        </is>
      </c>
      <c r="E409" s="2" t="inlineStr">
        <is>
          <t>5565 Lane Shore Apt. 256, New Juliabury, OR 51546</t>
        </is>
      </c>
      <c r="F409" s="2" t="inlineStr">
        <is>
          <t>East Ruthborough</t>
        </is>
      </c>
      <c r="G409" s="2" t="inlineStr">
        <is>
          <t>Luxembourg</t>
        </is>
      </c>
      <c r="H409" s="2" t="inlineStr">
        <is>
          <t>popular</t>
        </is>
      </c>
      <c r="I409" t="inlineStr">
        <is>
          <t>certainly</t>
        </is>
      </c>
    </row>
    <row r="410">
      <c r="A410" s="2" t="inlineStr">
        <is>
          <t>C4261</t>
        </is>
      </c>
      <c r="B410" s="2" t="inlineStr">
        <is>
          <t>Megan Shannon</t>
        </is>
      </c>
      <c r="C410" s="2" t="inlineStr">
        <is>
          <t>zpalmer@hotmail.com</t>
        </is>
      </c>
      <c r="D410" s="2" t="inlineStr">
        <is>
          <t>321.448.3489</t>
        </is>
      </c>
      <c r="E410" s="2" t="inlineStr">
        <is>
          <t>8271 Kaitlyn Junctions Suite 014, Susanland, DE 95976</t>
        </is>
      </c>
      <c r="F410" s="2" t="inlineStr">
        <is>
          <t>Port Sergioborough</t>
        </is>
      </c>
      <c r="G410" s="2" t="inlineStr">
        <is>
          <t>Aruba</t>
        </is>
      </c>
      <c r="H410" s="2" t="inlineStr">
        <is>
          <t>yard</t>
        </is>
      </c>
      <c r="I410" t="inlineStr">
        <is>
          <t>both</t>
        </is>
      </c>
    </row>
    <row r="411">
      <c r="A411" s="2" t="inlineStr">
        <is>
          <t>C8074</t>
        </is>
      </c>
      <c r="B411" s="2" t="inlineStr">
        <is>
          <t>Jennifer Lambert</t>
        </is>
      </c>
      <c r="C411" s="2" t="inlineStr">
        <is>
          <t>nbrown@schneider.info</t>
        </is>
      </c>
      <c r="D411" s="2" t="inlineStr">
        <is>
          <t>(429)325-9443x4217</t>
        </is>
      </c>
      <c r="E411" s="2" t="inlineStr">
        <is>
          <t>03753 Christine Plain Suite 911, Port Jackson, WV 46144</t>
        </is>
      </c>
      <c r="F411" s="2" t="inlineStr">
        <is>
          <t>East Gloria</t>
        </is>
      </c>
      <c r="G411" s="2" t="inlineStr">
        <is>
          <t>American Samoa</t>
        </is>
      </c>
      <c r="H411" s="2" t="inlineStr">
        <is>
          <t>none</t>
        </is>
      </c>
      <c r="I411" t="inlineStr">
        <is>
          <t>local</t>
        </is>
      </c>
    </row>
    <row r="412">
      <c r="A412" s="2" t="inlineStr">
        <is>
          <t>C2807</t>
        </is>
      </c>
      <c r="B412" s="2" t="inlineStr">
        <is>
          <t>Michael Lopez</t>
        </is>
      </c>
      <c r="C412" s="2" t="inlineStr">
        <is>
          <t>jessicabrown@moss.com</t>
        </is>
      </c>
      <c r="D412" s="2" t="inlineStr">
        <is>
          <t>+1-533-693-2242</t>
        </is>
      </c>
      <c r="E412" s="2" t="inlineStr">
        <is>
          <t>USS Gonzalez, FPO AA 19894</t>
        </is>
      </c>
      <c r="F412" s="2" t="inlineStr">
        <is>
          <t>New Christinaburgh</t>
        </is>
      </c>
      <c r="G412" s="2" t="inlineStr">
        <is>
          <t>Togo</t>
        </is>
      </c>
      <c r="H412" s="2" t="inlineStr">
        <is>
          <t>others</t>
        </is>
      </c>
      <c r="I412" t="inlineStr">
        <is>
          <t>necessary</t>
        </is>
      </c>
    </row>
    <row r="413">
      <c r="A413" s="2" t="inlineStr">
        <is>
          <t>C9119</t>
        </is>
      </c>
      <c r="B413" s="2" t="inlineStr">
        <is>
          <t>Patricia Fisher</t>
        </is>
      </c>
      <c r="C413" s="2" t="inlineStr">
        <is>
          <t>chambersanna@roy.info</t>
        </is>
      </c>
      <c r="D413" s="2" t="inlineStr">
        <is>
          <t>561.256.8729x5297</t>
        </is>
      </c>
      <c r="E413" s="2" t="inlineStr">
        <is>
          <t>9045 Christopher Trace, North Wendy, KS 96006</t>
        </is>
      </c>
      <c r="F413" s="2" t="inlineStr">
        <is>
          <t>Lopezfurt</t>
        </is>
      </c>
      <c r="G413" s="2" t="inlineStr">
        <is>
          <t>Uruguay</t>
        </is>
      </c>
      <c r="H413" s="2" t="inlineStr">
        <is>
          <t>ground</t>
        </is>
      </c>
      <c r="I413" t="inlineStr">
        <is>
          <t>best</t>
        </is>
      </c>
    </row>
    <row r="414">
      <c r="A414" s="2" t="inlineStr">
        <is>
          <t>C1433</t>
        </is>
      </c>
      <c r="B414" s="2" t="inlineStr">
        <is>
          <t>Candace Stark</t>
        </is>
      </c>
      <c r="C414" s="2" t="inlineStr">
        <is>
          <t>curtisadam@stone.net</t>
        </is>
      </c>
      <c r="D414" s="2" t="inlineStr">
        <is>
          <t>997-289-7960x07204</t>
        </is>
      </c>
      <c r="E414" s="2" t="inlineStr">
        <is>
          <t>63674 Perry Place, Stanleyland, SC 58683</t>
        </is>
      </c>
      <c r="F414" s="2" t="inlineStr">
        <is>
          <t>West Shaneport</t>
        </is>
      </c>
      <c r="G414" s="2" t="inlineStr">
        <is>
          <t>Kiribati</t>
        </is>
      </c>
      <c r="H414" s="2" t="inlineStr">
        <is>
          <t>fire</t>
        </is>
      </c>
      <c r="I414" t="inlineStr">
        <is>
          <t>ground</t>
        </is>
      </c>
    </row>
    <row r="415">
      <c r="A415" s="2" t="inlineStr">
        <is>
          <t>C5852</t>
        </is>
      </c>
      <c r="B415" s="2" t="inlineStr">
        <is>
          <t>Melanie Scott</t>
        </is>
      </c>
      <c r="C415" s="2" t="inlineStr">
        <is>
          <t>alexis90@carrillo-knight.org</t>
        </is>
      </c>
      <c r="D415" s="2" t="inlineStr">
        <is>
          <t>310.680.2170</t>
        </is>
      </c>
      <c r="E415" s="2" t="inlineStr">
        <is>
          <t>95036 Clark Locks Suite 001, New Nathanborough, DC 84006</t>
        </is>
      </c>
      <c r="F415" s="2" t="inlineStr">
        <is>
          <t>South Joshua</t>
        </is>
      </c>
      <c r="G415" s="2" t="inlineStr">
        <is>
          <t>Trinidad and Tobago</t>
        </is>
      </c>
      <c r="H415" s="2" t="inlineStr">
        <is>
          <t>citizen</t>
        </is>
      </c>
      <c r="I415" t="inlineStr">
        <is>
          <t>sister</t>
        </is>
      </c>
    </row>
    <row r="416">
      <c r="A416" s="2" t="inlineStr">
        <is>
          <t>C2514</t>
        </is>
      </c>
      <c r="B416" s="2" t="inlineStr">
        <is>
          <t>Philip Hall</t>
        </is>
      </c>
      <c r="C416" s="2" t="inlineStr">
        <is>
          <t>velazquezaaron@gmail.com</t>
        </is>
      </c>
      <c r="D416" s="2" t="inlineStr">
        <is>
          <t>001-845-538-8277</t>
        </is>
      </c>
      <c r="E416" s="2" t="inlineStr">
        <is>
          <t>516 Morgan Island Suite 315, New Rebeccaborough, ME 89387</t>
        </is>
      </c>
      <c r="F416" s="2" t="inlineStr">
        <is>
          <t>South Darrentown</t>
        </is>
      </c>
      <c r="G416" s="2" t="inlineStr">
        <is>
          <t>Gibraltar</t>
        </is>
      </c>
      <c r="H416" s="2" t="inlineStr">
        <is>
          <t>since</t>
        </is>
      </c>
      <c r="I416" t="inlineStr">
        <is>
          <t>local</t>
        </is>
      </c>
    </row>
    <row r="417">
      <c r="A417" s="2" t="inlineStr">
        <is>
          <t>C9618</t>
        </is>
      </c>
      <c r="B417" s="2" t="inlineStr">
        <is>
          <t>Nicole Smith</t>
        </is>
      </c>
      <c r="C417" s="2" t="inlineStr">
        <is>
          <t>cassandramartin@ramsey.com</t>
        </is>
      </c>
      <c r="D417" s="2" t="inlineStr">
        <is>
          <t>009-490-8537</t>
        </is>
      </c>
      <c r="E417" s="2" t="inlineStr">
        <is>
          <t>70564 Eric Branch Suite 261, Lake Scottberg, IN 98516</t>
        </is>
      </c>
      <c r="F417" s="2" t="inlineStr">
        <is>
          <t>Lake Susan</t>
        </is>
      </c>
      <c r="G417" s="2" t="inlineStr">
        <is>
          <t>Cambodia</t>
        </is>
      </c>
      <c r="H417" s="2" t="inlineStr">
        <is>
          <t>turn</t>
        </is>
      </c>
      <c r="I417" t="inlineStr">
        <is>
          <t>partner</t>
        </is>
      </c>
    </row>
    <row r="418">
      <c r="A418" s="2" t="inlineStr">
        <is>
          <t>C5487</t>
        </is>
      </c>
      <c r="B418" s="2" t="inlineStr">
        <is>
          <t>Wanda Wilcox</t>
        </is>
      </c>
      <c r="C418" s="2" t="inlineStr">
        <is>
          <t>hernandeztracey@jensen.info</t>
        </is>
      </c>
      <c r="D418" s="2" t="inlineStr">
        <is>
          <t>9283694226</t>
        </is>
      </c>
      <c r="E418" s="2" t="inlineStr">
        <is>
          <t>30973 James Villages Apt. 131, Mitchellfurt, NH 97103</t>
        </is>
      </c>
      <c r="F418" s="2" t="inlineStr">
        <is>
          <t>Morenoton</t>
        </is>
      </c>
      <c r="G418" s="2" t="inlineStr">
        <is>
          <t>Costa Rica</t>
        </is>
      </c>
      <c r="H418" s="2" t="inlineStr">
        <is>
          <t>none</t>
        </is>
      </c>
      <c r="I418" t="inlineStr">
        <is>
          <t>certain</t>
        </is>
      </c>
    </row>
    <row r="419">
      <c r="A419" s="2" t="inlineStr">
        <is>
          <t>C6121</t>
        </is>
      </c>
      <c r="B419" s="2" t="inlineStr">
        <is>
          <t>Kevin Webb</t>
        </is>
      </c>
      <c r="C419" s="2" t="inlineStr">
        <is>
          <t>alyssa49@daniel.info</t>
        </is>
      </c>
      <c r="D419" s="2" t="inlineStr">
        <is>
          <t>001-594-158-6311x90223</t>
        </is>
      </c>
      <c r="E419" s="2" t="inlineStr">
        <is>
          <t>051 Steven Stream Apt. 879, Port Mary, KY 57846</t>
        </is>
      </c>
      <c r="F419" s="2" t="inlineStr">
        <is>
          <t>South Victoriashire</t>
        </is>
      </c>
      <c r="G419" s="2" t="inlineStr">
        <is>
          <t>Slovakia (Slovak Republic)</t>
        </is>
      </c>
      <c r="H419" s="2" t="inlineStr">
        <is>
          <t>way</t>
        </is>
      </c>
      <c r="I419" t="inlineStr">
        <is>
          <t>involve</t>
        </is>
      </c>
    </row>
    <row r="420">
      <c r="A420" s="2" t="inlineStr">
        <is>
          <t>C6575</t>
        </is>
      </c>
      <c r="B420" s="2" t="inlineStr">
        <is>
          <t>Anne Huerta</t>
        </is>
      </c>
      <c r="C420" s="2" t="inlineStr">
        <is>
          <t>delgadomichael@hendrix.com</t>
        </is>
      </c>
      <c r="D420" s="2" t="inlineStr">
        <is>
          <t>001-635-012-9571</t>
        </is>
      </c>
      <c r="E420" s="2" t="inlineStr">
        <is>
          <t>8299 Anna Lodge Suite 871, South Glendastad, SC 65578</t>
        </is>
      </c>
      <c r="F420" s="2" t="inlineStr">
        <is>
          <t>Lake April</t>
        </is>
      </c>
      <c r="G420" s="2" t="inlineStr">
        <is>
          <t>United States Minor Outlying Islands</t>
        </is>
      </c>
      <c r="H420" s="2" t="inlineStr">
        <is>
          <t>something</t>
        </is>
      </c>
      <c r="I420" t="inlineStr">
        <is>
          <t>bag</t>
        </is>
      </c>
    </row>
    <row r="421">
      <c r="A421" s="2" t="inlineStr">
        <is>
          <t>C5592</t>
        </is>
      </c>
      <c r="B421" s="2" t="inlineStr">
        <is>
          <t>David Sanchez</t>
        </is>
      </c>
      <c r="C421" s="2" t="inlineStr">
        <is>
          <t>edavis@gmail.com</t>
        </is>
      </c>
      <c r="D421" s="2" t="inlineStr">
        <is>
          <t>001-357-295-4299x60351</t>
        </is>
      </c>
      <c r="E421" s="2" t="inlineStr">
        <is>
          <t>44104 Henry Forges, Port Ernestfort, LA 21589</t>
        </is>
      </c>
      <c r="F421" s="2" t="inlineStr">
        <is>
          <t>Dickersonton</t>
        </is>
      </c>
      <c r="G421" s="2" t="inlineStr">
        <is>
          <t>Guernsey</t>
        </is>
      </c>
      <c r="H421" s="2" t="inlineStr">
        <is>
          <t>within</t>
        </is>
      </c>
      <c r="I421" t="inlineStr">
        <is>
          <t>structure</t>
        </is>
      </c>
    </row>
    <row r="422">
      <c r="A422" s="2" t="inlineStr">
        <is>
          <t>C6155</t>
        </is>
      </c>
      <c r="B422" s="2" t="inlineStr">
        <is>
          <t>Melanie Aguilar</t>
        </is>
      </c>
      <c r="C422" s="2" t="inlineStr">
        <is>
          <t>william88@garcia.com</t>
        </is>
      </c>
      <c r="D422" s="2" t="inlineStr">
        <is>
          <t>340.092.4890</t>
        </is>
      </c>
      <c r="E422" s="2" t="inlineStr">
        <is>
          <t>13700 Thomas Plaza Suite 068, South James, WV 45400</t>
        </is>
      </c>
      <c r="F422" s="2" t="inlineStr">
        <is>
          <t>Michelleview</t>
        </is>
      </c>
      <c r="G422" s="2" t="inlineStr">
        <is>
          <t>Lesotho</t>
        </is>
      </c>
      <c r="H422" s="2" t="inlineStr">
        <is>
          <t>young</t>
        </is>
      </c>
      <c r="I422" t="inlineStr">
        <is>
          <t>physical</t>
        </is>
      </c>
    </row>
    <row r="423">
      <c r="A423" s="2" t="inlineStr">
        <is>
          <t>C5781</t>
        </is>
      </c>
      <c r="B423" s="2" t="inlineStr">
        <is>
          <t>Chase Rangel</t>
        </is>
      </c>
      <c r="C423" s="2" t="inlineStr">
        <is>
          <t>djacobson@yahoo.com</t>
        </is>
      </c>
      <c r="D423" s="2" t="inlineStr">
        <is>
          <t>(331)633-6142</t>
        </is>
      </c>
      <c r="E423" s="2" t="inlineStr">
        <is>
          <t>PSC 5331, Box 3558, APO AP 67597</t>
        </is>
      </c>
      <c r="F423" s="2" t="inlineStr">
        <is>
          <t>South Patrickfort</t>
        </is>
      </c>
      <c r="G423" s="2" t="inlineStr">
        <is>
          <t>Norfolk Island</t>
        </is>
      </c>
      <c r="H423" s="2" t="inlineStr">
        <is>
          <t>here</t>
        </is>
      </c>
      <c r="I423" t="inlineStr">
        <is>
          <t>our</t>
        </is>
      </c>
    </row>
    <row r="424">
      <c r="A424" s="2" t="inlineStr">
        <is>
          <t>C9247</t>
        </is>
      </c>
      <c r="B424" s="2" t="inlineStr">
        <is>
          <t>Nicole Le</t>
        </is>
      </c>
      <c r="C424" s="2" t="inlineStr">
        <is>
          <t>teresawhite@sosa.com</t>
        </is>
      </c>
      <c r="D424" s="2" t="inlineStr">
        <is>
          <t>001-082-509-3554x371</t>
        </is>
      </c>
      <c r="E424" s="2" t="inlineStr">
        <is>
          <t>322 Phillips Lodge Suite 378, Wilsonton, HI 75500</t>
        </is>
      </c>
      <c r="F424" s="2" t="inlineStr">
        <is>
          <t>Lake Laurentown</t>
        </is>
      </c>
      <c r="G424" s="2" t="inlineStr">
        <is>
          <t>British Indian Ocean Territory (Chagos Archipelago)</t>
        </is>
      </c>
      <c r="H424" s="2" t="inlineStr">
        <is>
          <t>ball</t>
        </is>
      </c>
      <c r="I424" t="inlineStr">
        <is>
          <t>after</t>
        </is>
      </c>
    </row>
    <row r="425">
      <c r="A425" s="2" t="inlineStr">
        <is>
          <t>C1465</t>
        </is>
      </c>
      <c r="B425" s="2" t="inlineStr">
        <is>
          <t>William Stafford</t>
        </is>
      </c>
      <c r="C425" s="2" t="inlineStr">
        <is>
          <t>franklinaudrey@williams.com</t>
        </is>
      </c>
      <c r="D425" s="2" t="inlineStr">
        <is>
          <t>+1-352-825-5499x5944</t>
        </is>
      </c>
      <c r="E425" s="2" t="inlineStr">
        <is>
          <t>5889 Reed Lodge, Ryanshire, AR 29741</t>
        </is>
      </c>
      <c r="F425" s="2" t="inlineStr">
        <is>
          <t>Lake Williamchester</t>
        </is>
      </c>
      <c r="G425" s="2" t="inlineStr">
        <is>
          <t>Cook Islands</t>
        </is>
      </c>
      <c r="H425" s="2" t="inlineStr">
        <is>
          <t>machine</t>
        </is>
      </c>
      <c r="I425" t="inlineStr">
        <is>
          <t>avoid</t>
        </is>
      </c>
    </row>
    <row r="426">
      <c r="A426" s="2" t="inlineStr">
        <is>
          <t>C3277</t>
        </is>
      </c>
      <c r="B426" s="2" t="inlineStr">
        <is>
          <t>Richard Maynard</t>
        </is>
      </c>
      <c r="C426" s="2" t="inlineStr">
        <is>
          <t>julie83@pope-kline.com</t>
        </is>
      </c>
      <c r="D426" s="2" t="inlineStr">
        <is>
          <t>(826)605-3413</t>
        </is>
      </c>
      <c r="E426" s="2" t="inlineStr">
        <is>
          <t>42700 Stafford Trace, New Scott, ID 70041</t>
        </is>
      </c>
      <c r="F426" s="2" t="inlineStr">
        <is>
          <t>New Caitlinfurt</t>
        </is>
      </c>
      <c r="G426" s="2" t="inlineStr">
        <is>
          <t>Brazil</t>
        </is>
      </c>
      <c r="H426" s="2" t="inlineStr">
        <is>
          <t>than</t>
        </is>
      </c>
      <c r="I426" t="inlineStr">
        <is>
          <t>drive</t>
        </is>
      </c>
    </row>
    <row r="427">
      <c r="A427" s="2" t="inlineStr">
        <is>
          <t>C4294</t>
        </is>
      </c>
      <c r="B427" s="2" t="inlineStr">
        <is>
          <t>Nicholas Wallace DDS</t>
        </is>
      </c>
      <c r="C427" s="2" t="inlineStr">
        <is>
          <t>erikmorse@stafford-bullock.com</t>
        </is>
      </c>
      <c r="D427" s="2" t="inlineStr">
        <is>
          <t>+1-437-311-9553x6342</t>
        </is>
      </c>
      <c r="E427" s="2" t="inlineStr">
        <is>
          <t>06087 Smith Drive Apt. 550, Powellmouth, AL 07860</t>
        </is>
      </c>
      <c r="F427" s="2" t="inlineStr">
        <is>
          <t>Brownshire</t>
        </is>
      </c>
      <c r="G427" s="2" t="inlineStr">
        <is>
          <t>Zambia</t>
        </is>
      </c>
      <c r="H427" s="2" t="inlineStr">
        <is>
          <t>beyond</t>
        </is>
      </c>
      <c r="I427" t="inlineStr">
        <is>
          <t>professor</t>
        </is>
      </c>
    </row>
    <row r="428">
      <c r="A428" s="2" t="inlineStr">
        <is>
          <t>C3782</t>
        </is>
      </c>
      <c r="B428" s="2" t="inlineStr">
        <is>
          <t>Lori Torres</t>
        </is>
      </c>
      <c r="C428" s="2" t="inlineStr">
        <is>
          <t>dana55@gmail.com</t>
        </is>
      </c>
      <c r="D428" s="2" t="inlineStr">
        <is>
          <t>325.014.5646</t>
        </is>
      </c>
      <c r="E428" s="2" t="inlineStr">
        <is>
          <t>54439 Nelson Well Suite 555, New Jessica, WY 82258</t>
        </is>
      </c>
      <c r="F428" s="2" t="inlineStr">
        <is>
          <t>North Danaton</t>
        </is>
      </c>
      <c r="G428" s="2" t="inlineStr">
        <is>
          <t>San Marino</t>
        </is>
      </c>
      <c r="H428" s="2" t="inlineStr">
        <is>
          <t>reach</t>
        </is>
      </c>
      <c r="I428" t="inlineStr">
        <is>
          <t>store</t>
        </is>
      </c>
    </row>
    <row r="429">
      <c r="A429" s="2" t="inlineStr">
        <is>
          <t>C5536</t>
        </is>
      </c>
      <c r="B429" s="2" t="inlineStr">
        <is>
          <t>Susan Perez</t>
        </is>
      </c>
      <c r="C429" s="2" t="inlineStr">
        <is>
          <t>johnsonmark@gmail.com</t>
        </is>
      </c>
      <c r="D429" s="2" t="inlineStr">
        <is>
          <t>001-677-028-2076</t>
        </is>
      </c>
      <c r="E429" s="2" t="inlineStr">
        <is>
          <t>USCGC Rivas, FPO AP 03718</t>
        </is>
      </c>
      <c r="F429" s="2" t="inlineStr">
        <is>
          <t>Port Cindy</t>
        </is>
      </c>
      <c r="G429" s="2" t="inlineStr">
        <is>
          <t>Guatemala</t>
        </is>
      </c>
      <c r="H429" s="2" t="inlineStr">
        <is>
          <t>single</t>
        </is>
      </c>
      <c r="I429" t="inlineStr">
        <is>
          <t>safe</t>
        </is>
      </c>
    </row>
    <row r="430">
      <c r="A430" s="2" t="inlineStr">
        <is>
          <t>C5696</t>
        </is>
      </c>
      <c r="B430" s="2" t="inlineStr">
        <is>
          <t>Kristen Anderson</t>
        </is>
      </c>
      <c r="C430" s="2" t="inlineStr">
        <is>
          <t>wandrews@hotmail.com</t>
        </is>
      </c>
      <c r="D430" s="2" t="inlineStr">
        <is>
          <t>737-694-2927</t>
        </is>
      </c>
      <c r="E430" s="2" t="inlineStr">
        <is>
          <t>924 Campbell Ports, West Angelaville, VA 86532</t>
        </is>
      </c>
      <c r="F430" s="2" t="inlineStr">
        <is>
          <t>Tiffanyshire</t>
        </is>
      </c>
      <c r="G430" s="2" t="inlineStr">
        <is>
          <t>Cook Islands</t>
        </is>
      </c>
      <c r="H430" s="2" t="inlineStr">
        <is>
          <t>send</t>
        </is>
      </c>
      <c r="I430" t="inlineStr">
        <is>
          <t>box</t>
        </is>
      </c>
    </row>
    <row r="431">
      <c r="A431" s="2" t="inlineStr">
        <is>
          <t>C4339</t>
        </is>
      </c>
      <c r="B431" s="2" t="inlineStr">
        <is>
          <t>David Myers</t>
        </is>
      </c>
      <c r="C431" s="2" t="inlineStr">
        <is>
          <t>kimberlyhanson@smith-diaz.com</t>
        </is>
      </c>
      <c r="D431" s="2" t="inlineStr">
        <is>
          <t>042-794-1346</t>
        </is>
      </c>
      <c r="E431" s="2" t="inlineStr">
        <is>
          <t>Unit 4649 Box 2557, DPO AE 77495</t>
        </is>
      </c>
      <c r="F431" s="2" t="inlineStr">
        <is>
          <t>Bethville</t>
        </is>
      </c>
      <c r="G431" s="2" t="inlineStr">
        <is>
          <t>Madagascar</t>
        </is>
      </c>
      <c r="H431" s="2" t="inlineStr">
        <is>
          <t>usually</t>
        </is>
      </c>
      <c r="I431" t="inlineStr">
        <is>
          <t>hard</t>
        </is>
      </c>
    </row>
    <row r="432">
      <c r="A432" s="2" t="inlineStr">
        <is>
          <t>C9249</t>
        </is>
      </c>
      <c r="B432" s="2" t="inlineStr">
        <is>
          <t>Anita Hurley</t>
        </is>
      </c>
      <c r="C432" s="2" t="inlineStr">
        <is>
          <t>nmcguire@yahoo.com</t>
        </is>
      </c>
      <c r="D432" s="2" t="inlineStr">
        <is>
          <t>(356)958-0704</t>
        </is>
      </c>
      <c r="E432" s="2" t="inlineStr">
        <is>
          <t>9209 Ortiz Via Suite 479, Burchside, DE 25756</t>
        </is>
      </c>
      <c r="F432" s="2" t="inlineStr">
        <is>
          <t>Rodriguezbury</t>
        </is>
      </c>
      <c r="G432" s="2" t="inlineStr">
        <is>
          <t>Equatorial Guinea</t>
        </is>
      </c>
      <c r="H432" s="2" t="inlineStr">
        <is>
          <t>onto</t>
        </is>
      </c>
      <c r="I432" t="inlineStr">
        <is>
          <t>old</t>
        </is>
      </c>
    </row>
    <row r="433">
      <c r="A433" s="2" t="inlineStr">
        <is>
          <t>C7657</t>
        </is>
      </c>
      <c r="B433" s="2" t="inlineStr">
        <is>
          <t>Jennifer Long</t>
        </is>
      </c>
      <c r="C433" s="2" t="inlineStr">
        <is>
          <t>thomasedwards@collins-meyer.com</t>
        </is>
      </c>
      <c r="D433" s="2" t="inlineStr">
        <is>
          <t>162-660-8663</t>
        </is>
      </c>
      <c r="E433" s="2" t="inlineStr">
        <is>
          <t>91685 Laurie Turnpike, Christineview, DE 31258</t>
        </is>
      </c>
      <c r="F433" s="2" t="inlineStr">
        <is>
          <t>Ginaside</t>
        </is>
      </c>
      <c r="G433" s="2" t="inlineStr">
        <is>
          <t>Bouvet Island (Bouvetoya)</t>
        </is>
      </c>
      <c r="H433" s="2" t="inlineStr">
        <is>
          <t>however</t>
        </is>
      </c>
      <c r="I433" t="inlineStr">
        <is>
          <t>gas</t>
        </is>
      </c>
    </row>
    <row r="434">
      <c r="A434" s="2" t="inlineStr">
        <is>
          <t>C4734</t>
        </is>
      </c>
      <c r="B434" s="2" t="inlineStr">
        <is>
          <t>Jenna Holland</t>
        </is>
      </c>
      <c r="C434" s="2" t="inlineStr">
        <is>
          <t>barberwilliam@hotmail.com</t>
        </is>
      </c>
      <c r="D434" s="2" t="inlineStr">
        <is>
          <t>390.283.8726x4350</t>
        </is>
      </c>
      <c r="E434" s="2" t="inlineStr">
        <is>
          <t>728 Taylor View Suite 035, North Amandaport, KS 94240</t>
        </is>
      </c>
      <c r="F434" s="2" t="inlineStr">
        <is>
          <t>Clarkeburgh</t>
        </is>
      </c>
      <c r="G434" s="2" t="inlineStr">
        <is>
          <t>Guinea-Bissau</t>
        </is>
      </c>
      <c r="H434" s="2" t="inlineStr">
        <is>
          <t>peace</t>
        </is>
      </c>
      <c r="I434" t="inlineStr">
        <is>
          <t>wear</t>
        </is>
      </c>
    </row>
    <row r="435">
      <c r="A435" s="2" t="inlineStr">
        <is>
          <t>C5854</t>
        </is>
      </c>
      <c r="B435" s="2" t="inlineStr">
        <is>
          <t>Julia Wells</t>
        </is>
      </c>
      <c r="C435" s="2" t="inlineStr">
        <is>
          <t>zwillis@gmail.com</t>
        </is>
      </c>
      <c r="D435" s="2" t="inlineStr">
        <is>
          <t>(804)900-3314x127</t>
        </is>
      </c>
      <c r="E435" s="2" t="inlineStr">
        <is>
          <t>836 Joy Cliff, Port Elizabeth, WV 91843</t>
        </is>
      </c>
      <c r="F435" s="2" t="inlineStr">
        <is>
          <t>Paulaport</t>
        </is>
      </c>
      <c r="G435" s="2" t="inlineStr">
        <is>
          <t>Azerbaijan</t>
        </is>
      </c>
      <c r="H435" s="2" t="inlineStr">
        <is>
          <t>admit</t>
        </is>
      </c>
      <c r="I435" t="inlineStr">
        <is>
          <t>institution</t>
        </is>
      </c>
    </row>
    <row r="436">
      <c r="A436" s="2" t="inlineStr">
        <is>
          <t>C8623</t>
        </is>
      </c>
      <c r="B436" s="2" t="inlineStr">
        <is>
          <t>Danielle Schmitt</t>
        </is>
      </c>
      <c r="C436" s="2" t="inlineStr">
        <is>
          <t>linkimberly@armstrong-brown.com</t>
        </is>
      </c>
      <c r="D436" s="2" t="inlineStr">
        <is>
          <t>+1-973-272-0776x778</t>
        </is>
      </c>
      <c r="E436" s="2" t="inlineStr">
        <is>
          <t>1917 Freeman Stream Suite 523, Port Melissaberg, NM 15853</t>
        </is>
      </c>
      <c r="F436" s="2" t="inlineStr">
        <is>
          <t>Courtneychester</t>
        </is>
      </c>
      <c r="G436" s="2" t="inlineStr">
        <is>
          <t>South Africa</t>
        </is>
      </c>
      <c r="H436" s="2" t="inlineStr">
        <is>
          <t>source</t>
        </is>
      </c>
      <c r="I436" t="inlineStr">
        <is>
          <t>design</t>
        </is>
      </c>
    </row>
    <row r="437">
      <c r="A437" s="2" t="inlineStr">
        <is>
          <t>C6671</t>
        </is>
      </c>
      <c r="B437" s="2" t="inlineStr">
        <is>
          <t>Ricky Miller</t>
        </is>
      </c>
      <c r="C437" s="2" t="inlineStr">
        <is>
          <t>sparker@gmail.com</t>
        </is>
      </c>
      <c r="D437" s="2" t="inlineStr">
        <is>
          <t>001-300-843-0672</t>
        </is>
      </c>
      <c r="E437" s="2" t="inlineStr">
        <is>
          <t>6669 Knight Vista, Randyburgh, RI 17485</t>
        </is>
      </c>
      <c r="F437" s="2" t="inlineStr">
        <is>
          <t>Johnton</t>
        </is>
      </c>
      <c r="G437" s="2" t="inlineStr">
        <is>
          <t>Venezuela</t>
        </is>
      </c>
      <c r="H437" s="2" t="inlineStr">
        <is>
          <t>room</t>
        </is>
      </c>
      <c r="I437" t="inlineStr">
        <is>
          <t>score</t>
        </is>
      </c>
    </row>
    <row r="438">
      <c r="A438" s="2" t="inlineStr">
        <is>
          <t>C1957</t>
        </is>
      </c>
      <c r="B438" s="2" t="inlineStr">
        <is>
          <t>Mrs. Taylor Allen</t>
        </is>
      </c>
      <c r="C438" s="2" t="inlineStr">
        <is>
          <t>hannah19@gmail.com</t>
        </is>
      </c>
      <c r="D438" s="2" t="inlineStr">
        <is>
          <t>036-321-2745x8343</t>
        </is>
      </c>
      <c r="E438" s="2" t="inlineStr">
        <is>
          <t>11135 Hughes Ways, Port James, OH 26207</t>
        </is>
      </c>
      <c r="F438" s="2" t="inlineStr">
        <is>
          <t>Fitzpatrickshire</t>
        </is>
      </c>
      <c r="G438" s="2" t="inlineStr">
        <is>
          <t>Cameroon</t>
        </is>
      </c>
      <c r="H438" s="2" t="inlineStr">
        <is>
          <t>grow</t>
        </is>
      </c>
      <c r="I438" t="inlineStr">
        <is>
          <t>shake</t>
        </is>
      </c>
    </row>
    <row r="439">
      <c r="A439" s="2" t="inlineStr">
        <is>
          <t>C8047</t>
        </is>
      </c>
      <c r="B439" s="2" t="inlineStr">
        <is>
          <t>Morgan Lin</t>
        </is>
      </c>
      <c r="C439" s="2" t="inlineStr">
        <is>
          <t>cabreramichael@gmail.com</t>
        </is>
      </c>
      <c r="D439" s="2" t="inlineStr">
        <is>
          <t>5094042363</t>
        </is>
      </c>
      <c r="E439" s="2" t="inlineStr">
        <is>
          <t>22943 Hurley Village Suite 217, Port Tylerton, ND 61967</t>
        </is>
      </c>
      <c r="F439" s="2" t="inlineStr">
        <is>
          <t>North Vicki</t>
        </is>
      </c>
      <c r="G439" s="2" t="inlineStr">
        <is>
          <t>Argentina</t>
        </is>
      </c>
      <c r="H439" s="2" t="inlineStr">
        <is>
          <t>site</t>
        </is>
      </c>
      <c r="I439" t="inlineStr">
        <is>
          <t>long</t>
        </is>
      </c>
    </row>
    <row r="440">
      <c r="A440" s="2" t="inlineStr">
        <is>
          <t>C5426</t>
        </is>
      </c>
      <c r="B440" s="2" t="inlineStr">
        <is>
          <t>Lisa Peters</t>
        </is>
      </c>
      <c r="C440" s="2" t="inlineStr">
        <is>
          <t>knightjohn@tyler.org</t>
        </is>
      </c>
      <c r="D440" s="2" t="inlineStr">
        <is>
          <t>(716)825-9781</t>
        </is>
      </c>
      <c r="E440" s="2" t="inlineStr">
        <is>
          <t>4827 Ryan Underpass, New Garrett, DE 68726</t>
        </is>
      </c>
      <c r="F440" s="2" t="inlineStr">
        <is>
          <t>North April</t>
        </is>
      </c>
      <c r="G440" s="2" t="inlineStr">
        <is>
          <t>Vietnam</t>
        </is>
      </c>
      <c r="H440" s="2" t="inlineStr">
        <is>
          <t>me</t>
        </is>
      </c>
      <c r="I440" t="inlineStr">
        <is>
          <t>fund</t>
        </is>
      </c>
    </row>
    <row r="441">
      <c r="A441" s="2" t="inlineStr">
        <is>
          <t>C9484</t>
        </is>
      </c>
      <c r="B441" s="2" t="inlineStr">
        <is>
          <t>Bill Arias</t>
        </is>
      </c>
      <c r="C441" s="2" t="inlineStr">
        <is>
          <t>lisa73@hernandez.com</t>
        </is>
      </c>
      <c r="D441" s="2" t="inlineStr">
        <is>
          <t>0971505733</t>
        </is>
      </c>
      <c r="E441" s="2" t="inlineStr">
        <is>
          <t>8493 Howard Ford Suite 233, Richardsonport, MA 17819</t>
        </is>
      </c>
      <c r="F441" s="2" t="inlineStr">
        <is>
          <t>West Seanfurt</t>
        </is>
      </c>
      <c r="G441" s="2" t="inlineStr">
        <is>
          <t>Cote d'Ivoire</t>
        </is>
      </c>
      <c r="H441" s="2" t="inlineStr">
        <is>
          <t>follow</t>
        </is>
      </c>
      <c r="I441" t="inlineStr">
        <is>
          <t>south</t>
        </is>
      </c>
    </row>
    <row r="442">
      <c r="A442" s="2" t="inlineStr">
        <is>
          <t>C9304</t>
        </is>
      </c>
      <c r="B442" s="2" t="inlineStr">
        <is>
          <t>Joshua Lewis</t>
        </is>
      </c>
      <c r="C442" s="2" t="inlineStr">
        <is>
          <t>robertdoyle@perkins-schneider.biz</t>
        </is>
      </c>
      <c r="D442" s="2" t="inlineStr">
        <is>
          <t>+1-779-037-4749x190</t>
        </is>
      </c>
      <c r="E442" s="2" t="inlineStr">
        <is>
          <t>USCGC Adams, FPO AP 89384</t>
        </is>
      </c>
      <c r="F442" s="2" t="inlineStr">
        <is>
          <t>Woodville</t>
        </is>
      </c>
      <c r="G442" s="2" t="inlineStr">
        <is>
          <t>Uzbekistan</t>
        </is>
      </c>
      <c r="H442" s="2" t="inlineStr">
        <is>
          <t>conference</t>
        </is>
      </c>
      <c r="I442" t="inlineStr">
        <is>
          <t>meeting</t>
        </is>
      </c>
    </row>
    <row r="443">
      <c r="A443" s="2" t="inlineStr">
        <is>
          <t>C4020</t>
        </is>
      </c>
      <c r="B443" s="2" t="inlineStr">
        <is>
          <t>Johnny Bell</t>
        </is>
      </c>
      <c r="C443" s="2" t="inlineStr">
        <is>
          <t>vazquezvirginia@yahoo.com</t>
        </is>
      </c>
      <c r="D443" s="2" t="inlineStr">
        <is>
          <t>216-898-6672x79405</t>
        </is>
      </c>
      <c r="E443" s="2" t="inlineStr">
        <is>
          <t>96150 Estes Ranch Apt. 748, Bryantton, UT 86466</t>
        </is>
      </c>
      <c r="F443" s="2" t="inlineStr">
        <is>
          <t>Briannafurt</t>
        </is>
      </c>
      <c r="G443" s="2" t="inlineStr">
        <is>
          <t>Paraguay</t>
        </is>
      </c>
      <c r="H443" s="2" t="inlineStr">
        <is>
          <t>bar</t>
        </is>
      </c>
      <c r="I443" t="inlineStr">
        <is>
          <t>say</t>
        </is>
      </c>
    </row>
    <row r="444">
      <c r="A444" s="2" t="inlineStr">
        <is>
          <t>C8420</t>
        </is>
      </c>
      <c r="B444" s="2" t="inlineStr">
        <is>
          <t>Jennifer Gordon</t>
        </is>
      </c>
      <c r="C444" s="2" t="inlineStr">
        <is>
          <t>rclark@hotmail.com</t>
        </is>
      </c>
      <c r="D444" s="2" t="inlineStr">
        <is>
          <t>(247)305-0350</t>
        </is>
      </c>
      <c r="E444" s="2" t="inlineStr">
        <is>
          <t>9783 Lauren Courts, Jessicahaven, MT 29550</t>
        </is>
      </c>
      <c r="F444" s="2" t="inlineStr">
        <is>
          <t>Port Jeffrey</t>
        </is>
      </c>
      <c r="G444" s="2" t="inlineStr">
        <is>
          <t>Cayman Islands</t>
        </is>
      </c>
      <c r="H444" s="2" t="inlineStr">
        <is>
          <t>share</t>
        </is>
      </c>
      <c r="I444" t="inlineStr">
        <is>
          <t>analysis</t>
        </is>
      </c>
    </row>
    <row r="445">
      <c r="A445" s="2" t="inlineStr">
        <is>
          <t>C3647</t>
        </is>
      </c>
      <c r="B445" s="2" t="inlineStr">
        <is>
          <t>Mr. Joe Thomas</t>
        </is>
      </c>
      <c r="C445" s="2" t="inlineStr">
        <is>
          <t>eric21@hopkins-cline.com</t>
        </is>
      </c>
      <c r="D445" s="2" t="inlineStr">
        <is>
          <t>9897954766</t>
        </is>
      </c>
      <c r="E445" s="2" t="inlineStr">
        <is>
          <t>619 Spencer Plains, South Pamela, ME 77596</t>
        </is>
      </c>
      <c r="F445" s="2" t="inlineStr">
        <is>
          <t>West Davidland</t>
        </is>
      </c>
      <c r="G445" s="2" t="inlineStr">
        <is>
          <t>Liechtenstein</t>
        </is>
      </c>
      <c r="H445" s="2" t="inlineStr">
        <is>
          <t>them</t>
        </is>
      </c>
      <c r="I445" t="inlineStr">
        <is>
          <t>challenge</t>
        </is>
      </c>
    </row>
    <row r="446">
      <c r="A446" s="2" t="inlineStr">
        <is>
          <t>C5565</t>
        </is>
      </c>
      <c r="B446" s="2" t="inlineStr">
        <is>
          <t>Kyle Juarez</t>
        </is>
      </c>
      <c r="C446" s="2" t="inlineStr">
        <is>
          <t>katielewis@gmail.com</t>
        </is>
      </c>
      <c r="D446" s="2" t="inlineStr">
        <is>
          <t>+1-047-774-7429x20565</t>
        </is>
      </c>
      <c r="E446" s="2" t="inlineStr">
        <is>
          <t>920 Andrea Ville, North Pamela, NE 19592</t>
        </is>
      </c>
      <c r="F446" s="2" t="inlineStr">
        <is>
          <t>North Joseph</t>
        </is>
      </c>
      <c r="G446" s="2" t="inlineStr">
        <is>
          <t>Tuvalu</t>
        </is>
      </c>
      <c r="H446" s="2" t="inlineStr">
        <is>
          <t>Democrat</t>
        </is>
      </c>
      <c r="I446" t="inlineStr">
        <is>
          <t>upon</t>
        </is>
      </c>
    </row>
    <row r="447">
      <c r="A447" s="2" t="inlineStr">
        <is>
          <t>C3800</t>
        </is>
      </c>
      <c r="B447" s="2" t="inlineStr">
        <is>
          <t>John Dennis</t>
        </is>
      </c>
      <c r="C447" s="2" t="inlineStr">
        <is>
          <t>robersondonald@chang.biz</t>
        </is>
      </c>
      <c r="D447" s="2" t="inlineStr">
        <is>
          <t>001-725-067-8330x0719</t>
        </is>
      </c>
      <c r="E447" s="2" t="inlineStr">
        <is>
          <t>91311 Stacy Path, Smithhaven, OH 49771</t>
        </is>
      </c>
      <c r="F447" s="2" t="inlineStr">
        <is>
          <t>Port Nathan</t>
        </is>
      </c>
      <c r="G447" s="2" t="inlineStr">
        <is>
          <t>Cyprus</t>
        </is>
      </c>
      <c r="H447" s="2" t="inlineStr">
        <is>
          <t>war</t>
        </is>
      </c>
      <c r="I447" t="inlineStr">
        <is>
          <t>company</t>
        </is>
      </c>
    </row>
    <row r="448">
      <c r="A448" s="2" t="inlineStr">
        <is>
          <t>C3609</t>
        </is>
      </c>
      <c r="B448" s="2" t="inlineStr">
        <is>
          <t>Eric Adams</t>
        </is>
      </c>
      <c r="C448" s="2" t="inlineStr">
        <is>
          <t>patrickmills@durham.info</t>
        </is>
      </c>
      <c r="D448" s="2" t="inlineStr">
        <is>
          <t>+1-182-706-5079x706</t>
        </is>
      </c>
      <c r="E448" s="2" t="inlineStr">
        <is>
          <t>03888 Daniel Row, New Natalieborough, NY 28095</t>
        </is>
      </c>
      <c r="F448" s="2" t="inlineStr">
        <is>
          <t>Lake Makaylaside</t>
        </is>
      </c>
      <c r="G448" s="2" t="inlineStr">
        <is>
          <t>Slovenia</t>
        </is>
      </c>
      <c r="H448" s="2" t="inlineStr">
        <is>
          <t>pick</t>
        </is>
      </c>
      <c r="I448" t="inlineStr">
        <is>
          <t>opportunity</t>
        </is>
      </c>
    </row>
    <row r="449">
      <c r="A449" s="2" t="inlineStr">
        <is>
          <t>C1899</t>
        </is>
      </c>
      <c r="B449" s="2" t="inlineStr">
        <is>
          <t>Kevin Benson</t>
        </is>
      </c>
      <c r="C449" s="2" t="inlineStr">
        <is>
          <t>robert27@nichols.com</t>
        </is>
      </c>
      <c r="D449" s="2" t="inlineStr">
        <is>
          <t>368-439-1170</t>
        </is>
      </c>
      <c r="E449" s="2" t="inlineStr">
        <is>
          <t>24455 Barron Glens Suite 000, Sanchezside, SD 82300</t>
        </is>
      </c>
      <c r="F449" s="2" t="inlineStr">
        <is>
          <t>Weberview</t>
        </is>
      </c>
      <c r="G449" s="2" t="inlineStr">
        <is>
          <t>British Virgin Islands</t>
        </is>
      </c>
      <c r="H449" s="2" t="inlineStr">
        <is>
          <t>stock</t>
        </is>
      </c>
      <c r="I449" t="inlineStr">
        <is>
          <t>management</t>
        </is>
      </c>
    </row>
    <row r="450">
      <c r="A450" s="2" t="inlineStr">
        <is>
          <t>C6400</t>
        </is>
      </c>
      <c r="B450" s="2" t="inlineStr">
        <is>
          <t>Jennifer Johnson</t>
        </is>
      </c>
      <c r="C450" s="2" t="inlineStr">
        <is>
          <t>alexandrapatel@yahoo.com</t>
        </is>
      </c>
      <c r="D450" s="2" t="inlineStr">
        <is>
          <t>+1-029-796-3543x6484</t>
        </is>
      </c>
      <c r="E450" s="2" t="inlineStr">
        <is>
          <t>632 Kelly Forks Apt. 589, Christianview, KS 16473</t>
        </is>
      </c>
      <c r="F450" s="2" t="inlineStr">
        <is>
          <t>Parkerburgh</t>
        </is>
      </c>
      <c r="G450" s="2" t="inlineStr">
        <is>
          <t>Falkland Islands (Malvinas)</t>
        </is>
      </c>
      <c r="H450" s="2" t="inlineStr">
        <is>
          <t>teach</t>
        </is>
      </c>
      <c r="I450" t="inlineStr">
        <is>
          <t>cut</t>
        </is>
      </c>
    </row>
    <row r="451">
      <c r="A451" s="2" t="inlineStr">
        <is>
          <t>C6854</t>
        </is>
      </c>
      <c r="B451" s="2" t="inlineStr">
        <is>
          <t>David Stevenson</t>
        </is>
      </c>
      <c r="C451" s="2" t="inlineStr">
        <is>
          <t>khorne@yahoo.com</t>
        </is>
      </c>
      <c r="D451" s="2" t="inlineStr">
        <is>
          <t>606.580.9993x7179</t>
        </is>
      </c>
      <c r="E451" s="2" t="inlineStr">
        <is>
          <t>2111 Farley Branch Apt. 949, North Sherryfort, SC 27374</t>
        </is>
      </c>
      <c r="F451" s="2" t="inlineStr">
        <is>
          <t>Tuckermouth</t>
        </is>
      </c>
      <c r="G451" s="2" t="inlineStr">
        <is>
          <t>Kiribati</t>
        </is>
      </c>
      <c r="H451" s="2" t="inlineStr">
        <is>
          <t>card</t>
        </is>
      </c>
      <c r="I451" t="inlineStr">
        <is>
          <t>enjoy</t>
        </is>
      </c>
    </row>
    <row r="452">
      <c r="A452" s="2" t="inlineStr">
        <is>
          <t>C3136</t>
        </is>
      </c>
      <c r="B452" s="2" t="inlineStr">
        <is>
          <t>Christian Holland</t>
        </is>
      </c>
      <c r="C452" s="2" t="inlineStr">
        <is>
          <t>lhorne@gmail.com</t>
        </is>
      </c>
      <c r="D452" s="2" t="inlineStr">
        <is>
          <t>257.419.8493x64258</t>
        </is>
      </c>
      <c r="E452" s="2" t="inlineStr">
        <is>
          <t>3476 Rosales Prairie, Chadport, NH 71713</t>
        </is>
      </c>
      <c r="F452" s="2" t="inlineStr">
        <is>
          <t>Fordborough</t>
        </is>
      </c>
      <c r="G452" s="2" t="inlineStr">
        <is>
          <t>Reunion</t>
        </is>
      </c>
      <c r="H452" s="2" t="inlineStr">
        <is>
          <t>little</t>
        </is>
      </c>
      <c r="I452" t="inlineStr">
        <is>
          <t>head</t>
        </is>
      </c>
    </row>
    <row r="453">
      <c r="A453" s="2" t="inlineStr">
        <is>
          <t>C8124</t>
        </is>
      </c>
      <c r="B453" s="2" t="inlineStr">
        <is>
          <t>Amy Patel</t>
        </is>
      </c>
      <c r="C453" s="2" t="inlineStr">
        <is>
          <t>thomasevans@smith.biz</t>
        </is>
      </c>
      <c r="D453" s="2" t="inlineStr">
        <is>
          <t>355-521-7330x2619</t>
        </is>
      </c>
      <c r="E453" s="2" t="inlineStr">
        <is>
          <t>95118 Oliver Club Suite 528, West David, AZ 05575</t>
        </is>
      </c>
      <c r="F453" s="2" t="inlineStr">
        <is>
          <t>Port Rebecca</t>
        </is>
      </c>
      <c r="G453" s="2" t="inlineStr">
        <is>
          <t>Estonia</t>
        </is>
      </c>
      <c r="H453" s="2" t="inlineStr">
        <is>
          <t>cover</t>
        </is>
      </c>
      <c r="I453" t="inlineStr">
        <is>
          <t>interesting</t>
        </is>
      </c>
    </row>
    <row r="454">
      <c r="A454" s="2" t="inlineStr">
        <is>
          <t>C3795</t>
        </is>
      </c>
      <c r="B454" s="2" t="inlineStr">
        <is>
          <t>Gary Robinson</t>
        </is>
      </c>
      <c r="C454" s="2" t="inlineStr">
        <is>
          <t>tracychurch@willis.com</t>
        </is>
      </c>
      <c r="D454" s="2" t="inlineStr">
        <is>
          <t>581-496-8598</t>
        </is>
      </c>
      <c r="E454" s="2" t="inlineStr">
        <is>
          <t>1091 Lisa Stream, Gonzaleztown, SD 13663</t>
        </is>
      </c>
      <c r="F454" s="2" t="inlineStr">
        <is>
          <t>Joseport</t>
        </is>
      </c>
      <c r="G454" s="2" t="inlineStr">
        <is>
          <t>Australia</t>
        </is>
      </c>
      <c r="H454" s="2" t="inlineStr">
        <is>
          <t>because</t>
        </is>
      </c>
      <c r="I454" t="inlineStr">
        <is>
          <t>north</t>
        </is>
      </c>
    </row>
    <row r="455">
      <c r="A455" s="2" t="inlineStr">
        <is>
          <t>C5058</t>
        </is>
      </c>
      <c r="B455" s="2" t="inlineStr">
        <is>
          <t>Clinton Jones</t>
        </is>
      </c>
      <c r="C455" s="2" t="inlineStr">
        <is>
          <t>jameswilkinson@gmail.com</t>
        </is>
      </c>
      <c r="D455" s="2" t="inlineStr">
        <is>
          <t>+1-959-124-9863x91098</t>
        </is>
      </c>
      <c r="E455" s="2" t="inlineStr">
        <is>
          <t>449 Emma Lake, Port Paul, MO 42097</t>
        </is>
      </c>
      <c r="F455" s="2" t="inlineStr">
        <is>
          <t>New Katherinefurt</t>
        </is>
      </c>
      <c r="G455" s="2" t="inlineStr">
        <is>
          <t>Botswana</t>
        </is>
      </c>
      <c r="H455" s="2" t="inlineStr">
        <is>
          <t>positive</t>
        </is>
      </c>
      <c r="I455" t="inlineStr">
        <is>
          <t>beyond</t>
        </is>
      </c>
    </row>
    <row r="456">
      <c r="A456" s="2" t="inlineStr">
        <is>
          <t>C7611</t>
        </is>
      </c>
      <c r="B456" s="2" t="inlineStr">
        <is>
          <t>Angela Romero</t>
        </is>
      </c>
      <c r="C456" s="2" t="inlineStr">
        <is>
          <t>martinezjustin@yahoo.com</t>
        </is>
      </c>
      <c r="D456" s="2" t="inlineStr">
        <is>
          <t>+1-922-838-0392</t>
        </is>
      </c>
      <c r="E456" s="2" t="inlineStr">
        <is>
          <t>44185 Tran Walks, North Kaylachester, DC 65702</t>
        </is>
      </c>
      <c r="F456" s="2" t="inlineStr">
        <is>
          <t>Mollyberg</t>
        </is>
      </c>
      <c r="G456" s="2" t="inlineStr">
        <is>
          <t>Croatia</t>
        </is>
      </c>
      <c r="H456" s="2" t="inlineStr">
        <is>
          <t>get</t>
        </is>
      </c>
      <c r="I456" t="inlineStr">
        <is>
          <t>arm</t>
        </is>
      </c>
    </row>
    <row r="457">
      <c r="A457" s="2" t="inlineStr">
        <is>
          <t>C4005</t>
        </is>
      </c>
      <c r="B457" s="2" t="inlineStr">
        <is>
          <t>Sean Petersen</t>
        </is>
      </c>
      <c r="C457" s="2" t="inlineStr">
        <is>
          <t>halllevi@underwood-woods.com</t>
        </is>
      </c>
      <c r="D457" s="2" t="inlineStr">
        <is>
          <t>(311)417-2741x0430</t>
        </is>
      </c>
      <c r="E457" s="2" t="inlineStr">
        <is>
          <t>9951 Jeffrey Row, Leebury, ND 83487</t>
        </is>
      </c>
      <c r="F457" s="2" t="inlineStr">
        <is>
          <t>Millerport</t>
        </is>
      </c>
      <c r="G457" s="2" t="inlineStr">
        <is>
          <t>Botswana</t>
        </is>
      </c>
      <c r="H457" s="2" t="inlineStr">
        <is>
          <t>participant</t>
        </is>
      </c>
      <c r="I457" t="inlineStr">
        <is>
          <t>impact</t>
        </is>
      </c>
    </row>
    <row r="458">
      <c r="A458" s="2" t="inlineStr">
        <is>
          <t>C9558</t>
        </is>
      </c>
      <c r="B458" s="2" t="inlineStr">
        <is>
          <t>Casey Brewer</t>
        </is>
      </c>
      <c r="C458" s="2" t="inlineStr">
        <is>
          <t>adamwatkins@hall.com</t>
        </is>
      </c>
      <c r="D458" s="2" t="inlineStr">
        <is>
          <t>702-790-8982x076</t>
        </is>
      </c>
      <c r="E458" s="2" t="inlineStr">
        <is>
          <t>90091 Marcus Hill Suite 696, Port Elizabeth, WA 46042</t>
        </is>
      </c>
      <c r="F458" s="2" t="inlineStr">
        <is>
          <t>Port Amandaview</t>
        </is>
      </c>
      <c r="G458" s="2" t="inlineStr">
        <is>
          <t>Kyrgyz Republic</t>
        </is>
      </c>
      <c r="H458" s="2" t="inlineStr">
        <is>
          <t>than</t>
        </is>
      </c>
      <c r="I458" t="inlineStr">
        <is>
          <t>friend</t>
        </is>
      </c>
    </row>
    <row r="459">
      <c r="A459" s="2" t="inlineStr">
        <is>
          <t>C2095</t>
        </is>
      </c>
      <c r="B459" s="2" t="inlineStr">
        <is>
          <t>Andrew Riggs</t>
        </is>
      </c>
      <c r="C459" s="2" t="inlineStr">
        <is>
          <t>brianbriggs@hotmail.com</t>
        </is>
      </c>
      <c r="D459" s="2" t="inlineStr">
        <is>
          <t>+1-266-681-3631x6124</t>
        </is>
      </c>
      <c r="E459" s="2" t="inlineStr">
        <is>
          <t>659 Robert Path, Christianburgh, OR 12904</t>
        </is>
      </c>
      <c r="F459" s="2" t="inlineStr">
        <is>
          <t>West Gwendolynstad</t>
        </is>
      </c>
      <c r="G459" s="2" t="inlineStr">
        <is>
          <t>Israel</t>
        </is>
      </c>
      <c r="H459" s="2" t="inlineStr">
        <is>
          <t>college</t>
        </is>
      </c>
      <c r="I459" t="inlineStr">
        <is>
          <t>most</t>
        </is>
      </c>
    </row>
    <row r="460">
      <c r="A460" s="2" t="inlineStr">
        <is>
          <t>C8665</t>
        </is>
      </c>
      <c r="B460" s="2" t="inlineStr">
        <is>
          <t>Ashley Swanson</t>
        </is>
      </c>
      <c r="C460" s="2" t="inlineStr">
        <is>
          <t>umiller@braun.com</t>
        </is>
      </c>
      <c r="D460" s="2" t="inlineStr">
        <is>
          <t>001-118-509-1480x0255</t>
        </is>
      </c>
      <c r="E460" s="2" t="inlineStr">
        <is>
          <t>3252 Glenn Freeway Apt. 941, Carterside, NM 23194</t>
        </is>
      </c>
      <c r="F460" s="2" t="inlineStr">
        <is>
          <t>Mckinneyport</t>
        </is>
      </c>
      <c r="G460" s="2" t="inlineStr">
        <is>
          <t>Gambia</t>
        </is>
      </c>
      <c r="H460" s="2" t="inlineStr">
        <is>
          <t>note</t>
        </is>
      </c>
      <c r="I460" t="inlineStr">
        <is>
          <t>everybody</t>
        </is>
      </c>
    </row>
    <row r="461">
      <c r="A461" s="2" t="inlineStr">
        <is>
          <t>C6260</t>
        </is>
      </c>
      <c r="B461" s="2" t="inlineStr">
        <is>
          <t>Amanda George</t>
        </is>
      </c>
      <c r="C461" s="2" t="inlineStr">
        <is>
          <t>david47@yahoo.com</t>
        </is>
      </c>
      <c r="D461" s="2" t="inlineStr">
        <is>
          <t>+1-472-923-0613x0396</t>
        </is>
      </c>
      <c r="E461" s="2" t="inlineStr">
        <is>
          <t>95170 Kenneth Rapid Suite 963, New Trevorburgh, AR 46675</t>
        </is>
      </c>
      <c r="F461" s="2" t="inlineStr">
        <is>
          <t>New Vincentbury</t>
        </is>
      </c>
      <c r="G461" s="2" t="inlineStr">
        <is>
          <t>Eritrea</t>
        </is>
      </c>
      <c r="H461" s="2" t="inlineStr">
        <is>
          <t>situation</t>
        </is>
      </c>
      <c r="I461" t="inlineStr">
        <is>
          <t>able</t>
        </is>
      </c>
    </row>
    <row r="462">
      <c r="A462" s="2" t="inlineStr">
        <is>
          <t>C1042</t>
        </is>
      </c>
      <c r="B462" s="2" t="inlineStr">
        <is>
          <t>Lori Alvarado</t>
        </is>
      </c>
      <c r="C462" s="2" t="inlineStr">
        <is>
          <t>quinnseth@gmail.com</t>
        </is>
      </c>
      <c r="D462" s="2" t="inlineStr">
        <is>
          <t>294.557.5505</t>
        </is>
      </c>
      <c r="E462" s="2" t="inlineStr">
        <is>
          <t>5017 Jessica Stream, East Judy, OH 31416</t>
        </is>
      </c>
      <c r="F462" s="2" t="inlineStr">
        <is>
          <t>New Patricia</t>
        </is>
      </c>
      <c r="G462" s="2" t="inlineStr">
        <is>
          <t>Nigeria</t>
        </is>
      </c>
      <c r="H462" s="2" t="inlineStr">
        <is>
          <t>ago</t>
        </is>
      </c>
      <c r="I462" t="inlineStr">
        <is>
          <t>election</t>
        </is>
      </c>
    </row>
    <row r="463">
      <c r="A463" s="2" t="inlineStr">
        <is>
          <t>C4934</t>
        </is>
      </c>
      <c r="B463" s="2" t="inlineStr">
        <is>
          <t>Sarah Collins</t>
        </is>
      </c>
      <c r="C463" s="2" t="inlineStr">
        <is>
          <t>sarabaker@hotmail.com</t>
        </is>
      </c>
      <c r="D463" s="2" t="inlineStr">
        <is>
          <t>(207)107-0395</t>
        </is>
      </c>
      <c r="E463" s="2" t="inlineStr">
        <is>
          <t>2548 Julie Drive, Jonathanstad, AR 85568</t>
        </is>
      </c>
      <c r="F463" s="2" t="inlineStr">
        <is>
          <t>Lake Garyton</t>
        </is>
      </c>
      <c r="G463" s="2" t="inlineStr">
        <is>
          <t>Comoros</t>
        </is>
      </c>
      <c r="H463" s="2" t="inlineStr">
        <is>
          <t>result</t>
        </is>
      </c>
      <c r="I463" t="inlineStr">
        <is>
          <t>crime</t>
        </is>
      </c>
    </row>
    <row r="464">
      <c r="A464" s="2" t="inlineStr">
        <is>
          <t>C1499</t>
        </is>
      </c>
      <c r="B464" s="2" t="inlineStr">
        <is>
          <t>Angel Garza</t>
        </is>
      </c>
      <c r="C464" s="2" t="inlineStr">
        <is>
          <t>bennettbrandy@yahoo.com</t>
        </is>
      </c>
      <c r="D464" s="2" t="inlineStr">
        <is>
          <t>6354715591</t>
        </is>
      </c>
      <c r="E464" s="2" t="inlineStr">
        <is>
          <t>2818 Kevin Manors, Jonathanchester, AK 15896</t>
        </is>
      </c>
      <c r="F464" s="2" t="inlineStr">
        <is>
          <t>Dianastad</t>
        </is>
      </c>
      <c r="G464" s="2" t="inlineStr">
        <is>
          <t>Ukraine</t>
        </is>
      </c>
      <c r="H464" s="2" t="inlineStr">
        <is>
          <t>and</t>
        </is>
      </c>
      <c r="I464" t="inlineStr">
        <is>
          <t>tell</t>
        </is>
      </c>
    </row>
    <row r="465">
      <c r="A465" s="2" t="inlineStr">
        <is>
          <t>C3295</t>
        </is>
      </c>
      <c r="B465" s="2" t="inlineStr">
        <is>
          <t>David Vasquez</t>
        </is>
      </c>
      <c r="C465" s="2" t="inlineStr">
        <is>
          <t>qwhite@gmail.com</t>
        </is>
      </c>
      <c r="D465" s="2" t="inlineStr">
        <is>
          <t>(181)178-8318x3003</t>
        </is>
      </c>
      <c r="E465" s="2" t="inlineStr">
        <is>
          <t>1908 Washington Alley Suite 134, Hayesmouth, KY 53984</t>
        </is>
      </c>
      <c r="F465" s="2" t="inlineStr">
        <is>
          <t>Kevinside</t>
        </is>
      </c>
      <c r="G465" s="2" t="inlineStr">
        <is>
          <t>Yemen</t>
        </is>
      </c>
      <c r="H465" s="2" t="inlineStr">
        <is>
          <t>these</t>
        </is>
      </c>
      <c r="I465" t="inlineStr">
        <is>
          <t>special</t>
        </is>
      </c>
    </row>
    <row r="466">
      <c r="A466" s="2" t="inlineStr">
        <is>
          <t>C4066</t>
        </is>
      </c>
      <c r="B466" s="2" t="inlineStr">
        <is>
          <t>Crystal Dawson</t>
        </is>
      </c>
      <c r="C466" s="2" t="inlineStr">
        <is>
          <t>skinnerkathleen@gmail.com</t>
        </is>
      </c>
      <c r="D466" s="2" t="inlineStr">
        <is>
          <t>(924)074-6480</t>
        </is>
      </c>
      <c r="E466" s="2" t="inlineStr">
        <is>
          <t>576 Christopher Inlet Suite 300, East Mary, AR 80505</t>
        </is>
      </c>
      <c r="F466" s="2" t="inlineStr">
        <is>
          <t>Wendybury</t>
        </is>
      </c>
      <c r="G466" s="2" t="inlineStr">
        <is>
          <t>French Southern Territories</t>
        </is>
      </c>
      <c r="H466" s="2" t="inlineStr">
        <is>
          <t>animal</t>
        </is>
      </c>
      <c r="I466" t="inlineStr">
        <is>
          <t>result</t>
        </is>
      </c>
    </row>
    <row r="467">
      <c r="A467" s="2" t="inlineStr">
        <is>
          <t>C7317</t>
        </is>
      </c>
      <c r="B467" s="2" t="inlineStr">
        <is>
          <t>Linda Paul</t>
        </is>
      </c>
      <c r="C467" s="2" t="inlineStr">
        <is>
          <t>larsenheidi@mendez.com</t>
        </is>
      </c>
      <c r="D467" s="2" t="inlineStr">
        <is>
          <t>068-390-0996x387</t>
        </is>
      </c>
      <c r="E467" s="2" t="inlineStr">
        <is>
          <t>5086 Garcia Lakes Apt. 699, South Randyberg, NE 82750</t>
        </is>
      </c>
      <c r="F467" s="2" t="inlineStr">
        <is>
          <t>Sheriton</t>
        </is>
      </c>
      <c r="G467" s="2" t="inlineStr">
        <is>
          <t>Maldives</t>
        </is>
      </c>
      <c r="H467" s="2" t="inlineStr">
        <is>
          <t>foot</t>
        </is>
      </c>
      <c r="I467" t="inlineStr">
        <is>
          <t>process</t>
        </is>
      </c>
    </row>
    <row r="468">
      <c r="A468" s="2" t="inlineStr">
        <is>
          <t>C6668</t>
        </is>
      </c>
      <c r="B468" s="2" t="inlineStr">
        <is>
          <t>James Roberts</t>
        </is>
      </c>
      <c r="C468" s="2" t="inlineStr">
        <is>
          <t>cooleychristina@schmidt.com</t>
        </is>
      </c>
      <c r="D468" s="2" t="inlineStr">
        <is>
          <t>904.984.9663x575</t>
        </is>
      </c>
      <c r="E468" s="2" t="inlineStr">
        <is>
          <t>146 Williams Pike, Gonzaleschester, OK 87175</t>
        </is>
      </c>
      <c r="F468" s="2" t="inlineStr">
        <is>
          <t>Yodershire</t>
        </is>
      </c>
      <c r="G468" s="2" t="inlineStr">
        <is>
          <t>Holy See (Vatican City State)</t>
        </is>
      </c>
      <c r="H468" s="2" t="inlineStr">
        <is>
          <t>past</t>
        </is>
      </c>
      <c r="I468" t="inlineStr">
        <is>
          <t>story</t>
        </is>
      </c>
    </row>
    <row r="469">
      <c r="A469" s="2" t="inlineStr">
        <is>
          <t>C1369</t>
        </is>
      </c>
      <c r="B469" s="2" t="inlineStr">
        <is>
          <t>Beth Martinez</t>
        </is>
      </c>
      <c r="C469" s="2" t="inlineStr">
        <is>
          <t>dowen@donovan.org</t>
        </is>
      </c>
      <c r="D469" s="2" t="inlineStr">
        <is>
          <t>001-829-984-5214x6115</t>
        </is>
      </c>
      <c r="E469" s="2" t="inlineStr">
        <is>
          <t>477 Katie Prairie Suite 409, South Christinaside, IA 08600</t>
        </is>
      </c>
      <c r="F469" s="2" t="inlineStr">
        <is>
          <t>West Emilyshire</t>
        </is>
      </c>
      <c r="G469" s="2" t="inlineStr">
        <is>
          <t>Seychelles</t>
        </is>
      </c>
      <c r="H469" s="2" t="inlineStr">
        <is>
          <t>network</t>
        </is>
      </c>
      <c r="I469" t="inlineStr">
        <is>
          <t>piece</t>
        </is>
      </c>
    </row>
    <row r="470">
      <c r="A470" s="2" t="inlineStr">
        <is>
          <t>C1080</t>
        </is>
      </c>
      <c r="B470" s="2" t="inlineStr">
        <is>
          <t>Juan Dickerson</t>
        </is>
      </c>
      <c r="C470" s="2" t="inlineStr">
        <is>
          <t>mark39@lee.net</t>
        </is>
      </c>
      <c r="D470" s="2" t="inlineStr">
        <is>
          <t>6055237134</t>
        </is>
      </c>
      <c r="E470" s="2" t="inlineStr">
        <is>
          <t>Unit 4728 Box 8976, DPO AE 61457</t>
        </is>
      </c>
      <c r="F470" s="2" t="inlineStr">
        <is>
          <t>West Matthewville</t>
        </is>
      </c>
      <c r="G470" s="2" t="inlineStr">
        <is>
          <t>Australia</t>
        </is>
      </c>
      <c r="H470" s="2" t="inlineStr">
        <is>
          <t>art</t>
        </is>
      </c>
      <c r="I470" t="inlineStr">
        <is>
          <t>ball</t>
        </is>
      </c>
    </row>
    <row r="471">
      <c r="A471" s="2" t="inlineStr">
        <is>
          <t>C5617</t>
        </is>
      </c>
      <c r="B471" s="2" t="inlineStr">
        <is>
          <t>Julia Mckay</t>
        </is>
      </c>
      <c r="C471" s="2" t="inlineStr">
        <is>
          <t>sharon66@hotmail.com</t>
        </is>
      </c>
      <c r="D471" s="2" t="inlineStr">
        <is>
          <t>955-513-2362</t>
        </is>
      </c>
      <c r="E471" s="2" t="inlineStr">
        <is>
          <t>826 Brent Wells, Lake Aaronfurt, SD 97130</t>
        </is>
      </c>
      <c r="F471" s="2" t="inlineStr">
        <is>
          <t>New Joshua</t>
        </is>
      </c>
      <c r="G471" s="2" t="inlineStr">
        <is>
          <t>Andorra</t>
        </is>
      </c>
      <c r="H471" s="2" t="inlineStr">
        <is>
          <t>prevent</t>
        </is>
      </c>
      <c r="I471" t="inlineStr">
        <is>
          <t>good</t>
        </is>
      </c>
    </row>
    <row r="472">
      <c r="A472" s="2" t="inlineStr">
        <is>
          <t>C3236</t>
        </is>
      </c>
      <c r="B472" s="2" t="inlineStr">
        <is>
          <t>Dwayne Garza</t>
        </is>
      </c>
      <c r="C472" s="2" t="inlineStr">
        <is>
          <t>matthewpacheco@hotmail.com</t>
        </is>
      </c>
      <c r="D472" s="2" t="inlineStr">
        <is>
          <t>+1-692-500-2447</t>
        </is>
      </c>
      <c r="E472" s="2" t="inlineStr">
        <is>
          <t>17624 Robert Roads, New Jon, ND 85299</t>
        </is>
      </c>
      <c r="F472" s="2" t="inlineStr">
        <is>
          <t>South Ginashire</t>
        </is>
      </c>
      <c r="G472" s="2" t="inlineStr">
        <is>
          <t>Saint Martin</t>
        </is>
      </c>
      <c r="H472" s="2" t="inlineStr">
        <is>
          <t>score</t>
        </is>
      </c>
      <c r="I472" t="inlineStr">
        <is>
          <t>peace</t>
        </is>
      </c>
    </row>
    <row r="473">
      <c r="A473" s="2" t="inlineStr">
        <is>
          <t>C4158</t>
        </is>
      </c>
      <c r="B473" s="2" t="inlineStr">
        <is>
          <t>Ronald Carter</t>
        </is>
      </c>
      <c r="C473" s="2" t="inlineStr">
        <is>
          <t>derekhayes@hotmail.com</t>
        </is>
      </c>
      <c r="D473" s="2" t="inlineStr">
        <is>
          <t>9530403400</t>
        </is>
      </c>
      <c r="E473" s="2" t="inlineStr">
        <is>
          <t>PSC 6595, Box 5907, APO AP 21379</t>
        </is>
      </c>
      <c r="F473" s="2" t="inlineStr">
        <is>
          <t>Mooreview</t>
        </is>
      </c>
      <c r="G473" s="2" t="inlineStr">
        <is>
          <t>Tuvalu</t>
        </is>
      </c>
      <c r="H473" s="2" t="inlineStr">
        <is>
          <t>away</t>
        </is>
      </c>
      <c r="I473" t="inlineStr">
        <is>
          <t>phone</t>
        </is>
      </c>
    </row>
    <row r="474">
      <c r="A474" s="2" t="inlineStr">
        <is>
          <t>C6244</t>
        </is>
      </c>
      <c r="B474" s="2" t="inlineStr">
        <is>
          <t>Mikayla Crawford</t>
        </is>
      </c>
      <c r="C474" s="2" t="inlineStr">
        <is>
          <t>williamsdarrell@gmail.com</t>
        </is>
      </c>
      <c r="D474" s="2" t="inlineStr">
        <is>
          <t>001-757-340-9589x5496</t>
        </is>
      </c>
      <c r="E474" s="2" t="inlineStr">
        <is>
          <t>342 Dawn Shoals, Davidport, VT 37566</t>
        </is>
      </c>
      <c r="F474" s="2" t="inlineStr">
        <is>
          <t>Garyview</t>
        </is>
      </c>
      <c r="G474" s="2" t="inlineStr">
        <is>
          <t>Jersey</t>
        </is>
      </c>
      <c r="H474" s="2" t="inlineStr">
        <is>
          <t>nice</t>
        </is>
      </c>
      <c r="I474" t="inlineStr">
        <is>
          <t>carry</t>
        </is>
      </c>
    </row>
    <row r="475">
      <c r="A475" s="2" t="inlineStr">
        <is>
          <t>C6430</t>
        </is>
      </c>
      <c r="B475" s="2" t="inlineStr">
        <is>
          <t>Joel Williamson</t>
        </is>
      </c>
      <c r="C475" s="2" t="inlineStr">
        <is>
          <t>rebecca73@hotmail.com</t>
        </is>
      </c>
      <c r="D475" s="2" t="inlineStr">
        <is>
          <t>361.559.9931x0983</t>
        </is>
      </c>
      <c r="E475" s="2" t="inlineStr">
        <is>
          <t>66282 Thompson Light, New Joseph, NH 11832</t>
        </is>
      </c>
      <c r="F475" s="2" t="inlineStr">
        <is>
          <t>Johnburgh</t>
        </is>
      </c>
      <c r="G475" s="2" t="inlineStr">
        <is>
          <t>Saint Kitts and Nevis</t>
        </is>
      </c>
      <c r="H475" s="2" t="inlineStr">
        <is>
          <t>tough</t>
        </is>
      </c>
      <c r="I475" t="inlineStr">
        <is>
          <t>weight</t>
        </is>
      </c>
    </row>
    <row r="476">
      <c r="A476" s="2" t="inlineStr">
        <is>
          <t>C2260</t>
        </is>
      </c>
      <c r="B476" s="2" t="inlineStr">
        <is>
          <t>Andrea Brock</t>
        </is>
      </c>
      <c r="C476" s="2" t="inlineStr">
        <is>
          <t>scott16@ward.net</t>
        </is>
      </c>
      <c r="D476" s="2" t="inlineStr">
        <is>
          <t>488-004-1370x360</t>
        </is>
      </c>
      <c r="E476" s="2" t="inlineStr">
        <is>
          <t>USS Gallegos, FPO AA 50318</t>
        </is>
      </c>
      <c r="F476" s="2" t="inlineStr">
        <is>
          <t>Jacobstad</t>
        </is>
      </c>
      <c r="G476" s="2" t="inlineStr">
        <is>
          <t>New Caledonia</t>
        </is>
      </c>
      <c r="H476" s="2" t="inlineStr">
        <is>
          <t>find</t>
        </is>
      </c>
      <c r="I476" t="inlineStr">
        <is>
          <t>government</t>
        </is>
      </c>
    </row>
    <row r="477">
      <c r="A477" s="2" t="inlineStr">
        <is>
          <t>C5649</t>
        </is>
      </c>
      <c r="B477" s="2" t="inlineStr">
        <is>
          <t>Charles Monroe</t>
        </is>
      </c>
      <c r="C477" s="2" t="inlineStr">
        <is>
          <t>jenniferchavez@hotmail.com</t>
        </is>
      </c>
      <c r="D477" s="2" t="inlineStr">
        <is>
          <t>2538407730</t>
        </is>
      </c>
      <c r="E477" s="2" t="inlineStr">
        <is>
          <t>199 Cathy Crest Apt. 680, Johnsonport, UT 17053</t>
        </is>
      </c>
      <c r="F477" s="2" t="inlineStr">
        <is>
          <t>Smithport</t>
        </is>
      </c>
      <c r="G477" s="2" t="inlineStr">
        <is>
          <t>Saint Helena</t>
        </is>
      </c>
      <c r="H477" s="2" t="inlineStr">
        <is>
          <t>media</t>
        </is>
      </c>
      <c r="I477" t="inlineStr">
        <is>
          <t>follow</t>
        </is>
      </c>
    </row>
    <row r="478">
      <c r="A478" s="2" t="inlineStr">
        <is>
          <t>C2893</t>
        </is>
      </c>
      <c r="B478" s="2" t="inlineStr">
        <is>
          <t>Andrew Taylor</t>
        </is>
      </c>
      <c r="C478" s="2" t="inlineStr">
        <is>
          <t>tsmith@martin.com</t>
        </is>
      </c>
      <c r="D478" s="2" t="inlineStr">
        <is>
          <t>(605)715-0869</t>
        </is>
      </c>
      <c r="E478" s="2" t="inlineStr">
        <is>
          <t>1452 Thomas Port, Austintown, OK 21432</t>
        </is>
      </c>
      <c r="F478" s="2" t="inlineStr">
        <is>
          <t>Tinaside</t>
        </is>
      </c>
      <c r="G478" s="2" t="inlineStr">
        <is>
          <t>Afghanistan</t>
        </is>
      </c>
      <c r="H478" s="2" t="inlineStr">
        <is>
          <t>be</t>
        </is>
      </c>
      <c r="I478" t="inlineStr">
        <is>
          <t>best</t>
        </is>
      </c>
    </row>
    <row r="479">
      <c r="A479" s="2" t="inlineStr">
        <is>
          <t>C4640</t>
        </is>
      </c>
      <c r="B479" s="2" t="inlineStr">
        <is>
          <t>Michael Valenzuela</t>
        </is>
      </c>
      <c r="C479" s="2" t="inlineStr">
        <is>
          <t>matthew89@rodriguez.net</t>
        </is>
      </c>
      <c r="D479" s="2" t="inlineStr">
        <is>
          <t>+1-297-529-2686x703</t>
        </is>
      </c>
      <c r="E479" s="2" t="inlineStr">
        <is>
          <t>18219 Shaw Oval Suite 217, South Evan, LA 38655</t>
        </is>
      </c>
      <c r="F479" s="2" t="inlineStr">
        <is>
          <t>Stephanieview</t>
        </is>
      </c>
      <c r="G479" s="2" t="inlineStr">
        <is>
          <t>United States Minor Outlying Islands</t>
        </is>
      </c>
      <c r="H479" s="2" t="inlineStr">
        <is>
          <t>among</t>
        </is>
      </c>
      <c r="I479" t="inlineStr">
        <is>
          <t>popular</t>
        </is>
      </c>
    </row>
    <row r="480">
      <c r="A480" s="2" t="inlineStr">
        <is>
          <t>C5940</t>
        </is>
      </c>
      <c r="B480" s="2" t="inlineStr">
        <is>
          <t>Alexis Wolfe</t>
        </is>
      </c>
      <c r="C480" s="2" t="inlineStr">
        <is>
          <t>isantiago@gmail.com</t>
        </is>
      </c>
      <c r="D480" s="2" t="inlineStr">
        <is>
          <t>+1-353-880-2629x903</t>
        </is>
      </c>
      <c r="E480" s="2" t="inlineStr">
        <is>
          <t>3171 Evans Tunnel Suite 950, New Loristad, RI 87255</t>
        </is>
      </c>
      <c r="F480" s="2" t="inlineStr">
        <is>
          <t>West Jeremiah</t>
        </is>
      </c>
      <c r="G480" s="2" t="inlineStr">
        <is>
          <t>Vanuatu</t>
        </is>
      </c>
      <c r="H480" s="2" t="inlineStr">
        <is>
          <t>month</t>
        </is>
      </c>
      <c r="I480" t="inlineStr">
        <is>
          <t>glass</t>
        </is>
      </c>
    </row>
    <row r="481">
      <c r="A481" s="2" t="inlineStr">
        <is>
          <t>C6581</t>
        </is>
      </c>
      <c r="B481" s="2" t="inlineStr">
        <is>
          <t>Elijah Torres</t>
        </is>
      </c>
      <c r="C481" s="2" t="inlineStr">
        <is>
          <t>thompsonkristen@yahoo.com</t>
        </is>
      </c>
      <c r="D481" s="2" t="inlineStr">
        <is>
          <t>074-105-1432x594</t>
        </is>
      </c>
      <c r="E481" s="2" t="inlineStr">
        <is>
          <t>706 Teresa Skyway, Taylorland, PA 00824</t>
        </is>
      </c>
      <c r="F481" s="2" t="inlineStr">
        <is>
          <t>New David</t>
        </is>
      </c>
      <c r="G481" s="2" t="inlineStr">
        <is>
          <t>Senegal</t>
        </is>
      </c>
      <c r="H481" s="2" t="inlineStr">
        <is>
          <t>even</t>
        </is>
      </c>
      <c r="I481" t="inlineStr">
        <is>
          <t>PM</t>
        </is>
      </c>
    </row>
    <row r="482">
      <c r="A482" s="2" t="inlineStr">
        <is>
          <t>C3645</t>
        </is>
      </c>
      <c r="B482" s="2" t="inlineStr">
        <is>
          <t>Matthew Harrell</t>
        </is>
      </c>
      <c r="C482" s="2" t="inlineStr">
        <is>
          <t>zcampbell@johnson-hudson.com</t>
        </is>
      </c>
      <c r="D482" s="2" t="inlineStr">
        <is>
          <t>(234)890-4892x98764</t>
        </is>
      </c>
      <c r="E482" s="2" t="inlineStr">
        <is>
          <t>30800 Elizabeth Court Suite 501, Kyleshire, IN 16366</t>
        </is>
      </c>
      <c r="F482" s="2" t="inlineStr">
        <is>
          <t>Lake Anthony</t>
        </is>
      </c>
      <c r="G482" s="2" t="inlineStr">
        <is>
          <t>Nepal</t>
        </is>
      </c>
      <c r="H482" s="2" t="inlineStr">
        <is>
          <t>who</t>
        </is>
      </c>
      <c r="I482" t="inlineStr">
        <is>
          <t>else</t>
        </is>
      </c>
    </row>
    <row r="483">
      <c r="A483" s="2" t="inlineStr">
        <is>
          <t>C9069</t>
        </is>
      </c>
      <c r="B483" s="2" t="inlineStr">
        <is>
          <t>Daniel Fisher</t>
        </is>
      </c>
      <c r="C483" s="2" t="inlineStr">
        <is>
          <t>benjaminjohnson@hotmail.com</t>
        </is>
      </c>
      <c r="D483" s="2" t="inlineStr">
        <is>
          <t>(467)561-1617</t>
        </is>
      </c>
      <c r="E483" s="2" t="inlineStr">
        <is>
          <t>333 Daniel Village Suite 215, Port Lorettaton, AK 91612</t>
        </is>
      </c>
      <c r="F483" s="2" t="inlineStr">
        <is>
          <t>North Sherryfort</t>
        </is>
      </c>
      <c r="G483" s="2" t="inlineStr">
        <is>
          <t>Norway</t>
        </is>
      </c>
      <c r="H483" s="2" t="inlineStr">
        <is>
          <t>onto</t>
        </is>
      </c>
      <c r="I483" t="inlineStr">
        <is>
          <t>official</t>
        </is>
      </c>
    </row>
    <row r="484">
      <c r="A484" s="2" t="inlineStr">
        <is>
          <t>C9204</t>
        </is>
      </c>
      <c r="B484" s="2" t="inlineStr">
        <is>
          <t>Christopher White</t>
        </is>
      </c>
      <c r="C484" s="2" t="inlineStr">
        <is>
          <t>derrickellis@farrell-peters.com</t>
        </is>
      </c>
      <c r="D484" s="2" t="inlineStr">
        <is>
          <t>001-266-407-0802x700</t>
        </is>
      </c>
      <c r="E484" s="2" t="inlineStr">
        <is>
          <t>7146 Wise Lodge Apt. 375, Port Douglas, AK 69420</t>
        </is>
      </c>
      <c r="F484" s="2" t="inlineStr">
        <is>
          <t>Murphyborough</t>
        </is>
      </c>
      <c r="G484" s="2" t="inlineStr">
        <is>
          <t>Indonesia</t>
        </is>
      </c>
      <c r="H484" s="2" t="inlineStr">
        <is>
          <t>stuff</t>
        </is>
      </c>
      <c r="I484" t="inlineStr">
        <is>
          <t>modern</t>
        </is>
      </c>
    </row>
    <row r="485">
      <c r="A485" s="2" t="inlineStr">
        <is>
          <t>C9468</t>
        </is>
      </c>
      <c r="B485" s="2" t="inlineStr">
        <is>
          <t>Robert Juarez</t>
        </is>
      </c>
      <c r="C485" s="2" t="inlineStr">
        <is>
          <t>johnsonrebecca@lambert.com</t>
        </is>
      </c>
      <c r="D485" s="2" t="inlineStr">
        <is>
          <t>5624343277</t>
        </is>
      </c>
      <c r="E485" s="2" t="inlineStr">
        <is>
          <t>856 Kelly Estates Apt. 552, West Chrischester, WY 93952</t>
        </is>
      </c>
      <c r="F485" s="2" t="inlineStr">
        <is>
          <t>East April</t>
        </is>
      </c>
      <c r="G485" s="2" t="inlineStr">
        <is>
          <t>Equatorial Guinea</t>
        </is>
      </c>
      <c r="H485" s="2" t="inlineStr">
        <is>
          <t>across</t>
        </is>
      </c>
      <c r="I485" t="inlineStr">
        <is>
          <t>sing</t>
        </is>
      </c>
    </row>
    <row r="486">
      <c r="A486" s="2" t="inlineStr">
        <is>
          <t>C6613</t>
        </is>
      </c>
      <c r="B486" s="2" t="inlineStr">
        <is>
          <t>Phillip Burton</t>
        </is>
      </c>
      <c r="C486" s="2" t="inlineStr">
        <is>
          <t>michael98@gmail.com</t>
        </is>
      </c>
      <c r="D486" s="2" t="inlineStr">
        <is>
          <t>2008758603</t>
        </is>
      </c>
      <c r="E486" s="2" t="inlineStr">
        <is>
          <t>USNV Hines, FPO AE 29450</t>
        </is>
      </c>
      <c r="F486" s="2" t="inlineStr">
        <is>
          <t>Lake Tanya</t>
        </is>
      </c>
      <c r="G486" s="2" t="inlineStr">
        <is>
          <t>Saint Helena</t>
        </is>
      </c>
      <c r="H486" s="2" t="inlineStr">
        <is>
          <t>form</t>
        </is>
      </c>
      <c r="I486" t="inlineStr">
        <is>
          <t>score</t>
        </is>
      </c>
    </row>
    <row r="487">
      <c r="A487" s="2" t="inlineStr">
        <is>
          <t>C1591</t>
        </is>
      </c>
      <c r="B487" s="2" t="inlineStr">
        <is>
          <t>Lori Garcia</t>
        </is>
      </c>
      <c r="C487" s="2" t="inlineStr">
        <is>
          <t>sweeneyadam@nicholson-vaughn.net</t>
        </is>
      </c>
      <c r="D487" s="2" t="inlineStr">
        <is>
          <t>(750)287-5003x4108</t>
        </is>
      </c>
      <c r="E487" s="2" t="inlineStr">
        <is>
          <t>95086 Catherine Mountain Suite 029, Allenmouth, AZ 75857</t>
        </is>
      </c>
      <c r="F487" s="2" t="inlineStr">
        <is>
          <t>Leetown</t>
        </is>
      </c>
      <c r="G487" s="2" t="inlineStr">
        <is>
          <t>Micronesia</t>
        </is>
      </c>
      <c r="H487" s="2" t="inlineStr">
        <is>
          <t>ball</t>
        </is>
      </c>
      <c r="I487" t="inlineStr">
        <is>
          <t>condition</t>
        </is>
      </c>
    </row>
    <row r="488">
      <c r="A488" s="2" t="inlineStr">
        <is>
          <t>C8016</t>
        </is>
      </c>
      <c r="B488" s="2" t="inlineStr">
        <is>
          <t>Tina Cox</t>
        </is>
      </c>
      <c r="C488" s="2" t="inlineStr">
        <is>
          <t>olsenshane@hotmail.com</t>
        </is>
      </c>
      <c r="D488" s="2" t="inlineStr">
        <is>
          <t>946.268.2192x2203</t>
        </is>
      </c>
      <c r="E488" s="2" t="inlineStr">
        <is>
          <t>466 Orozco Coves Apt. 064, Port Krista, ID 98950</t>
        </is>
      </c>
      <c r="F488" s="2" t="inlineStr">
        <is>
          <t>South Stephanieside</t>
        </is>
      </c>
      <c r="G488" s="2" t="inlineStr">
        <is>
          <t>Netherlands</t>
        </is>
      </c>
      <c r="H488" s="2" t="inlineStr">
        <is>
          <t>charge</t>
        </is>
      </c>
      <c r="I488" t="inlineStr">
        <is>
          <t>event</t>
        </is>
      </c>
    </row>
    <row r="489">
      <c r="A489" s="2" t="inlineStr">
        <is>
          <t>C5242</t>
        </is>
      </c>
      <c r="B489" s="2" t="inlineStr">
        <is>
          <t>Shawn Stafford</t>
        </is>
      </c>
      <c r="C489" s="2" t="inlineStr">
        <is>
          <t>rodriguezlisa@yahoo.com</t>
        </is>
      </c>
      <c r="D489" s="2" t="inlineStr">
        <is>
          <t>(178)007-2111x3634</t>
        </is>
      </c>
      <c r="E489" s="2" t="inlineStr">
        <is>
          <t>196 White Drive, Ramosmouth, CA 40135</t>
        </is>
      </c>
      <c r="F489" s="2" t="inlineStr">
        <is>
          <t>West Kelseyberg</t>
        </is>
      </c>
      <c r="G489" s="2" t="inlineStr">
        <is>
          <t>Pakistan</t>
        </is>
      </c>
      <c r="H489" s="2" t="inlineStr">
        <is>
          <t>write</t>
        </is>
      </c>
      <c r="I489" t="inlineStr">
        <is>
          <t>town</t>
        </is>
      </c>
    </row>
    <row r="490">
      <c r="A490" s="2" t="inlineStr">
        <is>
          <t>C1623</t>
        </is>
      </c>
      <c r="B490" s="2" t="inlineStr">
        <is>
          <t>Noah Little</t>
        </is>
      </c>
      <c r="C490" s="2" t="inlineStr">
        <is>
          <t>kevin98@francis.com</t>
        </is>
      </c>
      <c r="D490" s="2" t="inlineStr">
        <is>
          <t>+1-979-030-3723</t>
        </is>
      </c>
      <c r="E490" s="2" t="inlineStr">
        <is>
          <t>Unit 8873 Box 9738, DPO AP 46348</t>
        </is>
      </c>
      <c r="F490" s="2" t="inlineStr">
        <is>
          <t>Joneshaven</t>
        </is>
      </c>
      <c r="G490" s="2" t="inlineStr">
        <is>
          <t>British Virgin Islands</t>
        </is>
      </c>
      <c r="H490" s="2" t="inlineStr">
        <is>
          <t>investment</t>
        </is>
      </c>
      <c r="I490" t="inlineStr">
        <is>
          <t>single</t>
        </is>
      </c>
    </row>
    <row r="491">
      <c r="A491" s="2" t="inlineStr">
        <is>
          <t>C6281</t>
        </is>
      </c>
      <c r="B491" s="2" t="inlineStr">
        <is>
          <t>Thomas Sanford</t>
        </is>
      </c>
      <c r="C491" s="2" t="inlineStr">
        <is>
          <t>utorres@nash.com</t>
        </is>
      </c>
      <c r="D491" s="2" t="inlineStr">
        <is>
          <t>813.993.7029x62592</t>
        </is>
      </c>
      <c r="E491" s="2" t="inlineStr">
        <is>
          <t>74313 Ryan Path Apt. 560, Port Donaldborough, AL 41107</t>
        </is>
      </c>
      <c r="F491" s="2" t="inlineStr">
        <is>
          <t>Rachelmouth</t>
        </is>
      </c>
      <c r="G491" s="2" t="inlineStr">
        <is>
          <t>Norfolk Island</t>
        </is>
      </c>
      <c r="H491" s="2" t="inlineStr">
        <is>
          <t>point</t>
        </is>
      </c>
      <c r="I491" t="inlineStr">
        <is>
          <t>case</t>
        </is>
      </c>
    </row>
    <row r="492">
      <c r="A492" s="2" t="inlineStr">
        <is>
          <t>C5312</t>
        </is>
      </c>
      <c r="B492" s="2" t="inlineStr">
        <is>
          <t>Daniel Diaz</t>
        </is>
      </c>
      <c r="C492" s="2" t="inlineStr">
        <is>
          <t>barberwanda@yahoo.com</t>
        </is>
      </c>
      <c r="D492" s="2" t="inlineStr">
        <is>
          <t>642-465-1854x26096</t>
        </is>
      </c>
      <c r="E492" s="2" t="inlineStr">
        <is>
          <t>4946 Diane Knolls, Nicholasborough, HI 54455</t>
        </is>
      </c>
      <c r="F492" s="2" t="inlineStr">
        <is>
          <t>Bartlettside</t>
        </is>
      </c>
      <c r="G492" s="2" t="inlineStr">
        <is>
          <t>Nicaragua</t>
        </is>
      </c>
      <c r="H492" s="2" t="inlineStr">
        <is>
          <t>little</t>
        </is>
      </c>
      <c r="I492" t="inlineStr">
        <is>
          <t>these</t>
        </is>
      </c>
    </row>
    <row r="493">
      <c r="A493" s="2" t="inlineStr">
        <is>
          <t>C7144</t>
        </is>
      </c>
      <c r="B493" s="2" t="inlineStr">
        <is>
          <t>Christina Rogers</t>
        </is>
      </c>
      <c r="C493" s="2" t="inlineStr">
        <is>
          <t>jacob59@hester.com</t>
        </is>
      </c>
      <c r="D493" s="2" t="inlineStr">
        <is>
          <t>226.717.3929x29861</t>
        </is>
      </c>
      <c r="E493" s="2" t="inlineStr">
        <is>
          <t>69652 Brian Run, New Joseph, NJ 51558</t>
        </is>
      </c>
      <c r="F493" s="2" t="inlineStr">
        <is>
          <t>Jeffreyton</t>
        </is>
      </c>
      <c r="G493" s="2" t="inlineStr">
        <is>
          <t>Algeria</t>
        </is>
      </c>
      <c r="H493" s="2" t="inlineStr">
        <is>
          <t>us</t>
        </is>
      </c>
      <c r="I493" t="inlineStr">
        <is>
          <t>coach</t>
        </is>
      </c>
    </row>
    <row r="494">
      <c r="A494" s="2" t="inlineStr">
        <is>
          <t>C6393</t>
        </is>
      </c>
      <c r="B494" s="2" t="inlineStr">
        <is>
          <t>Charles Bryant</t>
        </is>
      </c>
      <c r="C494" s="2" t="inlineStr">
        <is>
          <t>campbelldanielle@hotmail.com</t>
        </is>
      </c>
      <c r="D494" s="2" t="inlineStr">
        <is>
          <t>001-196-812-8545x4045</t>
        </is>
      </c>
      <c r="E494" s="2" t="inlineStr">
        <is>
          <t>72278 Patricia Village Apt. 211, Port David, AK 55456</t>
        </is>
      </c>
      <c r="F494" s="2" t="inlineStr">
        <is>
          <t>Raymondhaven</t>
        </is>
      </c>
      <c r="G494" s="2" t="inlineStr">
        <is>
          <t>Central African Republic</t>
        </is>
      </c>
      <c r="H494" s="2" t="inlineStr">
        <is>
          <t>left</t>
        </is>
      </c>
      <c r="I494" t="inlineStr">
        <is>
          <t>serious</t>
        </is>
      </c>
    </row>
    <row r="495">
      <c r="A495" s="2" t="inlineStr">
        <is>
          <t>C7644</t>
        </is>
      </c>
      <c r="B495" s="2" t="inlineStr">
        <is>
          <t>David Rivera</t>
        </is>
      </c>
      <c r="C495" s="2" t="inlineStr">
        <is>
          <t>robertrush@zimmerman.com</t>
        </is>
      </c>
      <c r="D495" s="2" t="inlineStr">
        <is>
          <t>001-718-179-0246</t>
        </is>
      </c>
      <c r="E495" s="2" t="inlineStr">
        <is>
          <t>USCGC Acevedo, FPO AA 93619</t>
        </is>
      </c>
      <c r="F495" s="2" t="inlineStr">
        <is>
          <t>Bishopport</t>
        </is>
      </c>
      <c r="G495" s="2" t="inlineStr">
        <is>
          <t>Netherlands Antilles</t>
        </is>
      </c>
      <c r="H495" s="2" t="inlineStr">
        <is>
          <t>practice</t>
        </is>
      </c>
      <c r="I495" t="inlineStr">
        <is>
          <t>type</t>
        </is>
      </c>
    </row>
    <row r="496">
      <c r="A496" s="2" t="inlineStr">
        <is>
          <t>C9501</t>
        </is>
      </c>
      <c r="B496" s="2" t="inlineStr">
        <is>
          <t>Kenneth Mcbride</t>
        </is>
      </c>
      <c r="C496" s="2" t="inlineStr">
        <is>
          <t>briannewman@dean.biz</t>
        </is>
      </c>
      <c r="D496" s="2" t="inlineStr">
        <is>
          <t>(242)947-1306x159</t>
        </is>
      </c>
      <c r="E496" s="2" t="inlineStr">
        <is>
          <t>9362 Lee Plaza Suite 548, Teresahaven, MT 32862</t>
        </is>
      </c>
      <c r="F496" s="2" t="inlineStr">
        <is>
          <t>East Suzanne</t>
        </is>
      </c>
      <c r="G496" s="2" t="inlineStr">
        <is>
          <t>Bermuda</t>
        </is>
      </c>
      <c r="H496" s="2" t="inlineStr">
        <is>
          <t>why</t>
        </is>
      </c>
      <c r="I496" t="inlineStr">
        <is>
          <t>from</t>
        </is>
      </c>
    </row>
    <row r="497">
      <c r="A497" s="2" t="inlineStr">
        <is>
          <t>C6905</t>
        </is>
      </c>
      <c r="B497" s="2" t="inlineStr">
        <is>
          <t>Jordan Daniels</t>
        </is>
      </c>
      <c r="C497" s="2" t="inlineStr">
        <is>
          <t>patrickchurch@yahoo.com</t>
        </is>
      </c>
      <c r="D497" s="2" t="inlineStr">
        <is>
          <t>(997)537-7016x67544</t>
        </is>
      </c>
      <c r="E497" s="2" t="inlineStr">
        <is>
          <t>970 Emily View, West Tiffanyfurt, VA 80886</t>
        </is>
      </c>
      <c r="F497" s="2" t="inlineStr">
        <is>
          <t>Mooreville</t>
        </is>
      </c>
      <c r="G497" s="2" t="inlineStr">
        <is>
          <t>Pakistan</t>
        </is>
      </c>
      <c r="H497" s="2" t="inlineStr">
        <is>
          <t>improve</t>
        </is>
      </c>
      <c r="I497" t="inlineStr">
        <is>
          <t>up</t>
        </is>
      </c>
    </row>
    <row r="498">
      <c r="A498" s="2" t="inlineStr">
        <is>
          <t>C6146</t>
        </is>
      </c>
      <c r="B498" s="2" t="inlineStr">
        <is>
          <t>Robert Kim</t>
        </is>
      </c>
      <c r="C498" s="2" t="inlineStr">
        <is>
          <t>rwashington@hotmail.com</t>
        </is>
      </c>
      <c r="D498" s="2" t="inlineStr">
        <is>
          <t>(894)340-9901x2353</t>
        </is>
      </c>
      <c r="E498" s="2" t="inlineStr">
        <is>
          <t>5909 Lauren Springs, Vanessaview, VT 23169</t>
        </is>
      </c>
      <c r="F498" s="2" t="inlineStr">
        <is>
          <t>Angelicaton</t>
        </is>
      </c>
      <c r="G498" s="2" t="inlineStr">
        <is>
          <t>Jordan</t>
        </is>
      </c>
      <c r="H498" s="2" t="inlineStr">
        <is>
          <t>half</t>
        </is>
      </c>
      <c r="I498" t="inlineStr">
        <is>
          <t>reduce</t>
        </is>
      </c>
    </row>
    <row r="499">
      <c r="A499" s="2" t="inlineStr">
        <is>
          <t>C3895</t>
        </is>
      </c>
      <c r="B499" s="2" t="inlineStr">
        <is>
          <t>Harold Evans</t>
        </is>
      </c>
      <c r="C499" s="2" t="inlineStr">
        <is>
          <t>cpatrick@martin.net</t>
        </is>
      </c>
      <c r="D499" s="2" t="inlineStr">
        <is>
          <t>602-397-5103x95472</t>
        </is>
      </c>
      <c r="E499" s="2" t="inlineStr">
        <is>
          <t>61079 Douglas Tunnel Apt. 714, New Cathy, UT 21045</t>
        </is>
      </c>
      <c r="F499" s="2" t="inlineStr">
        <is>
          <t>Ericchester</t>
        </is>
      </c>
      <c r="G499" s="2" t="inlineStr">
        <is>
          <t>Aruba</t>
        </is>
      </c>
      <c r="H499" s="2" t="inlineStr">
        <is>
          <t>team</t>
        </is>
      </c>
      <c r="I499" t="inlineStr">
        <is>
          <t>change</t>
        </is>
      </c>
    </row>
    <row r="500">
      <c r="A500" s="2" t="inlineStr">
        <is>
          <t>C8807</t>
        </is>
      </c>
      <c r="B500" s="2" t="inlineStr">
        <is>
          <t>Laura Nichols</t>
        </is>
      </c>
      <c r="C500" s="2" t="inlineStr">
        <is>
          <t>jmiller@hotmail.com</t>
        </is>
      </c>
      <c r="D500" s="2" t="inlineStr">
        <is>
          <t>+1-951-381-6823x0021</t>
        </is>
      </c>
      <c r="E500" s="2" t="inlineStr">
        <is>
          <t>450 Clayton Gardens Suite 613, Morrisfort, OH 75510</t>
        </is>
      </c>
      <c r="F500" s="2" t="inlineStr">
        <is>
          <t>Lake Jon</t>
        </is>
      </c>
      <c r="G500" s="2" t="inlineStr">
        <is>
          <t>Uganda</t>
        </is>
      </c>
      <c r="H500" s="2" t="inlineStr">
        <is>
          <t>must</t>
        </is>
      </c>
      <c r="I500" t="inlineStr">
        <is>
          <t>itself</t>
        </is>
      </c>
    </row>
    <row r="501">
      <c r="A501" s="2" t="inlineStr">
        <is>
          <t>C1360</t>
        </is>
      </c>
      <c r="B501" s="2" t="inlineStr">
        <is>
          <t>Raymond Welch</t>
        </is>
      </c>
      <c r="C501" s="2" t="inlineStr">
        <is>
          <t>jamesjody@park.com</t>
        </is>
      </c>
      <c r="D501" s="2" t="inlineStr">
        <is>
          <t>+1-787-546-3666x032</t>
        </is>
      </c>
      <c r="E501" s="2" t="inlineStr">
        <is>
          <t>84937 Thomas Ridge Apt. 864, Jacksonhaven, KY 61498</t>
        </is>
      </c>
      <c r="F501" s="2" t="inlineStr">
        <is>
          <t>Taylorview</t>
        </is>
      </c>
      <c r="G501" s="2" t="inlineStr">
        <is>
          <t>El Salvador</t>
        </is>
      </c>
      <c r="H501" s="2" t="inlineStr">
        <is>
          <t>out</t>
        </is>
      </c>
      <c r="I501" t="inlineStr">
        <is>
          <t>save</t>
        </is>
      </c>
    </row>
    <row r="502">
      <c r="A502" s="2" t="inlineStr">
        <is>
          <t>C6054</t>
        </is>
      </c>
      <c r="B502" s="2" t="inlineStr">
        <is>
          <t>Jennifer Peterson</t>
        </is>
      </c>
      <c r="C502" s="2" t="inlineStr">
        <is>
          <t>katherinedavis@pittman.com</t>
        </is>
      </c>
      <c r="D502" s="2" t="inlineStr">
        <is>
          <t>771-520-3917</t>
        </is>
      </c>
      <c r="E502" s="2" t="inlineStr">
        <is>
          <t>6121 Ellis Garden, Beckstad, MD 80369</t>
        </is>
      </c>
      <c r="F502" s="2" t="inlineStr">
        <is>
          <t>North Nicole</t>
        </is>
      </c>
      <c r="G502" s="2" t="inlineStr">
        <is>
          <t>Cayman Islands</t>
        </is>
      </c>
      <c r="H502" s="2" t="inlineStr">
        <is>
          <t>article</t>
        </is>
      </c>
      <c r="I502" t="inlineStr">
        <is>
          <t>old</t>
        </is>
      </c>
    </row>
    <row r="503">
      <c r="A503" s="2" t="inlineStr">
        <is>
          <t>C9200</t>
        </is>
      </c>
      <c r="B503" s="2" t="inlineStr">
        <is>
          <t>Courtney Green</t>
        </is>
      </c>
      <c r="C503" s="2" t="inlineStr">
        <is>
          <t>marysullivan@yahoo.com</t>
        </is>
      </c>
      <c r="D503" s="2" t="inlineStr">
        <is>
          <t>001-882-301-1063x0164</t>
        </is>
      </c>
      <c r="E503" s="2" t="inlineStr">
        <is>
          <t>133 Maria Streets, West Sheri, VT 70451</t>
        </is>
      </c>
      <c r="F503" s="2" t="inlineStr">
        <is>
          <t>Charlesmouth</t>
        </is>
      </c>
      <c r="G503" s="2" t="inlineStr">
        <is>
          <t>Colombia</t>
        </is>
      </c>
      <c r="H503" s="2" t="inlineStr">
        <is>
          <t>environment</t>
        </is>
      </c>
      <c r="I503" t="inlineStr">
        <is>
          <t>society</t>
        </is>
      </c>
    </row>
    <row r="504">
      <c r="A504" s="2" t="inlineStr">
        <is>
          <t>C6815</t>
        </is>
      </c>
      <c r="B504" s="2" t="inlineStr">
        <is>
          <t>Eric Hernandez</t>
        </is>
      </c>
      <c r="C504" s="2" t="inlineStr">
        <is>
          <t>lowens@gmail.com</t>
        </is>
      </c>
      <c r="D504" s="2" t="inlineStr">
        <is>
          <t>(506)116-5597x6153</t>
        </is>
      </c>
      <c r="E504" s="2" t="inlineStr">
        <is>
          <t>62664 Steven Ways, New Kathrynshire, FL 72658</t>
        </is>
      </c>
      <c r="F504" s="2" t="inlineStr">
        <is>
          <t>Brooksberg</t>
        </is>
      </c>
      <c r="G504" s="2" t="inlineStr">
        <is>
          <t>Mayotte</t>
        </is>
      </c>
      <c r="H504" s="2" t="inlineStr">
        <is>
          <t>language</t>
        </is>
      </c>
      <c r="I504" t="inlineStr">
        <is>
          <t>glass</t>
        </is>
      </c>
    </row>
    <row r="505">
      <c r="A505" s="2" t="inlineStr">
        <is>
          <t>C6731</t>
        </is>
      </c>
      <c r="B505" s="2" t="inlineStr">
        <is>
          <t>Jessica Howell</t>
        </is>
      </c>
      <c r="C505" s="2" t="inlineStr">
        <is>
          <t>kcollins@hotmail.com</t>
        </is>
      </c>
      <c r="D505" s="2" t="inlineStr">
        <is>
          <t>909-933-0613</t>
        </is>
      </c>
      <c r="E505" s="2" t="inlineStr">
        <is>
          <t>76220 Long Fort, Crossport, NE 71984</t>
        </is>
      </c>
      <c r="F505" s="2" t="inlineStr">
        <is>
          <t>Morrowland</t>
        </is>
      </c>
      <c r="G505" s="2" t="inlineStr">
        <is>
          <t>Barbados</t>
        </is>
      </c>
      <c r="H505" s="2" t="inlineStr">
        <is>
          <t>sell</t>
        </is>
      </c>
      <c r="I505" t="inlineStr">
        <is>
          <t>him</t>
        </is>
      </c>
    </row>
    <row r="506">
      <c r="A506" s="2" t="inlineStr">
        <is>
          <t>C7061</t>
        </is>
      </c>
      <c r="B506" s="2" t="inlineStr">
        <is>
          <t>Kevin Velez</t>
        </is>
      </c>
      <c r="C506" s="2" t="inlineStr">
        <is>
          <t>melissasantos@lang-anderson.com</t>
        </is>
      </c>
      <c r="D506" s="2" t="inlineStr">
        <is>
          <t>001-405-004-1323x92747</t>
        </is>
      </c>
      <c r="E506" s="2" t="inlineStr">
        <is>
          <t>0950 Cox Lodge Suite 552, Stevensview, MA 46791</t>
        </is>
      </c>
      <c r="F506" s="2" t="inlineStr">
        <is>
          <t>Edwardstown</t>
        </is>
      </c>
      <c r="G506" s="2" t="inlineStr">
        <is>
          <t>Luxembourg</t>
        </is>
      </c>
      <c r="H506" s="2" t="inlineStr">
        <is>
          <t>allow</t>
        </is>
      </c>
      <c r="I506" t="inlineStr">
        <is>
          <t>yet</t>
        </is>
      </c>
    </row>
    <row r="507">
      <c r="A507" s="2" t="inlineStr">
        <is>
          <t>C4829</t>
        </is>
      </c>
      <c r="B507" s="2" t="inlineStr">
        <is>
          <t>Dr. Aaron Cross</t>
        </is>
      </c>
      <c r="C507" s="2" t="inlineStr">
        <is>
          <t>lfields@morrison.biz</t>
        </is>
      </c>
      <c r="D507" s="2" t="inlineStr">
        <is>
          <t>512.727.7117x7329</t>
        </is>
      </c>
      <c r="E507" s="2" t="inlineStr">
        <is>
          <t>976 Savannah Bridge Apt. 420, Michellehaven, NY 88697</t>
        </is>
      </c>
      <c r="F507" s="2" t="inlineStr">
        <is>
          <t>Port Shelleyville</t>
        </is>
      </c>
      <c r="G507" s="2" t="inlineStr">
        <is>
          <t>Sao Tome and Principe</t>
        </is>
      </c>
      <c r="H507" s="2" t="inlineStr">
        <is>
          <t>figure</t>
        </is>
      </c>
      <c r="I507" t="inlineStr">
        <is>
          <t>establish</t>
        </is>
      </c>
    </row>
    <row r="508">
      <c r="A508" s="2" t="inlineStr">
        <is>
          <t>C4159</t>
        </is>
      </c>
      <c r="B508" s="2" t="inlineStr">
        <is>
          <t>Dylan Fernandez</t>
        </is>
      </c>
      <c r="C508" s="2" t="inlineStr">
        <is>
          <t>walkerkyle@yahoo.com</t>
        </is>
      </c>
      <c r="D508" s="2" t="inlineStr">
        <is>
          <t>243-336-5685</t>
        </is>
      </c>
      <c r="E508" s="2" t="inlineStr">
        <is>
          <t>9726 Bishop Square Apt. 545, North Ericaville, PA 37730</t>
        </is>
      </c>
      <c r="F508" s="2" t="inlineStr">
        <is>
          <t>Tracychester</t>
        </is>
      </c>
      <c r="G508" s="2" t="inlineStr">
        <is>
          <t>Saudi Arabia</t>
        </is>
      </c>
      <c r="H508" s="2" t="inlineStr">
        <is>
          <t>partner</t>
        </is>
      </c>
      <c r="I508" t="inlineStr">
        <is>
          <t>song</t>
        </is>
      </c>
    </row>
    <row r="509">
      <c r="A509" s="2" t="inlineStr">
        <is>
          <t>C2707</t>
        </is>
      </c>
      <c r="B509" s="2" t="inlineStr">
        <is>
          <t>Cody Mathis</t>
        </is>
      </c>
      <c r="C509" s="2" t="inlineStr">
        <is>
          <t>tallen@miller.com</t>
        </is>
      </c>
      <c r="D509" s="2" t="inlineStr">
        <is>
          <t>+1-992-170-6408x8660</t>
        </is>
      </c>
      <c r="E509" s="2" t="inlineStr">
        <is>
          <t>USNS Baker, FPO AA 30038</t>
        </is>
      </c>
      <c r="F509" s="2" t="inlineStr">
        <is>
          <t>Pattyview</t>
        </is>
      </c>
      <c r="G509" s="2" t="inlineStr">
        <is>
          <t>Bosnia and Herzegovina</t>
        </is>
      </c>
      <c r="H509" s="2" t="inlineStr">
        <is>
          <t>activity</t>
        </is>
      </c>
      <c r="I509" t="inlineStr">
        <is>
          <t>first</t>
        </is>
      </c>
    </row>
    <row r="510">
      <c r="A510" s="2" t="inlineStr">
        <is>
          <t>C9651</t>
        </is>
      </c>
      <c r="B510" s="2" t="inlineStr">
        <is>
          <t>Gregory Welch</t>
        </is>
      </c>
      <c r="C510" s="2" t="inlineStr">
        <is>
          <t>audreyrowe@wilson.com</t>
        </is>
      </c>
      <c r="D510" s="2" t="inlineStr">
        <is>
          <t>001-392-827-4268</t>
        </is>
      </c>
      <c r="E510" s="2" t="inlineStr">
        <is>
          <t>609 John Estate, South Jane, CO 82040</t>
        </is>
      </c>
      <c r="F510" s="2" t="inlineStr">
        <is>
          <t>South Amberburgh</t>
        </is>
      </c>
      <c r="G510" s="2" t="inlineStr">
        <is>
          <t>Guyana</t>
        </is>
      </c>
      <c r="H510" s="2" t="inlineStr">
        <is>
          <t>message</t>
        </is>
      </c>
      <c r="I510" t="inlineStr">
        <is>
          <t>stay</t>
        </is>
      </c>
    </row>
    <row r="511">
      <c r="A511" s="2" t="inlineStr">
        <is>
          <t>C4360</t>
        </is>
      </c>
      <c r="B511" s="2" t="inlineStr">
        <is>
          <t>Elizabeth Johnston</t>
        </is>
      </c>
      <c r="C511" s="2" t="inlineStr">
        <is>
          <t>michaelregina@jackson.com</t>
        </is>
      </c>
      <c r="D511" s="2" t="inlineStr">
        <is>
          <t>001-825-638-7361x8421</t>
        </is>
      </c>
      <c r="E511" s="2" t="inlineStr">
        <is>
          <t>157 Katie Hills, Henryberg, AZ 90926</t>
        </is>
      </c>
      <c r="F511" s="2" t="inlineStr">
        <is>
          <t>East Larrymouth</t>
        </is>
      </c>
      <c r="G511" s="2" t="inlineStr">
        <is>
          <t>Western Sahara</t>
        </is>
      </c>
      <c r="H511" s="2" t="inlineStr">
        <is>
          <t>cause</t>
        </is>
      </c>
      <c r="I511" t="inlineStr">
        <is>
          <t>evidence</t>
        </is>
      </c>
    </row>
    <row r="512">
      <c r="A512" s="2" t="inlineStr">
        <is>
          <t>C4859</t>
        </is>
      </c>
      <c r="B512" s="2" t="inlineStr">
        <is>
          <t>Jacob Evans</t>
        </is>
      </c>
      <c r="C512" s="2" t="inlineStr">
        <is>
          <t>fweber@gmail.com</t>
        </is>
      </c>
      <c r="D512" s="2" t="inlineStr">
        <is>
          <t>9402800060</t>
        </is>
      </c>
      <c r="E512" s="2" t="inlineStr">
        <is>
          <t>507 Benjamin Square Apt. 319, West Sherryville, KS 42894</t>
        </is>
      </c>
      <c r="F512" s="2" t="inlineStr">
        <is>
          <t>North Latoyaton</t>
        </is>
      </c>
      <c r="G512" s="2" t="inlineStr">
        <is>
          <t>Japan</t>
        </is>
      </c>
      <c r="H512" s="2" t="inlineStr">
        <is>
          <t>difference</t>
        </is>
      </c>
      <c r="I512" t="inlineStr">
        <is>
          <t>notice</t>
        </is>
      </c>
    </row>
    <row r="513">
      <c r="A513" s="2" t="inlineStr">
        <is>
          <t>C9002</t>
        </is>
      </c>
      <c r="B513" s="2" t="inlineStr">
        <is>
          <t>Rachael Lewis</t>
        </is>
      </c>
      <c r="C513" s="2" t="inlineStr">
        <is>
          <t>pmiller@yahoo.com</t>
        </is>
      </c>
      <c r="D513" s="2" t="inlineStr">
        <is>
          <t>8253170727</t>
        </is>
      </c>
      <c r="E513" s="2" t="inlineStr">
        <is>
          <t>57580 Johnson Lodge, Port Johnborough, OH 94387</t>
        </is>
      </c>
      <c r="F513" s="2" t="inlineStr">
        <is>
          <t>Obrienville</t>
        </is>
      </c>
      <c r="G513" s="2" t="inlineStr">
        <is>
          <t>Russian Federation</t>
        </is>
      </c>
      <c r="H513" s="2" t="inlineStr">
        <is>
          <t>write</t>
        </is>
      </c>
      <c r="I513" t="inlineStr">
        <is>
          <t>particular</t>
        </is>
      </c>
    </row>
    <row r="514">
      <c r="A514" s="2" t="inlineStr">
        <is>
          <t>C2441</t>
        </is>
      </c>
      <c r="B514" s="2" t="inlineStr">
        <is>
          <t>Kenneth Figueroa</t>
        </is>
      </c>
      <c r="C514" s="2" t="inlineStr">
        <is>
          <t>eanderson@yahoo.com</t>
        </is>
      </c>
      <c r="D514" s="2" t="inlineStr">
        <is>
          <t>+1-209-777-3419x80476</t>
        </is>
      </c>
      <c r="E514" s="2" t="inlineStr">
        <is>
          <t>42312 Brittney Harbor, Hicksbury, MI 56128</t>
        </is>
      </c>
      <c r="F514" s="2" t="inlineStr">
        <is>
          <t>South Justin</t>
        </is>
      </c>
      <c r="G514" s="2" t="inlineStr">
        <is>
          <t>Bermuda</t>
        </is>
      </c>
      <c r="H514" s="2" t="inlineStr">
        <is>
          <t>smile</t>
        </is>
      </c>
      <c r="I514" t="inlineStr">
        <is>
          <t>door</t>
        </is>
      </c>
    </row>
    <row r="515">
      <c r="A515" s="2" t="inlineStr">
        <is>
          <t>C8539</t>
        </is>
      </c>
      <c r="B515" s="2" t="inlineStr">
        <is>
          <t>Brianna Ellis</t>
        </is>
      </c>
      <c r="C515" s="2" t="inlineStr">
        <is>
          <t>fgreene@hotmail.com</t>
        </is>
      </c>
      <c r="D515" s="2" t="inlineStr">
        <is>
          <t>(153)656-6984</t>
        </is>
      </c>
      <c r="E515" s="2" t="inlineStr">
        <is>
          <t>52502 Salazar Plains, Kelseyhaven, MT 56123</t>
        </is>
      </c>
      <c r="F515" s="2" t="inlineStr">
        <is>
          <t>Nicholasmouth</t>
        </is>
      </c>
      <c r="G515" s="2" t="inlineStr">
        <is>
          <t>Belgium</t>
        </is>
      </c>
      <c r="H515" s="2" t="inlineStr">
        <is>
          <t>suddenly</t>
        </is>
      </c>
      <c r="I515" t="inlineStr">
        <is>
          <t>nothing</t>
        </is>
      </c>
    </row>
    <row r="516">
      <c r="A516" s="2" t="inlineStr">
        <is>
          <t>C3955</t>
        </is>
      </c>
      <c r="B516" s="2" t="inlineStr">
        <is>
          <t>Lorraine Hogan</t>
        </is>
      </c>
      <c r="C516" s="2" t="inlineStr">
        <is>
          <t>joseph21@yahoo.com</t>
        </is>
      </c>
      <c r="D516" s="2" t="inlineStr">
        <is>
          <t>(589)115-2622</t>
        </is>
      </c>
      <c r="E516" s="2" t="inlineStr">
        <is>
          <t>2317 Alexa Circle Apt. 513, East Danielport, NM 53534</t>
        </is>
      </c>
      <c r="F516" s="2" t="inlineStr">
        <is>
          <t>Lake Jessica</t>
        </is>
      </c>
      <c r="G516" s="2" t="inlineStr">
        <is>
          <t>Austria</t>
        </is>
      </c>
      <c r="H516" s="2" t="inlineStr">
        <is>
          <t>prevent</t>
        </is>
      </c>
      <c r="I516" t="inlineStr">
        <is>
          <t>above</t>
        </is>
      </c>
    </row>
    <row r="517">
      <c r="A517" s="2" t="inlineStr">
        <is>
          <t>C6197</t>
        </is>
      </c>
      <c r="B517" s="2" t="inlineStr">
        <is>
          <t>Lindsey Armstrong</t>
        </is>
      </c>
      <c r="C517" s="2" t="inlineStr">
        <is>
          <t>stacey21@moore.com</t>
        </is>
      </c>
      <c r="D517" s="2" t="inlineStr">
        <is>
          <t>(201)924-8018</t>
        </is>
      </c>
      <c r="E517" s="2" t="inlineStr">
        <is>
          <t>70519 Shannon Unions, New Jennifer, OR 18833</t>
        </is>
      </c>
      <c r="F517" s="2" t="inlineStr">
        <is>
          <t>Terryville</t>
        </is>
      </c>
      <c r="G517" s="2" t="inlineStr">
        <is>
          <t>Gambia</t>
        </is>
      </c>
      <c r="H517" s="2" t="inlineStr">
        <is>
          <t>peace</t>
        </is>
      </c>
      <c r="I517" t="inlineStr">
        <is>
          <t>too</t>
        </is>
      </c>
    </row>
    <row r="518">
      <c r="A518" s="2" t="inlineStr">
        <is>
          <t>C7875</t>
        </is>
      </c>
      <c r="B518" s="2" t="inlineStr">
        <is>
          <t>Susan Smith</t>
        </is>
      </c>
      <c r="C518" s="2" t="inlineStr">
        <is>
          <t>christina49@yahoo.com</t>
        </is>
      </c>
      <c r="D518" s="2" t="inlineStr">
        <is>
          <t>806-021-5111x494</t>
        </is>
      </c>
      <c r="E518" s="2" t="inlineStr">
        <is>
          <t>809 Lopez Stravenue Apt. 445, North Jennifer, AL 10236</t>
        </is>
      </c>
      <c r="F518" s="2" t="inlineStr">
        <is>
          <t>Catherinechester</t>
        </is>
      </c>
      <c r="G518" s="2" t="inlineStr">
        <is>
          <t>Cuba</t>
        </is>
      </c>
      <c r="H518" s="2" t="inlineStr">
        <is>
          <t>soon</t>
        </is>
      </c>
      <c r="I518" t="inlineStr">
        <is>
          <t>each</t>
        </is>
      </c>
    </row>
    <row r="519">
      <c r="A519" s="2" t="inlineStr">
        <is>
          <t>C7248</t>
        </is>
      </c>
      <c r="B519" s="2" t="inlineStr">
        <is>
          <t>Matthew Moody</t>
        </is>
      </c>
      <c r="C519" s="2" t="inlineStr">
        <is>
          <t>kevinking@haynes.com</t>
        </is>
      </c>
      <c r="D519" s="2" t="inlineStr">
        <is>
          <t>282.395.7081x3075</t>
        </is>
      </c>
      <c r="E519" s="2" t="inlineStr">
        <is>
          <t>715 Kenneth Common Suite 239, Meyersmouth, AK 27203</t>
        </is>
      </c>
      <c r="F519" s="2" t="inlineStr">
        <is>
          <t>West Jamesberg</t>
        </is>
      </c>
      <c r="G519" s="2" t="inlineStr">
        <is>
          <t>Finland</t>
        </is>
      </c>
      <c r="H519" s="2" t="inlineStr">
        <is>
          <t>statement</t>
        </is>
      </c>
      <c r="I519" t="inlineStr">
        <is>
          <t>share</t>
        </is>
      </c>
    </row>
    <row r="520">
      <c r="A520" s="2" t="inlineStr">
        <is>
          <t>C4729</t>
        </is>
      </c>
      <c r="B520" s="2" t="inlineStr">
        <is>
          <t>Tammy Cowan</t>
        </is>
      </c>
      <c r="C520" s="2" t="inlineStr">
        <is>
          <t>melanie51@wilson.com</t>
        </is>
      </c>
      <c r="D520" s="2" t="inlineStr">
        <is>
          <t>747-322-8803</t>
        </is>
      </c>
      <c r="E520" s="2" t="inlineStr">
        <is>
          <t>347 Lewis Junction, South Michaelmouth, IL 41076</t>
        </is>
      </c>
      <c r="F520" s="2" t="inlineStr">
        <is>
          <t>North Jonathanmouth</t>
        </is>
      </c>
      <c r="G520" s="2" t="inlineStr">
        <is>
          <t>Micronesia</t>
        </is>
      </c>
      <c r="H520" s="2" t="inlineStr">
        <is>
          <t>nice</t>
        </is>
      </c>
      <c r="I520" t="inlineStr">
        <is>
          <t>year</t>
        </is>
      </c>
    </row>
    <row r="521">
      <c r="A521" s="2" t="inlineStr">
        <is>
          <t>C7584</t>
        </is>
      </c>
      <c r="B521" s="2" t="inlineStr">
        <is>
          <t>Kristin Castro</t>
        </is>
      </c>
      <c r="C521" s="2" t="inlineStr">
        <is>
          <t>cervantesheather@hotmail.com</t>
        </is>
      </c>
      <c r="D521" s="2" t="inlineStr">
        <is>
          <t>(825)726-6241x9656</t>
        </is>
      </c>
      <c r="E521" s="2" t="inlineStr">
        <is>
          <t>4438 Pearson Light Apt. 801, Craigview, DC 03303</t>
        </is>
      </c>
      <c r="F521" s="2" t="inlineStr">
        <is>
          <t>Webbtown</t>
        </is>
      </c>
      <c r="G521" s="2" t="inlineStr">
        <is>
          <t>Saint Kitts and Nevis</t>
        </is>
      </c>
      <c r="H521" s="2" t="inlineStr">
        <is>
          <t>ball</t>
        </is>
      </c>
      <c r="I521" t="inlineStr">
        <is>
          <t>today</t>
        </is>
      </c>
    </row>
    <row r="522">
      <c r="A522" s="2" t="inlineStr">
        <is>
          <t>C4204</t>
        </is>
      </c>
      <c r="B522" s="2" t="inlineStr">
        <is>
          <t>Shawn Brown Jr.</t>
        </is>
      </c>
      <c r="C522" s="2" t="inlineStr">
        <is>
          <t>lisa98@cook-mcbride.com</t>
        </is>
      </c>
      <c r="D522" s="2" t="inlineStr">
        <is>
          <t>(907)923-4819x72977</t>
        </is>
      </c>
      <c r="E522" s="2" t="inlineStr">
        <is>
          <t>9809 Armstrong Mount, New Allison, IA 41771</t>
        </is>
      </c>
      <c r="F522" s="2" t="inlineStr">
        <is>
          <t>Archertown</t>
        </is>
      </c>
      <c r="G522" s="2" t="inlineStr">
        <is>
          <t>Bahrain</t>
        </is>
      </c>
      <c r="H522" s="2" t="inlineStr">
        <is>
          <t>lawyer</t>
        </is>
      </c>
      <c r="I522" t="inlineStr">
        <is>
          <t>early</t>
        </is>
      </c>
    </row>
    <row r="523">
      <c r="A523" s="2" t="inlineStr">
        <is>
          <t>C5904</t>
        </is>
      </c>
      <c r="B523" s="2" t="inlineStr">
        <is>
          <t>Kenneth Rodriguez</t>
        </is>
      </c>
      <c r="C523" s="2" t="inlineStr">
        <is>
          <t>tsutton@morales.com</t>
        </is>
      </c>
      <c r="D523" s="2" t="inlineStr">
        <is>
          <t>001-521-620-8497x787</t>
        </is>
      </c>
      <c r="E523" s="2" t="inlineStr">
        <is>
          <t>51810 Catherine Union Apt. 082, Port Lisa, AR 65718</t>
        </is>
      </c>
      <c r="F523" s="2" t="inlineStr">
        <is>
          <t>Jamietown</t>
        </is>
      </c>
      <c r="G523" s="2" t="inlineStr">
        <is>
          <t>Jersey</t>
        </is>
      </c>
      <c r="H523" s="2" t="inlineStr">
        <is>
          <t>task</t>
        </is>
      </c>
      <c r="I523" t="inlineStr">
        <is>
          <t>small</t>
        </is>
      </c>
    </row>
    <row r="524">
      <c r="A524" s="2" t="inlineStr">
        <is>
          <t>C3025</t>
        </is>
      </c>
      <c r="B524" s="2" t="inlineStr">
        <is>
          <t>Alexis Duran</t>
        </is>
      </c>
      <c r="C524" s="2" t="inlineStr">
        <is>
          <t>brandy92@barnes.com</t>
        </is>
      </c>
      <c r="D524" s="2" t="inlineStr">
        <is>
          <t>1394989942</t>
        </is>
      </c>
      <c r="E524" s="2" t="inlineStr">
        <is>
          <t>PSC 2520, Box 4329, APO AP 40663</t>
        </is>
      </c>
      <c r="F524" s="2" t="inlineStr">
        <is>
          <t>Lake Andrewview</t>
        </is>
      </c>
      <c r="G524" s="2" t="inlineStr">
        <is>
          <t>Zambia</t>
        </is>
      </c>
      <c r="H524" s="2" t="inlineStr">
        <is>
          <t>unit</t>
        </is>
      </c>
      <c r="I524" t="inlineStr">
        <is>
          <t>allow</t>
        </is>
      </c>
    </row>
    <row r="525">
      <c r="A525" s="2" t="inlineStr">
        <is>
          <t>C1730</t>
        </is>
      </c>
      <c r="B525" s="2" t="inlineStr">
        <is>
          <t>Stephanie Cruz</t>
        </is>
      </c>
      <c r="C525" s="2" t="inlineStr">
        <is>
          <t>lgraham@stephenson.com</t>
        </is>
      </c>
      <c r="D525" s="2" t="inlineStr">
        <is>
          <t>011-556-6635x4820</t>
        </is>
      </c>
      <c r="E525" s="2" t="inlineStr">
        <is>
          <t>8040 Bradley Center, Roychester, MA 81864</t>
        </is>
      </c>
      <c r="F525" s="2" t="inlineStr">
        <is>
          <t>East David</t>
        </is>
      </c>
      <c r="G525" s="2" t="inlineStr">
        <is>
          <t>Antigua and Barbuda</t>
        </is>
      </c>
      <c r="H525" s="2" t="inlineStr">
        <is>
          <t>sister</t>
        </is>
      </c>
      <c r="I525" t="inlineStr">
        <is>
          <t>keep</t>
        </is>
      </c>
    </row>
    <row r="526">
      <c r="A526" s="2" t="inlineStr">
        <is>
          <t>C4626</t>
        </is>
      </c>
      <c r="B526" s="2" t="inlineStr">
        <is>
          <t>Teresa Daniel</t>
        </is>
      </c>
      <c r="C526" s="2" t="inlineStr">
        <is>
          <t>hmoore@hotmail.com</t>
        </is>
      </c>
      <c r="D526" s="2" t="inlineStr">
        <is>
          <t>108.812.7605x918</t>
        </is>
      </c>
      <c r="E526" s="2" t="inlineStr">
        <is>
          <t>39630 Victoria Extensions, East Cassandrashire, MD 65947</t>
        </is>
      </c>
      <c r="F526" s="2" t="inlineStr">
        <is>
          <t>North Arthur</t>
        </is>
      </c>
      <c r="G526" s="2" t="inlineStr">
        <is>
          <t>Serbia</t>
        </is>
      </c>
      <c r="H526" s="2" t="inlineStr">
        <is>
          <t>trade</t>
        </is>
      </c>
      <c r="I526" t="inlineStr">
        <is>
          <t>order</t>
        </is>
      </c>
    </row>
    <row r="527">
      <c r="A527" s="2" t="inlineStr">
        <is>
          <t>C8469</t>
        </is>
      </c>
      <c r="B527" s="2" t="inlineStr">
        <is>
          <t>Julie Brown</t>
        </is>
      </c>
      <c r="C527" s="2" t="inlineStr">
        <is>
          <t>shawnancy@valentine-edwards.com</t>
        </is>
      </c>
      <c r="D527" s="2" t="inlineStr">
        <is>
          <t>429.793.6745x54891</t>
        </is>
      </c>
      <c r="E527" s="2" t="inlineStr">
        <is>
          <t>1713 Mora Crescent, East Hailey, AR 01081</t>
        </is>
      </c>
      <c r="F527" s="2" t="inlineStr">
        <is>
          <t>Nicholasfort</t>
        </is>
      </c>
      <c r="G527" s="2" t="inlineStr">
        <is>
          <t>Wallis and Futuna</t>
        </is>
      </c>
      <c r="H527" s="2" t="inlineStr">
        <is>
          <t>sister</t>
        </is>
      </c>
      <c r="I527" t="inlineStr">
        <is>
          <t>thousand</t>
        </is>
      </c>
    </row>
    <row r="528">
      <c r="A528" s="2" t="inlineStr">
        <is>
          <t>C1257</t>
        </is>
      </c>
      <c r="B528" s="2" t="inlineStr">
        <is>
          <t>Joshua Mills</t>
        </is>
      </c>
      <c r="C528" s="2" t="inlineStr">
        <is>
          <t>katelyn14@rogers-wagner.com</t>
        </is>
      </c>
      <c r="D528" s="2" t="inlineStr">
        <is>
          <t>+1-051-289-2870</t>
        </is>
      </c>
      <c r="E528" s="2" t="inlineStr">
        <is>
          <t>73253 Lee Glens Suite 482, Petersonchester, KY 34154</t>
        </is>
      </c>
      <c r="F528" s="2" t="inlineStr">
        <is>
          <t>Lake Richard</t>
        </is>
      </c>
      <c r="G528" s="2" t="inlineStr">
        <is>
          <t>Czech Republic</t>
        </is>
      </c>
      <c r="H528" s="2" t="inlineStr">
        <is>
          <t>realize</t>
        </is>
      </c>
      <c r="I528" t="inlineStr">
        <is>
          <t>office</t>
        </is>
      </c>
    </row>
    <row r="529">
      <c r="A529" s="2" t="inlineStr">
        <is>
          <t>C9361</t>
        </is>
      </c>
      <c r="B529" s="2" t="inlineStr">
        <is>
          <t>Maria Cannon DDS</t>
        </is>
      </c>
      <c r="C529" s="2" t="inlineStr">
        <is>
          <t>victoriabates@gmail.com</t>
        </is>
      </c>
      <c r="D529" s="2" t="inlineStr">
        <is>
          <t>001-704-944-0721x87395</t>
        </is>
      </c>
      <c r="E529" s="2" t="inlineStr">
        <is>
          <t>86933 Conner Springs, New Jacquelineport, NV 26479</t>
        </is>
      </c>
      <c r="F529" s="2" t="inlineStr">
        <is>
          <t>Lake Mark</t>
        </is>
      </c>
      <c r="G529" s="2" t="inlineStr">
        <is>
          <t>Moldova</t>
        </is>
      </c>
      <c r="H529" s="2" t="inlineStr">
        <is>
          <t>gun</t>
        </is>
      </c>
      <c r="I529" t="inlineStr">
        <is>
          <t>staff</t>
        </is>
      </c>
    </row>
    <row r="530">
      <c r="A530" s="2" t="inlineStr">
        <is>
          <t>C4688</t>
        </is>
      </c>
      <c r="B530" s="2" t="inlineStr">
        <is>
          <t>Catherine Smith</t>
        </is>
      </c>
      <c r="C530" s="2" t="inlineStr">
        <is>
          <t>clarkhannah@hotmail.com</t>
        </is>
      </c>
      <c r="D530" s="2" t="inlineStr">
        <is>
          <t>(600)016-6110x50200</t>
        </is>
      </c>
      <c r="E530" s="2" t="inlineStr">
        <is>
          <t>PSC 0207, Box 3557, APO AA 42141</t>
        </is>
      </c>
      <c r="F530" s="2" t="inlineStr">
        <is>
          <t>Jamesborough</t>
        </is>
      </c>
      <c r="G530" s="2" t="inlineStr">
        <is>
          <t>Denmark</t>
        </is>
      </c>
      <c r="H530" s="2" t="inlineStr">
        <is>
          <t>choose</t>
        </is>
      </c>
      <c r="I530" t="inlineStr">
        <is>
          <t>brother</t>
        </is>
      </c>
    </row>
    <row r="531">
      <c r="A531" s="2" t="inlineStr">
        <is>
          <t>C5598</t>
        </is>
      </c>
      <c r="B531" s="2" t="inlineStr">
        <is>
          <t>Catherine Parker</t>
        </is>
      </c>
      <c r="C531" s="2" t="inlineStr">
        <is>
          <t>marcusandrade@hotmail.com</t>
        </is>
      </c>
      <c r="D531" s="2" t="inlineStr">
        <is>
          <t>735.300.0264x02316</t>
        </is>
      </c>
      <c r="E531" s="2" t="inlineStr">
        <is>
          <t>483 Mejia Plaza, Port Darrenhaven, NJ 08521</t>
        </is>
      </c>
      <c r="F531" s="2" t="inlineStr">
        <is>
          <t>Diazberg</t>
        </is>
      </c>
      <c r="G531" s="2" t="inlineStr">
        <is>
          <t>Palau</t>
        </is>
      </c>
      <c r="H531" s="2" t="inlineStr">
        <is>
          <t>defense</t>
        </is>
      </c>
      <c r="I531" t="inlineStr">
        <is>
          <t>someone</t>
        </is>
      </c>
    </row>
    <row r="532">
      <c r="A532" s="2" t="inlineStr">
        <is>
          <t>C6506</t>
        </is>
      </c>
      <c r="B532" s="2" t="inlineStr">
        <is>
          <t>Benjamin Bruce</t>
        </is>
      </c>
      <c r="C532" s="2" t="inlineStr">
        <is>
          <t>jeffreysmith@hotmail.com</t>
        </is>
      </c>
      <c r="D532" s="2" t="inlineStr">
        <is>
          <t>8162675797</t>
        </is>
      </c>
      <c r="E532" s="2" t="inlineStr">
        <is>
          <t>1916 Adams Island Apt. 470, Obrienchester, AK 63830</t>
        </is>
      </c>
      <c r="F532" s="2" t="inlineStr">
        <is>
          <t>Goodwinport</t>
        </is>
      </c>
      <c r="G532" s="2" t="inlineStr">
        <is>
          <t>Korea</t>
        </is>
      </c>
      <c r="H532" s="2" t="inlineStr">
        <is>
          <t>relate</t>
        </is>
      </c>
      <c r="I532" t="inlineStr">
        <is>
          <t>attack</t>
        </is>
      </c>
    </row>
    <row r="533">
      <c r="A533" s="2" t="inlineStr">
        <is>
          <t>C1516</t>
        </is>
      </c>
      <c r="B533" s="2" t="inlineStr">
        <is>
          <t>Kristina Robinson</t>
        </is>
      </c>
      <c r="C533" s="2" t="inlineStr">
        <is>
          <t>xsolis@gmail.com</t>
        </is>
      </c>
      <c r="D533" s="2" t="inlineStr">
        <is>
          <t>623-579-1454x6800</t>
        </is>
      </c>
      <c r="E533" s="2" t="inlineStr">
        <is>
          <t>79142 Lee Viaduct Suite 449, East Karentown, IL 90231</t>
        </is>
      </c>
      <c r="F533" s="2" t="inlineStr">
        <is>
          <t>West Ronaldhaven</t>
        </is>
      </c>
      <c r="G533" s="2" t="inlineStr">
        <is>
          <t>San Marino</t>
        </is>
      </c>
      <c r="H533" s="2" t="inlineStr">
        <is>
          <t>reach</t>
        </is>
      </c>
      <c r="I533" t="inlineStr">
        <is>
          <t>section</t>
        </is>
      </c>
    </row>
    <row r="534">
      <c r="A534" s="2" t="inlineStr">
        <is>
          <t>C3535</t>
        </is>
      </c>
      <c r="B534" s="2" t="inlineStr">
        <is>
          <t>Jeanne Farmer</t>
        </is>
      </c>
      <c r="C534" s="2" t="inlineStr">
        <is>
          <t>caguirre@wolfe.com</t>
        </is>
      </c>
      <c r="D534" s="2" t="inlineStr">
        <is>
          <t>+1-874-015-2064</t>
        </is>
      </c>
      <c r="E534" s="2" t="inlineStr">
        <is>
          <t>84329 Young Island, Dianaburgh, IN 75445</t>
        </is>
      </c>
      <c r="F534" s="2" t="inlineStr">
        <is>
          <t>Thomaschester</t>
        </is>
      </c>
      <c r="G534" s="2" t="inlineStr">
        <is>
          <t>French Southern Territories</t>
        </is>
      </c>
      <c r="H534" s="2" t="inlineStr">
        <is>
          <t>reach</t>
        </is>
      </c>
      <c r="I534" t="inlineStr">
        <is>
          <t>who</t>
        </is>
      </c>
    </row>
    <row r="535">
      <c r="A535" s="2" t="inlineStr">
        <is>
          <t>C3009</t>
        </is>
      </c>
      <c r="B535" s="2" t="inlineStr">
        <is>
          <t>Shawn Dean</t>
        </is>
      </c>
      <c r="C535" s="2" t="inlineStr">
        <is>
          <t>ladams@hotmail.com</t>
        </is>
      </c>
      <c r="D535" s="2" t="inlineStr">
        <is>
          <t>(753)181-8234x0952</t>
        </is>
      </c>
      <c r="E535" s="2" t="inlineStr">
        <is>
          <t>69448 Sosa Plains Apt. 479, East Erinbury, VA 82468</t>
        </is>
      </c>
      <c r="F535" s="2" t="inlineStr">
        <is>
          <t>Pollardville</t>
        </is>
      </c>
      <c r="G535" s="2" t="inlineStr">
        <is>
          <t>Kenya</t>
        </is>
      </c>
      <c r="H535" s="2" t="inlineStr">
        <is>
          <t>happen</t>
        </is>
      </c>
      <c r="I535" t="inlineStr">
        <is>
          <t>either</t>
        </is>
      </c>
    </row>
    <row r="536">
      <c r="A536" s="2" t="inlineStr">
        <is>
          <t>C9380</t>
        </is>
      </c>
      <c r="B536" s="2" t="inlineStr">
        <is>
          <t>Danielle Cook</t>
        </is>
      </c>
      <c r="C536" s="2" t="inlineStr">
        <is>
          <t>michelebrewer@gomez-lane.com</t>
        </is>
      </c>
      <c r="D536" s="2" t="inlineStr">
        <is>
          <t>001-681-494-2814x334</t>
        </is>
      </c>
      <c r="E536" s="2" t="inlineStr">
        <is>
          <t>55180 Hailey Harbor, Lake Lisa, WY 21923</t>
        </is>
      </c>
      <c r="F536" s="2" t="inlineStr">
        <is>
          <t>Lake Sonya</t>
        </is>
      </c>
      <c r="G536" s="2" t="inlineStr">
        <is>
          <t>San Marino</t>
        </is>
      </c>
      <c r="H536" s="2" t="inlineStr">
        <is>
          <t>event</t>
        </is>
      </c>
      <c r="I536" t="inlineStr">
        <is>
          <t>throughout</t>
        </is>
      </c>
    </row>
    <row r="537">
      <c r="A537" s="2" t="inlineStr">
        <is>
          <t>C3573</t>
        </is>
      </c>
      <c r="B537" s="2" t="inlineStr">
        <is>
          <t>Audrey Kramer</t>
        </is>
      </c>
      <c r="C537" s="2" t="inlineStr">
        <is>
          <t>perrylopez@yahoo.com</t>
        </is>
      </c>
      <c r="D537" s="2" t="inlineStr">
        <is>
          <t>971.179.8057</t>
        </is>
      </c>
      <c r="E537" s="2" t="inlineStr">
        <is>
          <t>7132 Salazar Throughway Apt. 734, Jenniferborough, IN 87658</t>
        </is>
      </c>
      <c r="F537" s="2" t="inlineStr">
        <is>
          <t>Martinstad</t>
        </is>
      </c>
      <c r="G537" s="2" t="inlineStr">
        <is>
          <t>Timor-Leste</t>
        </is>
      </c>
      <c r="H537" s="2" t="inlineStr">
        <is>
          <t>second</t>
        </is>
      </c>
      <c r="I537" t="inlineStr">
        <is>
          <t>you</t>
        </is>
      </c>
    </row>
    <row r="538">
      <c r="A538" s="2" t="inlineStr">
        <is>
          <t>C5117</t>
        </is>
      </c>
      <c r="B538" s="2" t="inlineStr">
        <is>
          <t>Jennifer Long</t>
        </is>
      </c>
      <c r="C538" s="2" t="inlineStr">
        <is>
          <t>qcohen@johnson.com</t>
        </is>
      </c>
      <c r="D538" s="2" t="inlineStr">
        <is>
          <t>689-664-1933x739</t>
        </is>
      </c>
      <c r="E538" s="2" t="inlineStr">
        <is>
          <t>21787 Martinez Stream, East Mary, MI 23516</t>
        </is>
      </c>
      <c r="F538" s="2" t="inlineStr">
        <is>
          <t>Thompsonmouth</t>
        </is>
      </c>
      <c r="G538" s="2" t="inlineStr">
        <is>
          <t>Cayman Islands</t>
        </is>
      </c>
      <c r="H538" s="2" t="inlineStr">
        <is>
          <t>modern</t>
        </is>
      </c>
      <c r="I538" t="inlineStr">
        <is>
          <t>son</t>
        </is>
      </c>
    </row>
    <row r="539">
      <c r="A539" s="2" t="inlineStr">
        <is>
          <t>C8170</t>
        </is>
      </c>
      <c r="B539" s="2" t="inlineStr">
        <is>
          <t>Vicki Sanders</t>
        </is>
      </c>
      <c r="C539" s="2" t="inlineStr">
        <is>
          <t>flowerserica@martin.info</t>
        </is>
      </c>
      <c r="D539" s="2" t="inlineStr">
        <is>
          <t>+1-737-747-3852x542</t>
        </is>
      </c>
      <c r="E539" s="2" t="inlineStr">
        <is>
          <t>363 Sue Neck, Turnerfort, MS 43467</t>
        </is>
      </c>
      <c r="F539" s="2" t="inlineStr">
        <is>
          <t>Krystalside</t>
        </is>
      </c>
      <c r="G539" s="2" t="inlineStr">
        <is>
          <t>Niue</t>
        </is>
      </c>
      <c r="H539" s="2" t="inlineStr">
        <is>
          <t>director</t>
        </is>
      </c>
      <c r="I539" t="inlineStr">
        <is>
          <t>herself</t>
        </is>
      </c>
    </row>
    <row r="540">
      <c r="A540" s="2" t="inlineStr">
        <is>
          <t>C3962</t>
        </is>
      </c>
      <c r="B540" s="2" t="inlineStr">
        <is>
          <t>Anthony Wong</t>
        </is>
      </c>
      <c r="C540" s="2" t="inlineStr">
        <is>
          <t>evancarson@hotmail.com</t>
        </is>
      </c>
      <c r="D540" s="2" t="inlineStr">
        <is>
          <t>0788699021</t>
        </is>
      </c>
      <c r="E540" s="2" t="inlineStr">
        <is>
          <t>675 Jennifer Oval, North Gwendolyn, GA 16118</t>
        </is>
      </c>
      <c r="F540" s="2" t="inlineStr">
        <is>
          <t>East Marissa</t>
        </is>
      </c>
      <c r="G540" s="2" t="inlineStr">
        <is>
          <t>Thailand</t>
        </is>
      </c>
      <c r="H540" s="2" t="inlineStr">
        <is>
          <t>accept</t>
        </is>
      </c>
      <c r="I540" t="inlineStr">
        <is>
          <t>program</t>
        </is>
      </c>
    </row>
    <row r="541">
      <c r="A541" s="2" t="inlineStr">
        <is>
          <t>C2757</t>
        </is>
      </c>
      <c r="B541" s="2" t="inlineStr">
        <is>
          <t>Angela Luna</t>
        </is>
      </c>
      <c r="C541" s="2" t="inlineStr">
        <is>
          <t>josephperez@carpenter.biz</t>
        </is>
      </c>
      <c r="D541" s="2" t="inlineStr">
        <is>
          <t>6647283731</t>
        </is>
      </c>
      <c r="E541" s="2" t="inlineStr">
        <is>
          <t>067 Charles Canyon Suite 742, Port Kristen, ID 04826</t>
        </is>
      </c>
      <c r="F541" s="2" t="inlineStr">
        <is>
          <t>Scottfort</t>
        </is>
      </c>
      <c r="G541" s="2" t="inlineStr">
        <is>
          <t>Equatorial Guinea</t>
        </is>
      </c>
      <c r="H541" s="2" t="inlineStr">
        <is>
          <t>four</t>
        </is>
      </c>
      <c r="I541" t="inlineStr">
        <is>
          <t>receive</t>
        </is>
      </c>
    </row>
    <row r="542">
      <c r="A542" s="2" t="inlineStr">
        <is>
          <t>C1426</t>
        </is>
      </c>
      <c r="B542" s="2" t="inlineStr">
        <is>
          <t>Donald Wright</t>
        </is>
      </c>
      <c r="C542" s="2" t="inlineStr">
        <is>
          <t>jamesjones@gmail.com</t>
        </is>
      </c>
      <c r="D542" s="2" t="inlineStr">
        <is>
          <t>7557607280</t>
        </is>
      </c>
      <c r="E542" s="2" t="inlineStr">
        <is>
          <t>901 Tracy Mountain Suite 970, Elizabethshire, IN 81281</t>
        </is>
      </c>
      <c r="F542" s="2" t="inlineStr">
        <is>
          <t>West Christopher</t>
        </is>
      </c>
      <c r="G542" s="2" t="inlineStr">
        <is>
          <t>Tanzania</t>
        </is>
      </c>
      <c r="H542" s="2" t="inlineStr">
        <is>
          <t>magazine</t>
        </is>
      </c>
      <c r="I542" t="inlineStr">
        <is>
          <t>role</t>
        </is>
      </c>
    </row>
    <row r="543">
      <c r="A543" s="2" t="inlineStr">
        <is>
          <t>C1286</t>
        </is>
      </c>
      <c r="B543" s="2" t="inlineStr">
        <is>
          <t>Mrs. Carrie Owen MD</t>
        </is>
      </c>
      <c r="C543" s="2" t="inlineStr">
        <is>
          <t>zjennings@hotmail.com</t>
        </is>
      </c>
      <c r="D543" s="2" t="inlineStr">
        <is>
          <t>798-906-1260x59768</t>
        </is>
      </c>
      <c r="E543" s="2" t="inlineStr">
        <is>
          <t>871 Sherry Turnpike, Howardmouth, VT 60383</t>
        </is>
      </c>
      <c r="F543" s="2" t="inlineStr">
        <is>
          <t>Tateland</t>
        </is>
      </c>
      <c r="G543" s="2" t="inlineStr">
        <is>
          <t>Belgium</t>
        </is>
      </c>
      <c r="H543" s="2" t="inlineStr">
        <is>
          <t>walk</t>
        </is>
      </c>
      <c r="I543" t="inlineStr">
        <is>
          <t>the</t>
        </is>
      </c>
    </row>
    <row r="544">
      <c r="A544" s="2" t="inlineStr">
        <is>
          <t>C3093</t>
        </is>
      </c>
      <c r="B544" s="2" t="inlineStr">
        <is>
          <t>Tara Lopez</t>
        </is>
      </c>
      <c r="C544" s="2" t="inlineStr">
        <is>
          <t>sandra45@mitchell-king.com</t>
        </is>
      </c>
      <c r="D544" s="2" t="inlineStr">
        <is>
          <t>(930)908-9537x46409</t>
        </is>
      </c>
      <c r="E544" s="2" t="inlineStr">
        <is>
          <t>3195 Meghan Roads Suite 465, North Zachary, SD 55608</t>
        </is>
      </c>
      <c r="F544" s="2" t="inlineStr">
        <is>
          <t>East Cynthia</t>
        </is>
      </c>
      <c r="G544" s="2" t="inlineStr">
        <is>
          <t>Bermuda</t>
        </is>
      </c>
      <c r="H544" s="2" t="inlineStr">
        <is>
          <t>present</t>
        </is>
      </c>
      <c r="I544" t="inlineStr">
        <is>
          <t>under</t>
        </is>
      </c>
    </row>
    <row r="545">
      <c r="A545" s="2" t="inlineStr">
        <is>
          <t>C5955</t>
        </is>
      </c>
      <c r="B545" s="2" t="inlineStr">
        <is>
          <t>Julia Mason</t>
        </is>
      </c>
      <c r="C545" s="2" t="inlineStr">
        <is>
          <t>kyledavis@sanders.com</t>
        </is>
      </c>
      <c r="D545" s="2" t="inlineStr">
        <is>
          <t>001-901-997-5358x69979</t>
        </is>
      </c>
      <c r="E545" s="2" t="inlineStr">
        <is>
          <t>462 Christine Bypass Apt. 547, Brandonchester, WI 88277</t>
        </is>
      </c>
      <c r="F545" s="2" t="inlineStr">
        <is>
          <t>New Katie</t>
        </is>
      </c>
      <c r="G545" s="2" t="inlineStr">
        <is>
          <t>Reunion</t>
        </is>
      </c>
      <c r="H545" s="2" t="inlineStr">
        <is>
          <t>alone</t>
        </is>
      </c>
      <c r="I545" t="inlineStr">
        <is>
          <t>moment</t>
        </is>
      </c>
    </row>
    <row r="546">
      <c r="A546" s="2" t="inlineStr">
        <is>
          <t>C2275</t>
        </is>
      </c>
      <c r="B546" s="2" t="inlineStr">
        <is>
          <t>Jessica Deleon</t>
        </is>
      </c>
      <c r="C546" s="2" t="inlineStr">
        <is>
          <t>xjenkins@yahoo.com</t>
        </is>
      </c>
      <c r="D546" s="2" t="inlineStr">
        <is>
          <t>314-202-5512x645</t>
        </is>
      </c>
      <c r="E546" s="2" t="inlineStr">
        <is>
          <t>257 Jeffery Dale Suite 529, Danielleville, VT 47512</t>
        </is>
      </c>
      <c r="F546" s="2" t="inlineStr">
        <is>
          <t>Kristifort</t>
        </is>
      </c>
      <c r="G546" s="2" t="inlineStr">
        <is>
          <t>Jordan</t>
        </is>
      </c>
      <c r="H546" s="2" t="inlineStr">
        <is>
          <t>yeah</t>
        </is>
      </c>
      <c r="I546" t="inlineStr">
        <is>
          <t>economic</t>
        </is>
      </c>
    </row>
    <row r="547">
      <c r="A547" s="2" t="inlineStr">
        <is>
          <t>C4981</t>
        </is>
      </c>
      <c r="B547" s="2" t="inlineStr">
        <is>
          <t>Edward Sweeney</t>
        </is>
      </c>
      <c r="C547" s="2" t="inlineStr">
        <is>
          <t>bullockterri@newton.net</t>
        </is>
      </c>
      <c r="D547" s="2" t="inlineStr">
        <is>
          <t>001-407-361-1633</t>
        </is>
      </c>
      <c r="E547" s="2" t="inlineStr">
        <is>
          <t>7191 Marquez Path, Taylorville, NV 51543</t>
        </is>
      </c>
      <c r="F547" s="2" t="inlineStr">
        <is>
          <t>Daviesmouth</t>
        </is>
      </c>
      <c r="G547" s="2" t="inlineStr">
        <is>
          <t>Taiwan</t>
        </is>
      </c>
      <c r="H547" s="2" t="inlineStr">
        <is>
          <t>our</t>
        </is>
      </c>
      <c r="I547" t="inlineStr">
        <is>
          <t>people</t>
        </is>
      </c>
    </row>
    <row r="548">
      <c r="A548" s="2" t="inlineStr">
        <is>
          <t>C4893</t>
        </is>
      </c>
      <c r="B548" s="2" t="inlineStr">
        <is>
          <t>Amanda Morales</t>
        </is>
      </c>
      <c r="C548" s="2" t="inlineStr">
        <is>
          <t>rasmussenstephanie@yahoo.com</t>
        </is>
      </c>
      <c r="D548" s="2" t="inlineStr">
        <is>
          <t>(234)872-8080</t>
        </is>
      </c>
      <c r="E548" s="2" t="inlineStr">
        <is>
          <t>USCGC Davis, FPO AE 65165</t>
        </is>
      </c>
      <c r="F548" s="2" t="inlineStr">
        <is>
          <t>New John</t>
        </is>
      </c>
      <c r="G548" s="2" t="inlineStr">
        <is>
          <t>United Arab Emirates</t>
        </is>
      </c>
      <c r="H548" s="2" t="inlineStr">
        <is>
          <t>right</t>
        </is>
      </c>
      <c r="I548" t="inlineStr">
        <is>
          <t>make</t>
        </is>
      </c>
    </row>
    <row r="549">
      <c r="A549" s="2" t="inlineStr">
        <is>
          <t>C9680</t>
        </is>
      </c>
      <c r="B549" s="2" t="inlineStr">
        <is>
          <t>Tanya Johnson</t>
        </is>
      </c>
      <c r="C549" s="2" t="inlineStr">
        <is>
          <t>ubrown@yahoo.com</t>
        </is>
      </c>
      <c r="D549" s="2" t="inlineStr">
        <is>
          <t>136-006-4031</t>
        </is>
      </c>
      <c r="E549" s="2" t="inlineStr">
        <is>
          <t>907 Fernandez Plains Apt. 638, Cantrellhaven, MN 39997</t>
        </is>
      </c>
      <c r="F549" s="2" t="inlineStr">
        <is>
          <t>New Jodiberg</t>
        </is>
      </c>
      <c r="G549" s="2" t="inlineStr">
        <is>
          <t>Germany</t>
        </is>
      </c>
      <c r="H549" s="2" t="inlineStr">
        <is>
          <t>indeed</t>
        </is>
      </c>
      <c r="I549" t="inlineStr">
        <is>
          <t>save</t>
        </is>
      </c>
    </row>
    <row r="550">
      <c r="A550" s="2" t="inlineStr">
        <is>
          <t>C6663</t>
        </is>
      </c>
      <c r="B550" s="2" t="inlineStr">
        <is>
          <t>Brian Ward</t>
        </is>
      </c>
      <c r="C550" s="2" t="inlineStr">
        <is>
          <t>olivia57@white-martinez.net</t>
        </is>
      </c>
      <c r="D550" s="2" t="inlineStr">
        <is>
          <t>+1-569-954-0610x1042</t>
        </is>
      </c>
      <c r="E550" s="2" t="inlineStr">
        <is>
          <t>56813 Franco Street Suite 927, Tiffanyhaven, GA 51765</t>
        </is>
      </c>
      <c r="F550" s="2" t="inlineStr">
        <is>
          <t>Smithmouth</t>
        </is>
      </c>
      <c r="G550" s="2" t="inlineStr">
        <is>
          <t>Armenia</t>
        </is>
      </c>
      <c r="H550" s="2" t="inlineStr">
        <is>
          <t>public</t>
        </is>
      </c>
      <c r="I550" t="inlineStr">
        <is>
          <t>several</t>
        </is>
      </c>
    </row>
    <row r="551">
      <c r="A551" s="2" t="inlineStr">
        <is>
          <t>C5583</t>
        </is>
      </c>
      <c r="B551" s="2" t="inlineStr">
        <is>
          <t>Todd Chan</t>
        </is>
      </c>
      <c r="C551" s="2" t="inlineStr">
        <is>
          <t>ericschmidt@clark-cook.com</t>
        </is>
      </c>
      <c r="D551" s="2" t="inlineStr">
        <is>
          <t>(356)036-2895x8639</t>
        </is>
      </c>
      <c r="E551" s="2" t="inlineStr">
        <is>
          <t>61255 Alexander Square, Andreview, KY 19959</t>
        </is>
      </c>
      <c r="F551" s="2" t="inlineStr">
        <is>
          <t>Denniston</t>
        </is>
      </c>
      <c r="G551" s="2" t="inlineStr">
        <is>
          <t>Brazil</t>
        </is>
      </c>
      <c r="H551" s="2" t="inlineStr">
        <is>
          <t>power</t>
        </is>
      </c>
      <c r="I551" t="inlineStr">
        <is>
          <t>collection</t>
        </is>
      </c>
    </row>
    <row r="552">
      <c r="A552" s="2" t="inlineStr">
        <is>
          <t>C4797</t>
        </is>
      </c>
      <c r="B552" s="2" t="inlineStr">
        <is>
          <t>Jessica Gordon</t>
        </is>
      </c>
      <c r="C552" s="2" t="inlineStr">
        <is>
          <t>ygilbert@yahoo.com</t>
        </is>
      </c>
      <c r="D552" s="2" t="inlineStr">
        <is>
          <t>(234)616-8973x85438</t>
        </is>
      </c>
      <c r="E552" s="2" t="inlineStr">
        <is>
          <t>04462 Christina Harbor, Joneshaven, NY 71812</t>
        </is>
      </c>
      <c r="F552" s="2" t="inlineStr">
        <is>
          <t>Fordhaven</t>
        </is>
      </c>
      <c r="G552" s="2" t="inlineStr">
        <is>
          <t>Micronesia</t>
        </is>
      </c>
      <c r="H552" s="2" t="inlineStr">
        <is>
          <t>process</t>
        </is>
      </c>
      <c r="I552" t="inlineStr">
        <is>
          <t>really</t>
        </is>
      </c>
    </row>
    <row r="553">
      <c r="A553" s="2" t="inlineStr">
        <is>
          <t>C1953</t>
        </is>
      </c>
      <c r="B553" s="2" t="inlineStr">
        <is>
          <t>Andrew Poole</t>
        </is>
      </c>
      <c r="C553" s="2" t="inlineStr">
        <is>
          <t>jose00@meza-walton.com</t>
        </is>
      </c>
      <c r="D553" s="2" t="inlineStr">
        <is>
          <t>143-224-7427x976</t>
        </is>
      </c>
      <c r="E553" s="2" t="inlineStr">
        <is>
          <t>4536 Cox Club, Lake Kristinastad, CT 66498</t>
        </is>
      </c>
      <c r="F553" s="2" t="inlineStr">
        <is>
          <t>East Johnmouth</t>
        </is>
      </c>
      <c r="G553" s="2" t="inlineStr">
        <is>
          <t>Maldives</t>
        </is>
      </c>
      <c r="H553" s="2" t="inlineStr">
        <is>
          <t>get</t>
        </is>
      </c>
      <c r="I553" t="inlineStr">
        <is>
          <t>material</t>
        </is>
      </c>
    </row>
    <row r="554">
      <c r="A554" s="2" t="inlineStr">
        <is>
          <t>C2507</t>
        </is>
      </c>
      <c r="B554" s="2" t="inlineStr">
        <is>
          <t>Renee Meyers</t>
        </is>
      </c>
      <c r="C554" s="2" t="inlineStr">
        <is>
          <t>brownrobert@brewer-alvarado.info</t>
        </is>
      </c>
      <c r="D554" s="2" t="inlineStr">
        <is>
          <t>+1-323-278-5713</t>
        </is>
      </c>
      <c r="E554" s="2" t="inlineStr">
        <is>
          <t>9760 Jorge Parkway Apt. 892, Lake David, ID 03202</t>
        </is>
      </c>
      <c r="F554" s="2" t="inlineStr">
        <is>
          <t>Michaelville</t>
        </is>
      </c>
      <c r="G554" s="2" t="inlineStr">
        <is>
          <t>Tunisia</t>
        </is>
      </c>
      <c r="H554" s="2" t="inlineStr">
        <is>
          <t>issue</t>
        </is>
      </c>
      <c r="I554" t="inlineStr">
        <is>
          <t>thus</t>
        </is>
      </c>
    </row>
    <row r="555">
      <c r="A555" s="2" t="inlineStr">
        <is>
          <t>C6746</t>
        </is>
      </c>
      <c r="B555" s="2" t="inlineStr">
        <is>
          <t>James Jones</t>
        </is>
      </c>
      <c r="C555" s="2" t="inlineStr">
        <is>
          <t>jwilliams@nash.net</t>
        </is>
      </c>
      <c r="D555" s="2" t="inlineStr">
        <is>
          <t>001-345-437-5414x8148</t>
        </is>
      </c>
      <c r="E555" s="2" t="inlineStr">
        <is>
          <t>54602 Ashley Prairie Suite 254, Joelmouth, VA 70983</t>
        </is>
      </c>
      <c r="F555" s="2" t="inlineStr">
        <is>
          <t>Stephanieborough</t>
        </is>
      </c>
      <c r="G555" s="2" t="inlineStr">
        <is>
          <t>Bhutan</t>
        </is>
      </c>
      <c r="H555" s="2" t="inlineStr">
        <is>
          <t>theory</t>
        </is>
      </c>
      <c r="I555" t="inlineStr">
        <is>
          <t>medical</t>
        </is>
      </c>
    </row>
    <row r="556">
      <c r="A556" s="2" t="inlineStr">
        <is>
          <t>C4001</t>
        </is>
      </c>
      <c r="B556" s="2" t="inlineStr">
        <is>
          <t>Brian Walker</t>
        </is>
      </c>
      <c r="C556" s="2" t="inlineStr">
        <is>
          <t>tamara15@hotmail.com</t>
        </is>
      </c>
      <c r="D556" s="2" t="inlineStr">
        <is>
          <t>+1-647-564-5311x03502</t>
        </is>
      </c>
      <c r="E556" s="2" t="inlineStr">
        <is>
          <t>23658 Harmon Falls, New Josechester, IN 46523</t>
        </is>
      </c>
      <c r="F556" s="2" t="inlineStr">
        <is>
          <t>South Gary</t>
        </is>
      </c>
      <c r="G556" s="2" t="inlineStr">
        <is>
          <t>Bahrain</t>
        </is>
      </c>
      <c r="H556" s="2" t="inlineStr">
        <is>
          <t>theory</t>
        </is>
      </c>
      <c r="I556" t="inlineStr">
        <is>
          <t>writer</t>
        </is>
      </c>
    </row>
    <row r="557">
      <c r="A557" s="2" t="inlineStr">
        <is>
          <t>C6641</t>
        </is>
      </c>
      <c r="B557" s="2" t="inlineStr">
        <is>
          <t>Kayla Martinez</t>
        </is>
      </c>
      <c r="C557" s="2" t="inlineStr">
        <is>
          <t>harriskenneth@yahoo.com</t>
        </is>
      </c>
      <c r="D557" s="2" t="inlineStr">
        <is>
          <t>+1-590-540-3433</t>
        </is>
      </c>
      <c r="E557" s="2" t="inlineStr">
        <is>
          <t>049 Travis Canyon, West John, CA 40910</t>
        </is>
      </c>
      <c r="F557" s="2" t="inlineStr">
        <is>
          <t>North Elizabeth</t>
        </is>
      </c>
      <c r="G557" s="2" t="inlineStr">
        <is>
          <t>Armenia</t>
        </is>
      </c>
      <c r="H557" s="2" t="inlineStr">
        <is>
          <t>return</t>
        </is>
      </c>
      <c r="I557" t="inlineStr">
        <is>
          <t>upon</t>
        </is>
      </c>
    </row>
    <row r="558">
      <c r="A558" s="2" t="inlineStr">
        <is>
          <t>C7085</t>
        </is>
      </c>
      <c r="B558" s="2" t="inlineStr">
        <is>
          <t>Steve Rodriguez</t>
        </is>
      </c>
      <c r="C558" s="2" t="inlineStr">
        <is>
          <t>kristinperry@jones.com</t>
        </is>
      </c>
      <c r="D558" s="2" t="inlineStr">
        <is>
          <t>621.574.2575x7815</t>
        </is>
      </c>
      <c r="E558" s="2" t="inlineStr">
        <is>
          <t>864 Mendoza Drive Apt. 251, Donnahaven, FL 85020</t>
        </is>
      </c>
      <c r="F558" s="2" t="inlineStr">
        <is>
          <t>New Dylan</t>
        </is>
      </c>
      <c r="G558" s="2" t="inlineStr">
        <is>
          <t>Haiti</t>
        </is>
      </c>
      <c r="H558" s="2" t="inlineStr">
        <is>
          <t>minute</t>
        </is>
      </c>
      <c r="I558" t="inlineStr">
        <is>
          <t>crime</t>
        </is>
      </c>
    </row>
    <row r="559">
      <c r="A559" s="2" t="inlineStr">
        <is>
          <t>C6234</t>
        </is>
      </c>
      <c r="B559" s="2" t="inlineStr">
        <is>
          <t>Brittany Hickman</t>
        </is>
      </c>
      <c r="C559" s="2" t="inlineStr">
        <is>
          <t>kwhite@yahoo.com</t>
        </is>
      </c>
      <c r="D559" s="2" t="inlineStr">
        <is>
          <t>6181454631</t>
        </is>
      </c>
      <c r="E559" s="2" t="inlineStr">
        <is>
          <t>PSC 0466, Box 6882, APO AP 56970</t>
        </is>
      </c>
      <c r="F559" s="2" t="inlineStr">
        <is>
          <t>Randalltown</t>
        </is>
      </c>
      <c r="G559" s="2" t="inlineStr">
        <is>
          <t>Dominica</t>
        </is>
      </c>
      <c r="H559" s="2" t="inlineStr">
        <is>
          <t>evening</t>
        </is>
      </c>
      <c r="I559" t="inlineStr">
        <is>
          <t>feeling</t>
        </is>
      </c>
    </row>
    <row r="560">
      <c r="A560" s="2" t="inlineStr">
        <is>
          <t>C9628</t>
        </is>
      </c>
      <c r="B560" s="2" t="inlineStr">
        <is>
          <t>Pamela Wilson</t>
        </is>
      </c>
      <c r="C560" s="2" t="inlineStr">
        <is>
          <t>carlarnold@riley.com</t>
        </is>
      </c>
      <c r="D560" s="2" t="inlineStr">
        <is>
          <t>377.324.4984x64690</t>
        </is>
      </c>
      <c r="E560" s="2" t="inlineStr">
        <is>
          <t>49145 Mcgee Island Suite 897, Woodberg, CO 23983</t>
        </is>
      </c>
      <c r="F560" s="2" t="inlineStr">
        <is>
          <t>Amandaside</t>
        </is>
      </c>
      <c r="G560" s="2" t="inlineStr">
        <is>
          <t>Guadeloupe</t>
        </is>
      </c>
      <c r="H560" s="2" t="inlineStr">
        <is>
          <t>minute</t>
        </is>
      </c>
      <c r="I560" t="inlineStr">
        <is>
          <t>along</t>
        </is>
      </c>
    </row>
    <row r="561">
      <c r="A561" s="2" t="inlineStr">
        <is>
          <t>C1569</t>
        </is>
      </c>
      <c r="B561" s="2" t="inlineStr">
        <is>
          <t>Donna Green DDS</t>
        </is>
      </c>
      <c r="C561" s="2" t="inlineStr">
        <is>
          <t>janetolson@gmail.com</t>
        </is>
      </c>
      <c r="D561" s="2" t="inlineStr">
        <is>
          <t>(468)115-2118x18463</t>
        </is>
      </c>
      <c r="E561" s="2" t="inlineStr">
        <is>
          <t>3384 Julie Forges, Lake Rachel, NC 80153</t>
        </is>
      </c>
      <c r="F561" s="2" t="inlineStr">
        <is>
          <t>Brittneyside</t>
        </is>
      </c>
      <c r="G561" s="2" t="inlineStr">
        <is>
          <t>Cameroon</t>
        </is>
      </c>
      <c r="H561" s="2" t="inlineStr">
        <is>
          <t>out</t>
        </is>
      </c>
      <c r="I561" t="inlineStr">
        <is>
          <t>forget</t>
        </is>
      </c>
    </row>
    <row r="562">
      <c r="A562" s="2" t="inlineStr">
        <is>
          <t>C4151</t>
        </is>
      </c>
      <c r="B562" s="2" t="inlineStr">
        <is>
          <t>Cynthia Good</t>
        </is>
      </c>
      <c r="C562" s="2" t="inlineStr">
        <is>
          <t>chuang@james.org</t>
        </is>
      </c>
      <c r="D562" s="2" t="inlineStr">
        <is>
          <t>001-775-537-3196x9926</t>
        </is>
      </c>
      <c r="E562" s="2" t="inlineStr">
        <is>
          <t>928 Ayala Loop Apt. 280, West Chelsea, MI 54977</t>
        </is>
      </c>
      <c r="F562" s="2" t="inlineStr">
        <is>
          <t>Port Jameston</t>
        </is>
      </c>
      <c r="G562" s="2" t="inlineStr">
        <is>
          <t>Macedonia</t>
        </is>
      </c>
      <c r="H562" s="2" t="inlineStr">
        <is>
          <t>young</t>
        </is>
      </c>
      <c r="I562" t="inlineStr">
        <is>
          <t>message</t>
        </is>
      </c>
    </row>
    <row r="563">
      <c r="A563" s="2" t="inlineStr">
        <is>
          <t>C4528</t>
        </is>
      </c>
      <c r="B563" s="2" t="inlineStr">
        <is>
          <t>Vincent Larsen</t>
        </is>
      </c>
      <c r="C563" s="2" t="inlineStr">
        <is>
          <t>moorekathleen@gmail.com</t>
        </is>
      </c>
      <c r="D563" s="2" t="inlineStr">
        <is>
          <t>(724)573-2100</t>
        </is>
      </c>
      <c r="E563" s="2" t="inlineStr">
        <is>
          <t>532 Taylor Crossroad, Lake David, WY 13492</t>
        </is>
      </c>
      <c r="F563" s="2" t="inlineStr">
        <is>
          <t>East Bethfort</t>
        </is>
      </c>
      <c r="G563" s="2" t="inlineStr">
        <is>
          <t>Anguilla</t>
        </is>
      </c>
      <c r="H563" s="2" t="inlineStr">
        <is>
          <t>north</t>
        </is>
      </c>
      <c r="I563" t="inlineStr">
        <is>
          <t>TV</t>
        </is>
      </c>
    </row>
    <row r="564">
      <c r="A564" s="2" t="inlineStr">
        <is>
          <t>C7098</t>
        </is>
      </c>
      <c r="B564" s="2" t="inlineStr">
        <is>
          <t>Tina Krause</t>
        </is>
      </c>
      <c r="C564" s="2" t="inlineStr">
        <is>
          <t>sbates@gmail.com</t>
        </is>
      </c>
      <c r="D564" s="2" t="inlineStr">
        <is>
          <t>594.540.2120x8263</t>
        </is>
      </c>
      <c r="E564" s="2" t="inlineStr">
        <is>
          <t>4935 Hernandez Wells, South Dianaport, VT 92849</t>
        </is>
      </c>
      <c r="F564" s="2" t="inlineStr">
        <is>
          <t>Port Matthewside</t>
        </is>
      </c>
      <c r="G564" s="2" t="inlineStr">
        <is>
          <t>Thailand</t>
        </is>
      </c>
      <c r="H564" s="2" t="inlineStr">
        <is>
          <t>support</t>
        </is>
      </c>
      <c r="I564" t="inlineStr">
        <is>
          <t>probably</t>
        </is>
      </c>
    </row>
    <row r="565">
      <c r="A565" s="2" t="inlineStr">
        <is>
          <t>C9516</t>
        </is>
      </c>
      <c r="B565" s="2" t="inlineStr">
        <is>
          <t>Ryan Griffin</t>
        </is>
      </c>
      <c r="C565" s="2" t="inlineStr">
        <is>
          <t>barrettjohn@thornton-haas.info</t>
        </is>
      </c>
      <c r="D565" s="2" t="inlineStr">
        <is>
          <t>028.063.0614</t>
        </is>
      </c>
      <c r="E565" s="2" t="inlineStr">
        <is>
          <t>34480 Barajas Plain, Saundersfort, CT 73336</t>
        </is>
      </c>
      <c r="F565" s="2" t="inlineStr">
        <is>
          <t>Patrickmouth</t>
        </is>
      </c>
      <c r="G565" s="2" t="inlineStr">
        <is>
          <t>Mozambique</t>
        </is>
      </c>
      <c r="H565" s="2" t="inlineStr">
        <is>
          <t>agree</t>
        </is>
      </c>
      <c r="I565" t="inlineStr">
        <is>
          <t>poor</t>
        </is>
      </c>
    </row>
    <row r="566">
      <c r="A566" s="2" t="inlineStr">
        <is>
          <t>C5531</t>
        </is>
      </c>
      <c r="B566" s="2" t="inlineStr">
        <is>
          <t>Christina Hensley</t>
        </is>
      </c>
      <c r="C566" s="2" t="inlineStr">
        <is>
          <t>vwilson@serrano.com</t>
        </is>
      </c>
      <c r="D566" s="2" t="inlineStr">
        <is>
          <t>270.126.2948x58563</t>
        </is>
      </c>
      <c r="E566" s="2" t="inlineStr">
        <is>
          <t>632 Seth Village Apt. 140, South Keithshire, MI 44366</t>
        </is>
      </c>
      <c r="F566" s="2" t="inlineStr">
        <is>
          <t>South Charlesside</t>
        </is>
      </c>
      <c r="G566" s="2" t="inlineStr">
        <is>
          <t>Andorra</t>
        </is>
      </c>
      <c r="H566" s="2" t="inlineStr">
        <is>
          <t>exactly</t>
        </is>
      </c>
      <c r="I566" t="inlineStr">
        <is>
          <t>remain</t>
        </is>
      </c>
    </row>
    <row r="567">
      <c r="A567" s="2" t="inlineStr">
        <is>
          <t>C3262</t>
        </is>
      </c>
      <c r="B567" s="2" t="inlineStr">
        <is>
          <t>Donald Flores</t>
        </is>
      </c>
      <c r="C567" s="2" t="inlineStr">
        <is>
          <t>kristin32@yahoo.com</t>
        </is>
      </c>
      <c r="D567" s="2" t="inlineStr">
        <is>
          <t>+1-246-109-8230</t>
        </is>
      </c>
      <c r="E567" s="2" t="inlineStr">
        <is>
          <t>60275 Velazquez Meadows, Tracyside, NJ 74075</t>
        </is>
      </c>
      <c r="F567" s="2" t="inlineStr">
        <is>
          <t>Lake Christopher</t>
        </is>
      </c>
      <c r="G567" s="2" t="inlineStr">
        <is>
          <t>French Southern Territories</t>
        </is>
      </c>
      <c r="H567" s="2" t="inlineStr">
        <is>
          <t>hit</t>
        </is>
      </c>
      <c r="I567" t="inlineStr">
        <is>
          <t>term</t>
        </is>
      </c>
    </row>
    <row r="568">
      <c r="A568" s="2" t="inlineStr">
        <is>
          <t>C2031</t>
        </is>
      </c>
      <c r="B568" s="2" t="inlineStr">
        <is>
          <t>Stuart Sexton</t>
        </is>
      </c>
      <c r="C568" s="2" t="inlineStr">
        <is>
          <t>wardjason@hotmail.com</t>
        </is>
      </c>
      <c r="D568" s="2" t="inlineStr">
        <is>
          <t>835-306-1843x7018</t>
        </is>
      </c>
      <c r="E568" s="2" t="inlineStr">
        <is>
          <t>80099 Julie Estate, South Christopher, DE 64686</t>
        </is>
      </c>
      <c r="F568" s="2" t="inlineStr">
        <is>
          <t>New Jamesstad</t>
        </is>
      </c>
      <c r="G568" s="2" t="inlineStr">
        <is>
          <t>Belgium</t>
        </is>
      </c>
      <c r="H568" s="2" t="inlineStr">
        <is>
          <t>can</t>
        </is>
      </c>
      <c r="I568" t="inlineStr">
        <is>
          <t>stay</t>
        </is>
      </c>
    </row>
    <row r="569">
      <c r="A569" s="2" t="inlineStr">
        <is>
          <t>C9211</t>
        </is>
      </c>
      <c r="B569" s="2" t="inlineStr">
        <is>
          <t>Ms. Paige Trevino</t>
        </is>
      </c>
      <c r="C569" s="2" t="inlineStr">
        <is>
          <t>hamiltonkatherine@hotmail.com</t>
        </is>
      </c>
      <c r="D569" s="2" t="inlineStr">
        <is>
          <t>001-499-704-4941</t>
        </is>
      </c>
      <c r="E569" s="2" t="inlineStr">
        <is>
          <t>3963 Tammy Ports Apt. 526, East Sandrastad, CA 44571</t>
        </is>
      </c>
      <c r="F569" s="2" t="inlineStr">
        <is>
          <t>Bondshire</t>
        </is>
      </c>
      <c r="G569" s="2" t="inlineStr">
        <is>
          <t>South Georgia and the South Sandwich Islands</t>
        </is>
      </c>
      <c r="H569" s="2" t="inlineStr">
        <is>
          <t>eat</t>
        </is>
      </c>
      <c r="I569" t="inlineStr">
        <is>
          <t>single</t>
        </is>
      </c>
    </row>
    <row r="570">
      <c r="A570" s="2" t="inlineStr">
        <is>
          <t>C2545</t>
        </is>
      </c>
      <c r="B570" s="2" t="inlineStr">
        <is>
          <t>Walter Fleming</t>
        </is>
      </c>
      <c r="C570" s="2" t="inlineStr">
        <is>
          <t>bryan14@brown-reyes.com</t>
        </is>
      </c>
      <c r="D570" s="2" t="inlineStr">
        <is>
          <t>001-404-169-6248x12116</t>
        </is>
      </c>
      <c r="E570" s="2" t="inlineStr">
        <is>
          <t>2855 Wyatt Plaza, Shawnmouth, GA 07317</t>
        </is>
      </c>
      <c r="F570" s="2" t="inlineStr">
        <is>
          <t>Allisonfurt</t>
        </is>
      </c>
      <c r="G570" s="2" t="inlineStr">
        <is>
          <t>Cyprus</t>
        </is>
      </c>
      <c r="H570" s="2" t="inlineStr">
        <is>
          <t>west</t>
        </is>
      </c>
      <c r="I570" t="inlineStr">
        <is>
          <t>particularly</t>
        </is>
      </c>
    </row>
    <row r="571">
      <c r="A571" s="2" t="inlineStr">
        <is>
          <t>C1318</t>
        </is>
      </c>
      <c r="B571" s="2" t="inlineStr">
        <is>
          <t>Erin Beasley</t>
        </is>
      </c>
      <c r="C571" s="2" t="inlineStr">
        <is>
          <t>fosterrichard@grant-smith.com</t>
        </is>
      </c>
      <c r="D571" s="2" t="inlineStr">
        <is>
          <t>(716)596-3907x2642</t>
        </is>
      </c>
      <c r="E571" s="2" t="inlineStr">
        <is>
          <t>447 English Cliffs, Moonmouth, MO 66558</t>
        </is>
      </c>
      <c r="F571" s="2" t="inlineStr">
        <is>
          <t>New Charles</t>
        </is>
      </c>
      <c r="G571" s="2" t="inlineStr">
        <is>
          <t>Yemen</t>
        </is>
      </c>
      <c r="H571" s="2" t="inlineStr">
        <is>
          <t>again</t>
        </is>
      </c>
      <c r="I571" t="inlineStr">
        <is>
          <t>voice</t>
        </is>
      </c>
    </row>
    <row r="572">
      <c r="A572" s="2" t="inlineStr">
        <is>
          <t>C7328</t>
        </is>
      </c>
      <c r="B572" s="2" t="inlineStr">
        <is>
          <t>Tracy Snyder</t>
        </is>
      </c>
      <c r="C572" s="2" t="inlineStr">
        <is>
          <t>jordantaylor@wright-diaz.com</t>
        </is>
      </c>
      <c r="D572" s="2" t="inlineStr">
        <is>
          <t>060-278-5396</t>
        </is>
      </c>
      <c r="E572" s="2" t="inlineStr">
        <is>
          <t>4088 Karen Land, West Aaron, MN 61243</t>
        </is>
      </c>
      <c r="F572" s="2" t="inlineStr">
        <is>
          <t>West Jamie</t>
        </is>
      </c>
      <c r="G572" s="2" t="inlineStr">
        <is>
          <t>Saint Barthelemy</t>
        </is>
      </c>
      <c r="H572" s="2" t="inlineStr">
        <is>
          <t>deal</t>
        </is>
      </c>
      <c r="I572" t="inlineStr">
        <is>
          <t>instead</t>
        </is>
      </c>
    </row>
    <row r="573">
      <c r="A573" s="2" t="inlineStr">
        <is>
          <t>C9045</t>
        </is>
      </c>
      <c r="B573" s="2" t="inlineStr">
        <is>
          <t>Brandon Huffman</t>
        </is>
      </c>
      <c r="C573" s="2" t="inlineStr">
        <is>
          <t>mbaxter@wong.biz</t>
        </is>
      </c>
      <c r="D573" s="2" t="inlineStr">
        <is>
          <t>512-142-9987</t>
        </is>
      </c>
      <c r="E573" s="2" t="inlineStr">
        <is>
          <t>79875 Wilson Pass, West Sandrastad, LA 29163</t>
        </is>
      </c>
      <c r="F573" s="2" t="inlineStr">
        <is>
          <t>Karenchester</t>
        </is>
      </c>
      <c r="G573" s="2" t="inlineStr">
        <is>
          <t>Sudan</t>
        </is>
      </c>
      <c r="H573" s="2" t="inlineStr">
        <is>
          <t>people</t>
        </is>
      </c>
      <c r="I573" t="inlineStr">
        <is>
          <t>treat</t>
        </is>
      </c>
    </row>
    <row r="574">
      <c r="A574" s="2" t="inlineStr">
        <is>
          <t>C7364</t>
        </is>
      </c>
      <c r="B574" s="2" t="inlineStr">
        <is>
          <t>Jason Monroe</t>
        </is>
      </c>
      <c r="C574" s="2" t="inlineStr">
        <is>
          <t>zduke@martinez-arellano.com</t>
        </is>
      </c>
      <c r="D574" s="2" t="inlineStr">
        <is>
          <t>721.556.8617x479</t>
        </is>
      </c>
      <c r="E574" s="2" t="inlineStr">
        <is>
          <t>85083 Andrew Road, Martinbury, WA 86822</t>
        </is>
      </c>
      <c r="F574" s="2" t="inlineStr">
        <is>
          <t>Port James</t>
        </is>
      </c>
      <c r="G574" s="2" t="inlineStr">
        <is>
          <t>Aruba</t>
        </is>
      </c>
      <c r="H574" s="2" t="inlineStr">
        <is>
          <t>performance</t>
        </is>
      </c>
      <c r="I574" t="inlineStr">
        <is>
          <t>training</t>
        </is>
      </c>
    </row>
    <row r="575">
      <c r="A575" s="2" t="inlineStr">
        <is>
          <t>C3207</t>
        </is>
      </c>
      <c r="B575" s="2" t="inlineStr">
        <is>
          <t>Julian Wheeler</t>
        </is>
      </c>
      <c r="C575" s="2" t="inlineStr">
        <is>
          <t>kristasharp@lee.com</t>
        </is>
      </c>
      <c r="D575" s="2" t="inlineStr">
        <is>
          <t>531.823.1040x599</t>
        </is>
      </c>
      <c r="E575" s="2" t="inlineStr">
        <is>
          <t>686 Huang Drive Apt. 014, Reynoldsburgh, SD 15029</t>
        </is>
      </c>
      <c r="F575" s="2" t="inlineStr">
        <is>
          <t>New Chad</t>
        </is>
      </c>
      <c r="G575" s="2" t="inlineStr">
        <is>
          <t>Gabon</t>
        </is>
      </c>
      <c r="H575" s="2" t="inlineStr">
        <is>
          <t>approach</t>
        </is>
      </c>
      <c r="I575" t="inlineStr">
        <is>
          <t>environment</t>
        </is>
      </c>
    </row>
    <row r="576">
      <c r="A576" s="2" t="inlineStr">
        <is>
          <t>C8041</t>
        </is>
      </c>
      <c r="B576" s="2" t="inlineStr">
        <is>
          <t>Allison Ross</t>
        </is>
      </c>
      <c r="C576" s="2" t="inlineStr">
        <is>
          <t>davidturner@davis.org</t>
        </is>
      </c>
      <c r="D576" s="2" t="inlineStr">
        <is>
          <t>+1-272-673-5863</t>
        </is>
      </c>
      <c r="E576" s="2" t="inlineStr">
        <is>
          <t>387 Nicole Fork Apt. 855, Port Nataliefort, NV 24818</t>
        </is>
      </c>
      <c r="F576" s="2" t="inlineStr">
        <is>
          <t>Port Sandra</t>
        </is>
      </c>
      <c r="G576" s="2" t="inlineStr">
        <is>
          <t>Guinea</t>
        </is>
      </c>
      <c r="H576" s="2" t="inlineStr">
        <is>
          <t>reveal</t>
        </is>
      </c>
      <c r="I576" t="inlineStr">
        <is>
          <t>perform</t>
        </is>
      </c>
    </row>
    <row r="577">
      <c r="A577" s="2" t="inlineStr">
        <is>
          <t>C9676</t>
        </is>
      </c>
      <c r="B577" s="2" t="inlineStr">
        <is>
          <t>Zachary Reyes</t>
        </is>
      </c>
      <c r="C577" s="2" t="inlineStr">
        <is>
          <t>ihill@wagner.biz</t>
        </is>
      </c>
      <c r="D577" s="2" t="inlineStr">
        <is>
          <t>(759)395-8224x1835</t>
        </is>
      </c>
      <c r="E577" s="2" t="inlineStr">
        <is>
          <t>PSC 3676, Box 5043, APO AA 53382</t>
        </is>
      </c>
      <c r="F577" s="2" t="inlineStr">
        <is>
          <t>Michelleport</t>
        </is>
      </c>
      <c r="G577" s="2" t="inlineStr">
        <is>
          <t>Faroe Islands</t>
        </is>
      </c>
      <c r="H577" s="2" t="inlineStr">
        <is>
          <t>while</t>
        </is>
      </c>
      <c r="I577" t="inlineStr">
        <is>
          <t>sound</t>
        </is>
      </c>
    </row>
    <row r="578">
      <c r="A578" s="2" t="inlineStr">
        <is>
          <t>C1569</t>
        </is>
      </c>
      <c r="B578" s="2" t="inlineStr">
        <is>
          <t>Cory Harris</t>
        </is>
      </c>
      <c r="C578" s="2" t="inlineStr">
        <is>
          <t>hogankristopher@arroyo.net</t>
        </is>
      </c>
      <c r="D578" s="2" t="inlineStr">
        <is>
          <t>(313)389-5203x41276</t>
        </is>
      </c>
      <c r="E578" s="2" t="inlineStr">
        <is>
          <t>217 Abigail Parks, North Brittanytown, MD 40716</t>
        </is>
      </c>
      <c r="F578" s="2" t="inlineStr">
        <is>
          <t>Michaelfort</t>
        </is>
      </c>
      <c r="G578" s="2" t="inlineStr">
        <is>
          <t>Brunei Darussalam</t>
        </is>
      </c>
      <c r="H578" s="2" t="inlineStr">
        <is>
          <t>picture</t>
        </is>
      </c>
      <c r="I578" t="inlineStr">
        <is>
          <t>pass</t>
        </is>
      </c>
    </row>
    <row r="579">
      <c r="A579" s="2" t="inlineStr">
        <is>
          <t>C7565</t>
        </is>
      </c>
      <c r="B579" s="2" t="inlineStr">
        <is>
          <t>Allison Ross</t>
        </is>
      </c>
      <c r="C579" s="2" t="inlineStr">
        <is>
          <t>alexandraphillips@swanson.com</t>
        </is>
      </c>
      <c r="D579" s="2" t="inlineStr">
        <is>
          <t>7389104690</t>
        </is>
      </c>
      <c r="E579" s="2" t="inlineStr">
        <is>
          <t>505 Todd Keys Suite 785, Aaronland, GA 83072</t>
        </is>
      </c>
      <c r="F579" s="2" t="inlineStr">
        <is>
          <t>Banksbury</t>
        </is>
      </c>
      <c r="G579" s="2" t="inlineStr">
        <is>
          <t>Mozambique</t>
        </is>
      </c>
      <c r="H579" s="2" t="inlineStr">
        <is>
          <t>treat</t>
        </is>
      </c>
      <c r="I579" t="inlineStr">
        <is>
          <t>daughter</t>
        </is>
      </c>
    </row>
    <row r="580">
      <c r="A580" s="2" t="inlineStr">
        <is>
          <t>C5849</t>
        </is>
      </c>
      <c r="B580" s="2" t="inlineStr">
        <is>
          <t>Leah Villanueva</t>
        </is>
      </c>
      <c r="C580" s="2" t="inlineStr">
        <is>
          <t>javiersullivan@patterson.com</t>
        </is>
      </c>
      <c r="D580" s="2" t="inlineStr">
        <is>
          <t>1400682249</t>
        </is>
      </c>
      <c r="E580" s="2" t="inlineStr">
        <is>
          <t>3918 Jacob Plaza, Floresstad, IA 65934</t>
        </is>
      </c>
      <c r="F580" s="2" t="inlineStr">
        <is>
          <t>Jamesfurt</t>
        </is>
      </c>
      <c r="G580" s="2" t="inlineStr">
        <is>
          <t>Slovenia</t>
        </is>
      </c>
      <c r="H580" s="2" t="inlineStr">
        <is>
          <t>do</t>
        </is>
      </c>
      <c r="I580" t="inlineStr">
        <is>
          <t>right</t>
        </is>
      </c>
    </row>
    <row r="581">
      <c r="A581" s="2" t="inlineStr">
        <is>
          <t>C9293</t>
        </is>
      </c>
      <c r="B581" s="2" t="inlineStr">
        <is>
          <t>Christopher Benton</t>
        </is>
      </c>
      <c r="C581" s="2" t="inlineStr">
        <is>
          <t>nicoleolson@knapp.com</t>
        </is>
      </c>
      <c r="D581" s="2" t="inlineStr">
        <is>
          <t>287-816-5952x18424</t>
        </is>
      </c>
      <c r="E581" s="2" t="inlineStr">
        <is>
          <t>00131 Jones Plains Suite 745, Port Rebekah, TN 68239</t>
        </is>
      </c>
      <c r="F581" s="2" t="inlineStr">
        <is>
          <t>Hayeschester</t>
        </is>
      </c>
      <c r="G581" s="2" t="inlineStr">
        <is>
          <t>Falkland Islands (Malvinas)</t>
        </is>
      </c>
      <c r="H581" s="2" t="inlineStr">
        <is>
          <t>mind</t>
        </is>
      </c>
      <c r="I581" t="inlineStr">
        <is>
          <t>teacher</t>
        </is>
      </c>
    </row>
    <row r="582">
      <c r="A582" s="2" t="inlineStr">
        <is>
          <t>C5979</t>
        </is>
      </c>
      <c r="B582" s="2" t="inlineStr">
        <is>
          <t>Christina Allen</t>
        </is>
      </c>
      <c r="C582" s="2" t="inlineStr">
        <is>
          <t>matthewaguilar@gmail.com</t>
        </is>
      </c>
      <c r="D582" s="2" t="inlineStr">
        <is>
          <t>+1-667-666-4499x60493</t>
        </is>
      </c>
      <c r="E582" s="2" t="inlineStr">
        <is>
          <t>4401 Fowler Loaf Apt. 396, Marissaton, OR 56238</t>
        </is>
      </c>
      <c r="F582" s="2" t="inlineStr">
        <is>
          <t>Maryborough</t>
        </is>
      </c>
      <c r="G582" s="2" t="inlineStr">
        <is>
          <t>Dominica</t>
        </is>
      </c>
      <c r="H582" s="2" t="inlineStr">
        <is>
          <t>other</t>
        </is>
      </c>
      <c r="I582" t="inlineStr">
        <is>
          <t>health</t>
        </is>
      </c>
    </row>
    <row r="583">
      <c r="A583" s="2" t="inlineStr">
        <is>
          <t>C8727</t>
        </is>
      </c>
      <c r="B583" s="2" t="inlineStr">
        <is>
          <t>John Parker</t>
        </is>
      </c>
      <c r="C583" s="2" t="inlineStr">
        <is>
          <t>kirstenrodriguez@luna.net</t>
        </is>
      </c>
      <c r="D583" s="2" t="inlineStr">
        <is>
          <t>+1-511-458-8610x16288</t>
        </is>
      </c>
      <c r="E583" s="2" t="inlineStr">
        <is>
          <t>13301 Jones Mills, North Nathanmouth, TX 54737</t>
        </is>
      </c>
      <c r="F583" s="2" t="inlineStr">
        <is>
          <t>Port Mariaside</t>
        </is>
      </c>
      <c r="G583" s="2" t="inlineStr">
        <is>
          <t>Australia</t>
        </is>
      </c>
      <c r="H583" s="2" t="inlineStr">
        <is>
          <t>kind</t>
        </is>
      </c>
      <c r="I583" t="inlineStr">
        <is>
          <t>its</t>
        </is>
      </c>
    </row>
    <row r="584">
      <c r="A584" s="2" t="inlineStr">
        <is>
          <t>C1859</t>
        </is>
      </c>
      <c r="B584" s="2" t="inlineStr">
        <is>
          <t>Bonnie Mitchell</t>
        </is>
      </c>
      <c r="C584" s="2" t="inlineStr">
        <is>
          <t>doughertyann@cunningham-howard.com</t>
        </is>
      </c>
      <c r="D584" s="2" t="inlineStr">
        <is>
          <t>+1-053-196-8566x003</t>
        </is>
      </c>
      <c r="E584" s="2" t="inlineStr">
        <is>
          <t>4213 Kayla Loop, Port Gina, TX 01238</t>
        </is>
      </c>
      <c r="F584" s="2" t="inlineStr">
        <is>
          <t>Boydchester</t>
        </is>
      </c>
      <c r="G584" s="2" t="inlineStr">
        <is>
          <t>South Africa</t>
        </is>
      </c>
      <c r="H584" s="2" t="inlineStr">
        <is>
          <t>agent</t>
        </is>
      </c>
      <c r="I584" t="inlineStr">
        <is>
          <t>range</t>
        </is>
      </c>
    </row>
    <row r="585">
      <c r="A585" s="2" t="inlineStr">
        <is>
          <t>C9132</t>
        </is>
      </c>
      <c r="B585" s="2" t="inlineStr">
        <is>
          <t>Angela Harmon</t>
        </is>
      </c>
      <c r="C585" s="2" t="inlineStr">
        <is>
          <t>eturner@silva.info</t>
        </is>
      </c>
      <c r="D585" s="2" t="inlineStr">
        <is>
          <t>+1-389-212-8640</t>
        </is>
      </c>
      <c r="E585" s="2" t="inlineStr">
        <is>
          <t>0104 Sarah Prairie Apt. 792, Karenville, HI 39030</t>
        </is>
      </c>
      <c r="F585" s="2" t="inlineStr">
        <is>
          <t>Port Anthonyville</t>
        </is>
      </c>
      <c r="G585" s="2" t="inlineStr">
        <is>
          <t>Venezuela</t>
        </is>
      </c>
      <c r="H585" s="2" t="inlineStr">
        <is>
          <t>himself</t>
        </is>
      </c>
      <c r="I585" t="inlineStr">
        <is>
          <t>modern</t>
        </is>
      </c>
    </row>
    <row r="586">
      <c r="A586" s="2" t="inlineStr">
        <is>
          <t>C2927</t>
        </is>
      </c>
      <c r="B586" s="2" t="inlineStr">
        <is>
          <t>Jonathon Watson</t>
        </is>
      </c>
      <c r="C586" s="2" t="inlineStr">
        <is>
          <t>laurabowers@gmail.com</t>
        </is>
      </c>
      <c r="D586" s="2" t="inlineStr">
        <is>
          <t>001-813-173-4046x0255</t>
        </is>
      </c>
      <c r="E586" s="2" t="inlineStr">
        <is>
          <t>USNS Coffey, FPO AE 22122</t>
        </is>
      </c>
      <c r="F586" s="2" t="inlineStr">
        <is>
          <t>West Tammybury</t>
        </is>
      </c>
      <c r="G586" s="2" t="inlineStr">
        <is>
          <t>Micronesia</t>
        </is>
      </c>
      <c r="H586" s="2" t="inlineStr">
        <is>
          <t>actually</t>
        </is>
      </c>
      <c r="I586" t="inlineStr">
        <is>
          <t>up</t>
        </is>
      </c>
    </row>
    <row r="587">
      <c r="A587" s="2" t="inlineStr">
        <is>
          <t>C8739</t>
        </is>
      </c>
      <c r="B587" s="2" t="inlineStr">
        <is>
          <t>Oscar Sanchez</t>
        </is>
      </c>
      <c r="C587" s="2" t="inlineStr">
        <is>
          <t>morganmichael@medina.net</t>
        </is>
      </c>
      <c r="D587" s="2" t="inlineStr">
        <is>
          <t>001-803-088-7075x58058</t>
        </is>
      </c>
      <c r="E587" s="2" t="inlineStr">
        <is>
          <t>9828 Jackson Bridge, Jonathanborough, PA 45261</t>
        </is>
      </c>
      <c r="F587" s="2" t="inlineStr">
        <is>
          <t>North Vanessahaven</t>
        </is>
      </c>
      <c r="G587" s="2" t="inlineStr">
        <is>
          <t>Saint Lucia</t>
        </is>
      </c>
      <c r="H587" s="2" t="inlineStr">
        <is>
          <t>media</t>
        </is>
      </c>
      <c r="I587" t="inlineStr">
        <is>
          <t>whatever</t>
        </is>
      </c>
    </row>
    <row r="588">
      <c r="A588" s="2" t="inlineStr">
        <is>
          <t>C6284</t>
        </is>
      </c>
      <c r="B588" s="2" t="inlineStr">
        <is>
          <t>Beverly Spence</t>
        </is>
      </c>
      <c r="C588" s="2" t="inlineStr">
        <is>
          <t>burnettaustin@lyons-hall.com</t>
        </is>
      </c>
      <c r="D588" s="2" t="inlineStr">
        <is>
          <t>+1-684-753-6708x95427</t>
        </is>
      </c>
      <c r="E588" s="2" t="inlineStr">
        <is>
          <t>262 Hall Path, New Ronnie, NE 96014</t>
        </is>
      </c>
      <c r="F588" s="2" t="inlineStr">
        <is>
          <t>New Donald</t>
        </is>
      </c>
      <c r="G588" s="2" t="inlineStr">
        <is>
          <t>American Samoa</t>
        </is>
      </c>
      <c r="H588" s="2" t="inlineStr">
        <is>
          <t>strategy</t>
        </is>
      </c>
      <c r="I588" t="inlineStr">
        <is>
          <t>production</t>
        </is>
      </c>
    </row>
    <row r="589">
      <c r="A589" s="2" t="inlineStr">
        <is>
          <t>C4571</t>
        </is>
      </c>
      <c r="B589" s="2" t="inlineStr">
        <is>
          <t>Mr. William Hodges</t>
        </is>
      </c>
      <c r="C589" s="2" t="inlineStr">
        <is>
          <t>kboyd@gmail.com</t>
        </is>
      </c>
      <c r="D589" s="2" t="inlineStr">
        <is>
          <t>+1-161-703-4522x114</t>
        </is>
      </c>
      <c r="E589" s="2" t="inlineStr">
        <is>
          <t>6400 Jennings Center, Port Thomasside, ND 04369</t>
        </is>
      </c>
      <c r="F589" s="2" t="inlineStr">
        <is>
          <t>Caseyside</t>
        </is>
      </c>
      <c r="G589" s="2" t="inlineStr">
        <is>
          <t>Moldova</t>
        </is>
      </c>
      <c r="H589" s="2" t="inlineStr">
        <is>
          <t>time</t>
        </is>
      </c>
      <c r="I589" t="inlineStr">
        <is>
          <t>indeed</t>
        </is>
      </c>
    </row>
    <row r="590">
      <c r="A590" s="2" t="inlineStr">
        <is>
          <t>C4441</t>
        </is>
      </c>
      <c r="B590" s="2" t="inlineStr">
        <is>
          <t>Cameron Mejia</t>
        </is>
      </c>
      <c r="C590" s="2" t="inlineStr">
        <is>
          <t>maureenmay@jones-velez.net</t>
        </is>
      </c>
      <c r="D590" s="2" t="inlineStr">
        <is>
          <t>(297)226-2344x717</t>
        </is>
      </c>
      <c r="E590" s="2" t="inlineStr">
        <is>
          <t>09243 Velez Spring Suite 108, Keymouth, MS 77130</t>
        </is>
      </c>
      <c r="F590" s="2" t="inlineStr">
        <is>
          <t>North Jessicachester</t>
        </is>
      </c>
      <c r="G590" s="2" t="inlineStr">
        <is>
          <t>Bermuda</t>
        </is>
      </c>
      <c r="H590" s="2" t="inlineStr">
        <is>
          <t>everyone</t>
        </is>
      </c>
      <c r="I590" t="inlineStr">
        <is>
          <t>positive</t>
        </is>
      </c>
    </row>
    <row r="591">
      <c r="A591" s="2" t="inlineStr">
        <is>
          <t>C2311</t>
        </is>
      </c>
      <c r="B591" s="2" t="inlineStr">
        <is>
          <t>Brooke Smith</t>
        </is>
      </c>
      <c r="C591" s="2" t="inlineStr">
        <is>
          <t>kevinclark@hotmail.com</t>
        </is>
      </c>
      <c r="D591" s="2" t="inlineStr">
        <is>
          <t>(569)522-0776x41768</t>
        </is>
      </c>
      <c r="E591" s="2" t="inlineStr">
        <is>
          <t>8542 Timothy Alley Apt. 534, Port Stevenville, HI 29897</t>
        </is>
      </c>
      <c r="F591" s="2" t="inlineStr">
        <is>
          <t>Port Rogerville</t>
        </is>
      </c>
      <c r="G591" s="2" t="inlineStr">
        <is>
          <t>Croatia</t>
        </is>
      </c>
      <c r="H591" s="2" t="inlineStr">
        <is>
          <t>interest</t>
        </is>
      </c>
      <c r="I591" t="inlineStr">
        <is>
          <t>education</t>
        </is>
      </c>
    </row>
    <row r="592">
      <c r="A592" s="2" t="inlineStr">
        <is>
          <t>C5459</t>
        </is>
      </c>
      <c r="B592" s="2" t="inlineStr">
        <is>
          <t>William Bell</t>
        </is>
      </c>
      <c r="C592" s="2" t="inlineStr">
        <is>
          <t>anita39@harrington-moore.com</t>
        </is>
      </c>
      <c r="D592" s="2" t="inlineStr">
        <is>
          <t>001-053-784-5333x4895</t>
        </is>
      </c>
      <c r="E592" s="2" t="inlineStr">
        <is>
          <t>726 Gross Knolls Suite 725, Hunterland, LA 45015</t>
        </is>
      </c>
      <c r="F592" s="2" t="inlineStr">
        <is>
          <t>South Robert</t>
        </is>
      </c>
      <c r="G592" s="2" t="inlineStr">
        <is>
          <t>Norfolk Island</t>
        </is>
      </c>
      <c r="H592" s="2" t="inlineStr">
        <is>
          <t>per</t>
        </is>
      </c>
      <c r="I592" t="inlineStr">
        <is>
          <t>until</t>
        </is>
      </c>
    </row>
    <row r="593">
      <c r="A593" s="2" t="inlineStr">
        <is>
          <t>C8926</t>
        </is>
      </c>
      <c r="B593" s="2" t="inlineStr">
        <is>
          <t>Natalie Wilson</t>
        </is>
      </c>
      <c r="C593" s="2" t="inlineStr">
        <is>
          <t>briangriffith@murphy.com</t>
        </is>
      </c>
      <c r="D593" s="2" t="inlineStr">
        <is>
          <t>(376)074-7413x13906</t>
        </is>
      </c>
      <c r="E593" s="2" t="inlineStr">
        <is>
          <t>07583 Bruce Motorway, Christopherborough, UT 97022</t>
        </is>
      </c>
      <c r="F593" s="2" t="inlineStr">
        <is>
          <t>North Sara</t>
        </is>
      </c>
      <c r="G593" s="2" t="inlineStr">
        <is>
          <t>Bhutan</t>
        </is>
      </c>
      <c r="H593" s="2" t="inlineStr">
        <is>
          <t>example</t>
        </is>
      </c>
      <c r="I593" t="inlineStr">
        <is>
          <t>billion</t>
        </is>
      </c>
    </row>
    <row r="594">
      <c r="A594" s="2" t="inlineStr">
        <is>
          <t>C4013</t>
        </is>
      </c>
      <c r="B594" s="2" t="inlineStr">
        <is>
          <t>James Bell</t>
        </is>
      </c>
      <c r="C594" s="2" t="inlineStr">
        <is>
          <t>davisedward@hotmail.com</t>
        </is>
      </c>
      <c r="D594" s="2" t="inlineStr">
        <is>
          <t>734.252.3502x036</t>
        </is>
      </c>
      <c r="E594" s="2" t="inlineStr">
        <is>
          <t>011 Bridges Ford Apt. 988, Maryville, MI 18750</t>
        </is>
      </c>
      <c r="F594" s="2" t="inlineStr">
        <is>
          <t>Kennethstad</t>
        </is>
      </c>
      <c r="G594" s="2" t="inlineStr">
        <is>
          <t>Finland</t>
        </is>
      </c>
      <c r="H594" s="2" t="inlineStr">
        <is>
          <t>record</t>
        </is>
      </c>
      <c r="I594" t="inlineStr">
        <is>
          <t>successful</t>
        </is>
      </c>
    </row>
    <row r="595">
      <c r="A595" s="2" t="inlineStr">
        <is>
          <t>C9692</t>
        </is>
      </c>
      <c r="B595" s="2" t="inlineStr">
        <is>
          <t>Jason Wall</t>
        </is>
      </c>
      <c r="C595" s="2" t="inlineStr">
        <is>
          <t>jeff52@gmail.com</t>
        </is>
      </c>
      <c r="D595" s="2" t="inlineStr">
        <is>
          <t>099-735-3634x7419</t>
        </is>
      </c>
      <c r="E595" s="2" t="inlineStr">
        <is>
          <t>455 Mary Burgs, South Brandystad, CA 22428</t>
        </is>
      </c>
      <c r="F595" s="2" t="inlineStr">
        <is>
          <t>New David</t>
        </is>
      </c>
      <c r="G595" s="2" t="inlineStr">
        <is>
          <t>Sao Tome and Principe</t>
        </is>
      </c>
      <c r="H595" s="2" t="inlineStr">
        <is>
          <t>child</t>
        </is>
      </c>
      <c r="I595" t="inlineStr">
        <is>
          <t>resource</t>
        </is>
      </c>
    </row>
    <row r="596">
      <c r="A596" s="2" t="inlineStr">
        <is>
          <t>C4446</t>
        </is>
      </c>
      <c r="B596" s="2" t="inlineStr">
        <is>
          <t>Haley Brown</t>
        </is>
      </c>
      <c r="C596" s="2" t="inlineStr">
        <is>
          <t>chad02@yahoo.com</t>
        </is>
      </c>
      <c r="D596" s="2" t="inlineStr">
        <is>
          <t>+1-746-195-5375x856</t>
        </is>
      </c>
      <c r="E596" s="2" t="inlineStr">
        <is>
          <t>792 Johnson Square Suite 935, Sosafurt, MA 29174</t>
        </is>
      </c>
      <c r="F596" s="2" t="inlineStr">
        <is>
          <t>East Michaelaberg</t>
        </is>
      </c>
      <c r="G596" s="2" t="inlineStr">
        <is>
          <t>Chad</t>
        </is>
      </c>
      <c r="H596" s="2" t="inlineStr">
        <is>
          <t>indeed</t>
        </is>
      </c>
      <c r="I596" t="inlineStr">
        <is>
          <t>east</t>
        </is>
      </c>
    </row>
    <row r="597">
      <c r="A597" s="2" t="inlineStr">
        <is>
          <t>C9363</t>
        </is>
      </c>
      <c r="B597" s="2" t="inlineStr">
        <is>
          <t>Leonard Campbell</t>
        </is>
      </c>
      <c r="C597" s="2" t="inlineStr">
        <is>
          <t>loririvera@white.com</t>
        </is>
      </c>
      <c r="D597" s="2" t="inlineStr">
        <is>
          <t>240-643-9888x72531</t>
        </is>
      </c>
      <c r="E597" s="2" t="inlineStr">
        <is>
          <t>15553 Jessica Trace, North Alexside, AL 45286</t>
        </is>
      </c>
      <c r="F597" s="2" t="inlineStr">
        <is>
          <t>West Ryanfurt</t>
        </is>
      </c>
      <c r="G597" s="2" t="inlineStr">
        <is>
          <t>Kyrgyz Republic</t>
        </is>
      </c>
      <c r="H597" s="2" t="inlineStr">
        <is>
          <t>knowledge</t>
        </is>
      </c>
      <c r="I597" t="inlineStr">
        <is>
          <t>guy</t>
        </is>
      </c>
    </row>
    <row r="598">
      <c r="A598" s="2" t="inlineStr">
        <is>
          <t>C7511</t>
        </is>
      </c>
      <c r="B598" s="2" t="inlineStr">
        <is>
          <t>Tyler Delgado</t>
        </is>
      </c>
      <c r="C598" s="2" t="inlineStr">
        <is>
          <t>melissajoyce@clarke.com</t>
        </is>
      </c>
      <c r="D598" s="2" t="inlineStr">
        <is>
          <t>(903)334-0457x8138</t>
        </is>
      </c>
      <c r="E598" s="2" t="inlineStr">
        <is>
          <t>8150 Sarah Extensions, East Kelli, VA 11024</t>
        </is>
      </c>
      <c r="F598" s="2" t="inlineStr">
        <is>
          <t>Andrewstad</t>
        </is>
      </c>
      <c r="G598" s="2" t="inlineStr">
        <is>
          <t>Cuba</t>
        </is>
      </c>
      <c r="H598" s="2" t="inlineStr">
        <is>
          <t>indicate</t>
        </is>
      </c>
      <c r="I598" t="inlineStr">
        <is>
          <t>mention</t>
        </is>
      </c>
    </row>
    <row r="599">
      <c r="A599" s="2" t="inlineStr">
        <is>
          <t>C6486</t>
        </is>
      </c>
      <c r="B599" s="2" t="inlineStr">
        <is>
          <t>Walter Martinez</t>
        </is>
      </c>
      <c r="C599" s="2" t="inlineStr">
        <is>
          <t>jennifercampbell@hotmail.com</t>
        </is>
      </c>
      <c r="D599" s="2" t="inlineStr">
        <is>
          <t>(808)040-2920</t>
        </is>
      </c>
      <c r="E599" s="2" t="inlineStr">
        <is>
          <t>882 Johnson Pine, Juliemouth, GA 92580</t>
        </is>
      </c>
      <c r="F599" s="2" t="inlineStr">
        <is>
          <t>Port Jamiemouth</t>
        </is>
      </c>
      <c r="G599" s="2" t="inlineStr">
        <is>
          <t>Guadeloupe</t>
        </is>
      </c>
      <c r="H599" s="2" t="inlineStr">
        <is>
          <t>party</t>
        </is>
      </c>
      <c r="I599" t="inlineStr">
        <is>
          <t>really</t>
        </is>
      </c>
    </row>
    <row r="600">
      <c r="A600" s="2" t="inlineStr">
        <is>
          <t>C6925</t>
        </is>
      </c>
      <c r="B600" s="2" t="inlineStr">
        <is>
          <t>Andrea Bolton</t>
        </is>
      </c>
      <c r="C600" s="2" t="inlineStr">
        <is>
          <t>xklein@gmail.com</t>
        </is>
      </c>
      <c r="D600" s="2" t="inlineStr">
        <is>
          <t>873.509.2002x37804</t>
        </is>
      </c>
      <c r="E600" s="2" t="inlineStr">
        <is>
          <t>PSC 8411, Box 2977, APO AE 73303</t>
        </is>
      </c>
      <c r="F600" s="2" t="inlineStr">
        <is>
          <t>Powersview</t>
        </is>
      </c>
      <c r="G600" s="2" t="inlineStr">
        <is>
          <t>Uzbekistan</t>
        </is>
      </c>
      <c r="H600" s="2" t="inlineStr">
        <is>
          <t>of</t>
        </is>
      </c>
      <c r="I600" t="inlineStr">
        <is>
          <t>cover</t>
        </is>
      </c>
    </row>
    <row r="601">
      <c r="A601" s="2" t="inlineStr">
        <is>
          <t>C4673</t>
        </is>
      </c>
      <c r="B601" s="2" t="inlineStr">
        <is>
          <t>Gregory Long</t>
        </is>
      </c>
      <c r="C601" s="2" t="inlineStr">
        <is>
          <t>bmcfarland@white-rivera.org</t>
        </is>
      </c>
      <c r="D601" s="2" t="inlineStr">
        <is>
          <t>001-620-581-8460x61303</t>
        </is>
      </c>
      <c r="E601" s="2" t="inlineStr">
        <is>
          <t>8710 David Fort Suite 778, Wardside, CA 11870</t>
        </is>
      </c>
      <c r="F601" s="2" t="inlineStr">
        <is>
          <t>Santosborough</t>
        </is>
      </c>
      <c r="G601" s="2" t="inlineStr">
        <is>
          <t>Argentina</t>
        </is>
      </c>
      <c r="H601" s="2" t="inlineStr">
        <is>
          <t>those</t>
        </is>
      </c>
      <c r="I601" t="inlineStr">
        <is>
          <t>item</t>
        </is>
      </c>
    </row>
    <row r="602">
      <c r="A602" s="2" t="inlineStr">
        <is>
          <t>C5733</t>
        </is>
      </c>
      <c r="B602" s="2" t="inlineStr">
        <is>
          <t>Natalie Rasmussen</t>
        </is>
      </c>
      <c r="C602" s="2" t="inlineStr">
        <is>
          <t>dawnburnett@yahoo.com</t>
        </is>
      </c>
      <c r="D602" s="2" t="inlineStr">
        <is>
          <t>+1-456-009-4335x09215</t>
        </is>
      </c>
      <c r="E602" s="2" t="inlineStr">
        <is>
          <t>494 David Station, South Colton, TN 39804</t>
        </is>
      </c>
      <c r="F602" s="2" t="inlineStr">
        <is>
          <t>New Courtney</t>
        </is>
      </c>
      <c r="G602" s="2" t="inlineStr">
        <is>
          <t>Jordan</t>
        </is>
      </c>
      <c r="H602" s="2" t="inlineStr">
        <is>
          <t>money</t>
        </is>
      </c>
      <c r="I602" t="inlineStr">
        <is>
          <t>discuss</t>
        </is>
      </c>
    </row>
    <row r="603">
      <c r="A603" s="2" t="inlineStr">
        <is>
          <t>C8280</t>
        </is>
      </c>
      <c r="B603" s="2" t="inlineStr">
        <is>
          <t>Taylor Boyd</t>
        </is>
      </c>
      <c r="C603" s="2" t="inlineStr">
        <is>
          <t>jhenry@yahoo.com</t>
        </is>
      </c>
      <c r="D603" s="2" t="inlineStr">
        <is>
          <t>1692958389</t>
        </is>
      </c>
      <c r="E603" s="2" t="inlineStr">
        <is>
          <t>558 Jessica Meadow Suite 363, Russellfort, ID 07633</t>
        </is>
      </c>
      <c r="F603" s="2" t="inlineStr">
        <is>
          <t>Port Jamiechester</t>
        </is>
      </c>
      <c r="G603" s="2" t="inlineStr">
        <is>
          <t>Tuvalu</t>
        </is>
      </c>
      <c r="H603" s="2" t="inlineStr">
        <is>
          <t>cultural</t>
        </is>
      </c>
      <c r="I603" t="inlineStr">
        <is>
          <t>partner</t>
        </is>
      </c>
    </row>
    <row r="604">
      <c r="A604" s="2" t="inlineStr">
        <is>
          <t>C6519</t>
        </is>
      </c>
      <c r="B604" s="2" t="inlineStr">
        <is>
          <t>Rachel Braun</t>
        </is>
      </c>
      <c r="C604" s="2" t="inlineStr">
        <is>
          <t>qbrewer@stokes-butler.biz</t>
        </is>
      </c>
      <c r="D604" s="2" t="inlineStr">
        <is>
          <t>+1-222-921-4388</t>
        </is>
      </c>
      <c r="E604" s="2" t="inlineStr">
        <is>
          <t>530 Jennifer Stream, Scottfurt, IN 20731</t>
        </is>
      </c>
      <c r="F604" s="2" t="inlineStr">
        <is>
          <t>North Kenneth</t>
        </is>
      </c>
      <c r="G604" s="2" t="inlineStr">
        <is>
          <t>British Indian Ocean Territory (Chagos Archipelago)</t>
        </is>
      </c>
      <c r="H604" s="2" t="inlineStr">
        <is>
          <t>production</t>
        </is>
      </c>
      <c r="I604" t="inlineStr">
        <is>
          <t>see</t>
        </is>
      </c>
    </row>
    <row r="605">
      <c r="A605" s="2" t="inlineStr">
        <is>
          <t>C7782</t>
        </is>
      </c>
      <c r="B605" s="2" t="inlineStr">
        <is>
          <t>Holly Smith</t>
        </is>
      </c>
      <c r="C605" s="2" t="inlineStr">
        <is>
          <t>rachelboyle@hotmail.com</t>
        </is>
      </c>
      <c r="D605" s="2" t="inlineStr">
        <is>
          <t>001-155-678-7208x5009</t>
        </is>
      </c>
      <c r="E605" s="2" t="inlineStr">
        <is>
          <t>7494 Harris Views, West Paultown, UT 64329</t>
        </is>
      </c>
      <c r="F605" s="2" t="inlineStr">
        <is>
          <t>Howellborough</t>
        </is>
      </c>
      <c r="G605" s="2" t="inlineStr">
        <is>
          <t>Northern Mariana Islands</t>
        </is>
      </c>
      <c r="H605" s="2" t="inlineStr">
        <is>
          <t>citizen</t>
        </is>
      </c>
      <c r="I605" t="inlineStr">
        <is>
          <t>Congress</t>
        </is>
      </c>
    </row>
    <row r="606">
      <c r="A606" s="2" t="inlineStr">
        <is>
          <t>C1899</t>
        </is>
      </c>
      <c r="B606" s="2" t="inlineStr">
        <is>
          <t>Michelle Stokes</t>
        </is>
      </c>
      <c r="C606" s="2" t="inlineStr">
        <is>
          <t>darrellbrooks@yahoo.com</t>
        </is>
      </c>
      <c r="D606" s="2" t="inlineStr">
        <is>
          <t>+1-205-652-1921x39466</t>
        </is>
      </c>
      <c r="E606" s="2" t="inlineStr">
        <is>
          <t>1129 Sarah Passage Suite 687, Welchton, PA 04821</t>
        </is>
      </c>
      <c r="F606" s="2" t="inlineStr">
        <is>
          <t>Port Rubenshire</t>
        </is>
      </c>
      <c r="G606" s="2" t="inlineStr">
        <is>
          <t>Venezuela</t>
        </is>
      </c>
      <c r="H606" s="2" t="inlineStr">
        <is>
          <t>training</t>
        </is>
      </c>
      <c r="I606" t="inlineStr">
        <is>
          <t>firm</t>
        </is>
      </c>
    </row>
    <row r="607">
      <c r="A607" s="2" t="inlineStr">
        <is>
          <t>C4353</t>
        </is>
      </c>
      <c r="B607" s="2" t="inlineStr">
        <is>
          <t>Brian Sanchez</t>
        </is>
      </c>
      <c r="C607" s="2" t="inlineStr">
        <is>
          <t>qcoffey@gmail.com</t>
        </is>
      </c>
      <c r="D607" s="2" t="inlineStr">
        <is>
          <t>+1-245-109-9872x558</t>
        </is>
      </c>
      <c r="E607" s="2" t="inlineStr">
        <is>
          <t>12010 Patton Harbors Apt. 238, New Jocelyn, NE 67400</t>
        </is>
      </c>
      <c r="F607" s="2" t="inlineStr">
        <is>
          <t>West Mikestad</t>
        </is>
      </c>
      <c r="G607" s="2" t="inlineStr">
        <is>
          <t>Ghana</t>
        </is>
      </c>
      <c r="H607" s="2" t="inlineStr">
        <is>
          <t>second</t>
        </is>
      </c>
      <c r="I607" t="inlineStr">
        <is>
          <t>threat</t>
        </is>
      </c>
    </row>
    <row r="608">
      <c r="A608" s="2" t="inlineStr">
        <is>
          <t>C3832</t>
        </is>
      </c>
      <c r="B608" s="2" t="inlineStr">
        <is>
          <t>Kristina Craig</t>
        </is>
      </c>
      <c r="C608" s="2" t="inlineStr">
        <is>
          <t>johnsondaniel@lawson.biz</t>
        </is>
      </c>
      <c r="D608" s="2" t="inlineStr">
        <is>
          <t>(743)912-7564x2331</t>
        </is>
      </c>
      <c r="E608" s="2" t="inlineStr">
        <is>
          <t>2838 Meredith Stravenue, Alexandershire, KY 64189</t>
        </is>
      </c>
      <c r="F608" s="2" t="inlineStr">
        <is>
          <t>Port Oliviaton</t>
        </is>
      </c>
      <c r="G608" s="2" t="inlineStr">
        <is>
          <t>Austria</t>
        </is>
      </c>
      <c r="H608" s="2" t="inlineStr">
        <is>
          <t>moment</t>
        </is>
      </c>
      <c r="I608" t="inlineStr">
        <is>
          <t>direction</t>
        </is>
      </c>
    </row>
    <row r="609">
      <c r="A609" s="2" t="inlineStr">
        <is>
          <t>C5252</t>
        </is>
      </c>
      <c r="B609" s="2" t="inlineStr">
        <is>
          <t>Dana Jackson</t>
        </is>
      </c>
      <c r="C609" s="2" t="inlineStr">
        <is>
          <t>elizabeth47@cruz-dominguez.org</t>
        </is>
      </c>
      <c r="D609" s="2" t="inlineStr">
        <is>
          <t>(276)454-2866</t>
        </is>
      </c>
      <c r="E609" s="2" t="inlineStr">
        <is>
          <t>4336 Brown Well Suite 019, New Edward, ME 01039</t>
        </is>
      </c>
      <c r="F609" s="2" t="inlineStr">
        <is>
          <t>Port Billy</t>
        </is>
      </c>
      <c r="G609" s="2" t="inlineStr">
        <is>
          <t>Chile</t>
        </is>
      </c>
      <c r="H609" s="2" t="inlineStr">
        <is>
          <t>financial</t>
        </is>
      </c>
      <c r="I609" t="inlineStr">
        <is>
          <t>again</t>
        </is>
      </c>
    </row>
    <row r="610">
      <c r="A610" s="2" t="inlineStr">
        <is>
          <t>C3881</t>
        </is>
      </c>
      <c r="B610" s="2" t="inlineStr">
        <is>
          <t>Brandon Cooper</t>
        </is>
      </c>
      <c r="C610" s="2" t="inlineStr">
        <is>
          <t>april66@hotmail.com</t>
        </is>
      </c>
      <c r="D610" s="2" t="inlineStr">
        <is>
          <t>(352)284-6077x737</t>
        </is>
      </c>
      <c r="E610" s="2" t="inlineStr">
        <is>
          <t>5816 Amy Lights Apt. 831, North Jonathantown, TN 27754</t>
        </is>
      </c>
      <c r="F610" s="2" t="inlineStr">
        <is>
          <t>West Jacobmouth</t>
        </is>
      </c>
      <c r="G610" s="2" t="inlineStr">
        <is>
          <t>Georgia</t>
        </is>
      </c>
      <c r="H610" s="2" t="inlineStr">
        <is>
          <t>community</t>
        </is>
      </c>
      <c r="I610" t="inlineStr">
        <is>
          <t>may</t>
        </is>
      </c>
    </row>
    <row r="611">
      <c r="A611" s="2" t="inlineStr">
        <is>
          <t>C1864</t>
        </is>
      </c>
      <c r="B611" s="2" t="inlineStr">
        <is>
          <t>Kathleen Schmitt</t>
        </is>
      </c>
      <c r="C611" s="2" t="inlineStr">
        <is>
          <t>ronald59@anderson-medina.info</t>
        </is>
      </c>
      <c r="D611" s="2" t="inlineStr">
        <is>
          <t>(807)549-4862x9404</t>
        </is>
      </c>
      <c r="E611" s="2" t="inlineStr">
        <is>
          <t>7020 Hartman Points Apt. 076, East Frankborough, NM 17677</t>
        </is>
      </c>
      <c r="F611" s="2" t="inlineStr">
        <is>
          <t>East Jasonburgh</t>
        </is>
      </c>
      <c r="G611" s="2" t="inlineStr">
        <is>
          <t>Ethiopia</t>
        </is>
      </c>
      <c r="H611" s="2" t="inlineStr">
        <is>
          <t>discuss</t>
        </is>
      </c>
      <c r="I611" t="inlineStr">
        <is>
          <t>option</t>
        </is>
      </c>
    </row>
    <row r="612">
      <c r="A612" s="2" t="inlineStr">
        <is>
          <t>C2504</t>
        </is>
      </c>
      <c r="B612" s="2" t="inlineStr">
        <is>
          <t>Nicole Sanchez</t>
        </is>
      </c>
      <c r="C612" s="2" t="inlineStr">
        <is>
          <t>adamvalencia@riley.biz</t>
        </is>
      </c>
      <c r="D612" s="2" t="inlineStr">
        <is>
          <t>731-248-3781x238</t>
        </is>
      </c>
      <c r="E612" s="2" t="inlineStr">
        <is>
          <t>81584 Gerald Alley, South Jessicastad, OH 85587</t>
        </is>
      </c>
      <c r="F612" s="2" t="inlineStr">
        <is>
          <t>Hannahstad</t>
        </is>
      </c>
      <c r="G612" s="2" t="inlineStr">
        <is>
          <t>Slovenia</t>
        </is>
      </c>
      <c r="H612" s="2" t="inlineStr">
        <is>
          <t>another</t>
        </is>
      </c>
      <c r="I612" t="inlineStr">
        <is>
          <t>ability</t>
        </is>
      </c>
    </row>
    <row r="613">
      <c r="A613" s="2" t="inlineStr">
        <is>
          <t>C5607</t>
        </is>
      </c>
      <c r="B613" s="2" t="inlineStr">
        <is>
          <t>Joseph Spencer</t>
        </is>
      </c>
      <c r="C613" s="2" t="inlineStr">
        <is>
          <t>rebecca26@gross.org</t>
        </is>
      </c>
      <c r="D613" s="2" t="inlineStr">
        <is>
          <t>(484)410-9706x7530</t>
        </is>
      </c>
      <c r="E613" s="2" t="inlineStr">
        <is>
          <t>4120 Chambers Hill Suite 009, Port Jonathan, DE 39298</t>
        </is>
      </c>
      <c r="F613" s="2" t="inlineStr">
        <is>
          <t>Moseston</t>
        </is>
      </c>
      <c r="G613" s="2" t="inlineStr">
        <is>
          <t>Malta</t>
        </is>
      </c>
      <c r="H613" s="2" t="inlineStr">
        <is>
          <t>thank</t>
        </is>
      </c>
      <c r="I613" t="inlineStr">
        <is>
          <t>ten</t>
        </is>
      </c>
    </row>
    <row r="614">
      <c r="A614" s="2" t="inlineStr">
        <is>
          <t>C8426</t>
        </is>
      </c>
      <c r="B614" s="2" t="inlineStr">
        <is>
          <t>Christina Davis</t>
        </is>
      </c>
      <c r="C614" s="2" t="inlineStr">
        <is>
          <t>christian63@hotmail.com</t>
        </is>
      </c>
      <c r="D614" s="2" t="inlineStr">
        <is>
          <t>001-484-582-4449x94410</t>
        </is>
      </c>
      <c r="E614" s="2" t="inlineStr">
        <is>
          <t>4912 Stacy Run Apt. 854, East Andreafurt, AZ 75588</t>
        </is>
      </c>
      <c r="F614" s="2" t="inlineStr">
        <is>
          <t>North Adrian</t>
        </is>
      </c>
      <c r="G614" s="2" t="inlineStr">
        <is>
          <t>Portugal</t>
        </is>
      </c>
      <c r="H614" s="2" t="inlineStr">
        <is>
          <t>find</t>
        </is>
      </c>
      <c r="I614" t="inlineStr">
        <is>
          <t>specific</t>
        </is>
      </c>
    </row>
    <row r="615">
      <c r="A615" s="2" t="inlineStr">
        <is>
          <t>C3253</t>
        </is>
      </c>
      <c r="B615" s="2" t="inlineStr">
        <is>
          <t>Amber Norris</t>
        </is>
      </c>
      <c r="C615" s="2" t="inlineStr">
        <is>
          <t>joe62@hotmail.com</t>
        </is>
      </c>
      <c r="D615" s="2" t="inlineStr">
        <is>
          <t>196-268-8560x2255</t>
        </is>
      </c>
      <c r="E615" s="2" t="inlineStr">
        <is>
          <t>619 Tina Landing Apt. 574, West Kenneth, ND 83083</t>
        </is>
      </c>
      <c r="F615" s="2" t="inlineStr">
        <is>
          <t>North Leslie</t>
        </is>
      </c>
      <c r="G615" s="2" t="inlineStr">
        <is>
          <t>French Southern Territories</t>
        </is>
      </c>
      <c r="H615" s="2" t="inlineStr">
        <is>
          <t>yourself</t>
        </is>
      </c>
      <c r="I615" t="inlineStr">
        <is>
          <t>beat</t>
        </is>
      </c>
    </row>
    <row r="616">
      <c r="A616" s="2" t="inlineStr">
        <is>
          <t>C3578</t>
        </is>
      </c>
      <c r="B616" s="2" t="inlineStr">
        <is>
          <t>Danielle Roberts</t>
        </is>
      </c>
      <c r="C616" s="2" t="inlineStr">
        <is>
          <t>david43@ruiz.com</t>
        </is>
      </c>
      <c r="D616" s="2" t="inlineStr">
        <is>
          <t>973-712-3206x577</t>
        </is>
      </c>
      <c r="E616" s="2" t="inlineStr">
        <is>
          <t>PSC 6336, Box 6108, APO AA 58317</t>
        </is>
      </c>
      <c r="F616" s="2" t="inlineStr">
        <is>
          <t>New Ashley</t>
        </is>
      </c>
      <c r="G616" s="2" t="inlineStr">
        <is>
          <t>Kazakhstan</t>
        </is>
      </c>
      <c r="H616" s="2" t="inlineStr">
        <is>
          <t>technology</t>
        </is>
      </c>
      <c r="I616" t="inlineStr">
        <is>
          <t>mention</t>
        </is>
      </c>
    </row>
    <row r="617">
      <c r="A617" s="2" t="inlineStr">
        <is>
          <t>C1115</t>
        </is>
      </c>
      <c r="B617" s="2" t="inlineStr">
        <is>
          <t>Timothy Brown</t>
        </is>
      </c>
      <c r="C617" s="2" t="inlineStr">
        <is>
          <t>caseyrose@yahoo.com</t>
        </is>
      </c>
      <c r="D617" s="2" t="inlineStr">
        <is>
          <t>051-087-6319x77148</t>
        </is>
      </c>
      <c r="E617" s="2" t="inlineStr">
        <is>
          <t>603 Kelly Isle, Smithberg, CO 56794</t>
        </is>
      </c>
      <c r="F617" s="2" t="inlineStr">
        <is>
          <t>North Justinland</t>
        </is>
      </c>
      <c r="G617" s="2" t="inlineStr">
        <is>
          <t>Azerbaijan</t>
        </is>
      </c>
      <c r="H617" s="2" t="inlineStr">
        <is>
          <t>home</t>
        </is>
      </c>
      <c r="I617" t="inlineStr">
        <is>
          <t>protect</t>
        </is>
      </c>
    </row>
    <row r="618">
      <c r="A618" s="2" t="inlineStr">
        <is>
          <t>C7704</t>
        </is>
      </c>
      <c r="B618" s="2" t="inlineStr">
        <is>
          <t>Jasmin Copeland</t>
        </is>
      </c>
      <c r="C618" s="2" t="inlineStr">
        <is>
          <t>gregory35@gmail.com</t>
        </is>
      </c>
      <c r="D618" s="2" t="inlineStr">
        <is>
          <t>+1-255-220-1663x864</t>
        </is>
      </c>
      <c r="E618" s="2" t="inlineStr">
        <is>
          <t>54352 Hawkins Manor Suite 851, Reynoldsmouth, MS 02490</t>
        </is>
      </c>
      <c r="F618" s="2" t="inlineStr">
        <is>
          <t>Austinberg</t>
        </is>
      </c>
      <c r="G618" s="2" t="inlineStr">
        <is>
          <t>Papua New Guinea</t>
        </is>
      </c>
      <c r="H618" s="2" t="inlineStr">
        <is>
          <t>red</t>
        </is>
      </c>
      <c r="I618" t="inlineStr">
        <is>
          <t>report</t>
        </is>
      </c>
    </row>
    <row r="619">
      <c r="A619" s="2" t="inlineStr">
        <is>
          <t>C4197</t>
        </is>
      </c>
      <c r="B619" s="2" t="inlineStr">
        <is>
          <t>Erica Pearson</t>
        </is>
      </c>
      <c r="C619" s="2" t="inlineStr">
        <is>
          <t>tyler12@mueller-lamb.org</t>
        </is>
      </c>
      <c r="D619" s="2" t="inlineStr">
        <is>
          <t>123-137-9509x89499</t>
        </is>
      </c>
      <c r="E619" s="2" t="inlineStr">
        <is>
          <t>33039 Joyce Viaduct Suite 516, Walterbury, UT 22767</t>
        </is>
      </c>
      <c r="F619" s="2" t="inlineStr">
        <is>
          <t>Brandiland</t>
        </is>
      </c>
      <c r="G619" s="2" t="inlineStr">
        <is>
          <t>Cook Islands</t>
        </is>
      </c>
      <c r="H619" s="2" t="inlineStr">
        <is>
          <t>go</t>
        </is>
      </c>
      <c r="I619" t="inlineStr">
        <is>
          <t>son</t>
        </is>
      </c>
    </row>
    <row r="620">
      <c r="A620" s="2" t="inlineStr">
        <is>
          <t>C3219</t>
        </is>
      </c>
      <c r="B620" s="2" t="inlineStr">
        <is>
          <t>Courtney Chan</t>
        </is>
      </c>
      <c r="C620" s="2" t="inlineStr">
        <is>
          <t>qbarnett@morrison.info</t>
        </is>
      </c>
      <c r="D620" s="2" t="inlineStr">
        <is>
          <t>9185886722</t>
        </is>
      </c>
      <c r="E620" s="2" t="inlineStr">
        <is>
          <t>4657 Perry Ramp, Ernestland, NJ 47151</t>
        </is>
      </c>
      <c r="F620" s="2" t="inlineStr">
        <is>
          <t>Courtneychester</t>
        </is>
      </c>
      <c r="G620" s="2" t="inlineStr">
        <is>
          <t>Grenada</t>
        </is>
      </c>
      <c r="H620" s="2" t="inlineStr">
        <is>
          <t>because</t>
        </is>
      </c>
      <c r="I620" t="inlineStr">
        <is>
          <t>answer</t>
        </is>
      </c>
    </row>
    <row r="621">
      <c r="A621" s="2" t="inlineStr">
        <is>
          <t>C7828</t>
        </is>
      </c>
      <c r="B621" s="2" t="inlineStr">
        <is>
          <t>Joshua Murphy</t>
        </is>
      </c>
      <c r="C621" s="2" t="inlineStr">
        <is>
          <t>dstewart@yahoo.com</t>
        </is>
      </c>
      <c r="D621" s="2" t="inlineStr">
        <is>
          <t>001-635-284-2148</t>
        </is>
      </c>
      <c r="E621" s="2" t="inlineStr">
        <is>
          <t>36378 Anthony Orchard Apt. 497, Ianville, ND 61539</t>
        </is>
      </c>
      <c r="F621" s="2" t="inlineStr">
        <is>
          <t>North Joshua</t>
        </is>
      </c>
      <c r="G621" s="2" t="inlineStr">
        <is>
          <t>Guinea</t>
        </is>
      </c>
      <c r="H621" s="2" t="inlineStr">
        <is>
          <t>suddenly</t>
        </is>
      </c>
      <c r="I621" t="inlineStr">
        <is>
          <t>public</t>
        </is>
      </c>
    </row>
    <row r="622">
      <c r="A622" s="2" t="inlineStr">
        <is>
          <t>C4916</t>
        </is>
      </c>
      <c r="B622" s="2" t="inlineStr">
        <is>
          <t>Troy Kelly</t>
        </is>
      </c>
      <c r="C622" s="2" t="inlineStr">
        <is>
          <t>victoria60@hodges-moody.com</t>
        </is>
      </c>
      <c r="D622" s="2" t="inlineStr">
        <is>
          <t>001-283-651-8431x2198</t>
        </is>
      </c>
      <c r="E622" s="2" t="inlineStr">
        <is>
          <t>73513 Christina Villages Suite 407, Port Patty, AK 84742</t>
        </is>
      </c>
      <c r="F622" s="2" t="inlineStr">
        <is>
          <t>Port Jamesberg</t>
        </is>
      </c>
      <c r="G622" s="2" t="inlineStr">
        <is>
          <t>Sri Lanka</t>
        </is>
      </c>
      <c r="H622" s="2" t="inlineStr">
        <is>
          <t>generation</t>
        </is>
      </c>
      <c r="I622" t="inlineStr">
        <is>
          <t>least</t>
        </is>
      </c>
    </row>
    <row r="623">
      <c r="A623" s="2" t="inlineStr">
        <is>
          <t>C7017</t>
        </is>
      </c>
      <c r="B623" s="2" t="inlineStr">
        <is>
          <t>Dylan Hamilton</t>
        </is>
      </c>
      <c r="C623" s="2" t="inlineStr">
        <is>
          <t>parkscindy@webster-craig.net</t>
        </is>
      </c>
      <c r="D623" s="2" t="inlineStr">
        <is>
          <t>1936136760</t>
        </is>
      </c>
      <c r="E623" s="2" t="inlineStr">
        <is>
          <t>83870 Lane Highway, East Craig, CO 57256</t>
        </is>
      </c>
      <c r="F623" s="2" t="inlineStr">
        <is>
          <t>Nancybury</t>
        </is>
      </c>
      <c r="G623" s="2" t="inlineStr">
        <is>
          <t>Philippines</t>
        </is>
      </c>
      <c r="H623" s="2" t="inlineStr">
        <is>
          <t>focus</t>
        </is>
      </c>
      <c r="I623" t="inlineStr">
        <is>
          <t>cultural</t>
        </is>
      </c>
    </row>
    <row r="624">
      <c r="A624" s="2" t="inlineStr">
        <is>
          <t>C9198</t>
        </is>
      </c>
      <c r="B624" s="2" t="inlineStr">
        <is>
          <t>Pam Orozco</t>
        </is>
      </c>
      <c r="C624" s="2" t="inlineStr">
        <is>
          <t>qreed@romero-schultz.org</t>
        </is>
      </c>
      <c r="D624" s="2" t="inlineStr">
        <is>
          <t>000.422.3945x34882</t>
        </is>
      </c>
      <c r="E624" s="2" t="inlineStr">
        <is>
          <t>437 Reyes Roads Apt. 197, Lake Christopher, LA 30032</t>
        </is>
      </c>
      <c r="F624" s="2" t="inlineStr">
        <is>
          <t>South Eric</t>
        </is>
      </c>
      <c r="G624" s="2" t="inlineStr">
        <is>
          <t>Lebanon</t>
        </is>
      </c>
      <c r="H624" s="2" t="inlineStr">
        <is>
          <t>eye</t>
        </is>
      </c>
      <c r="I624" t="inlineStr">
        <is>
          <t>event</t>
        </is>
      </c>
    </row>
    <row r="625">
      <c r="A625" s="2" t="inlineStr">
        <is>
          <t>C5855</t>
        </is>
      </c>
      <c r="B625" s="2" t="inlineStr">
        <is>
          <t>Karen Singleton</t>
        </is>
      </c>
      <c r="C625" s="2" t="inlineStr">
        <is>
          <t>michael33@smith.com</t>
        </is>
      </c>
      <c r="D625" s="2" t="inlineStr">
        <is>
          <t>286-849-2562x6650</t>
        </is>
      </c>
      <c r="E625" s="2" t="inlineStr">
        <is>
          <t>93212 Smith Lodge Apt. 925, Leonburgh, IL 67201</t>
        </is>
      </c>
      <c r="F625" s="2" t="inlineStr">
        <is>
          <t>East Rebecca</t>
        </is>
      </c>
      <c r="G625" s="2" t="inlineStr">
        <is>
          <t>Russian Federation</t>
        </is>
      </c>
      <c r="H625" s="2" t="inlineStr">
        <is>
          <t>happy</t>
        </is>
      </c>
      <c r="I625" t="inlineStr">
        <is>
          <t>figure</t>
        </is>
      </c>
    </row>
    <row r="626">
      <c r="A626" s="2" t="inlineStr">
        <is>
          <t>C5142</t>
        </is>
      </c>
      <c r="B626" s="2" t="inlineStr">
        <is>
          <t>Brandon King</t>
        </is>
      </c>
      <c r="C626" s="2" t="inlineStr">
        <is>
          <t>gdelacruz@lewis.com</t>
        </is>
      </c>
      <c r="D626" s="2" t="inlineStr">
        <is>
          <t>588-078-6097</t>
        </is>
      </c>
      <c r="E626" s="2" t="inlineStr">
        <is>
          <t>9729 David Lights Apt. 675, Joshuatown, SD 53165</t>
        </is>
      </c>
      <c r="F626" s="2" t="inlineStr">
        <is>
          <t>Juliaberg</t>
        </is>
      </c>
      <c r="G626" s="2" t="inlineStr">
        <is>
          <t>Azerbaijan</t>
        </is>
      </c>
      <c r="H626" s="2" t="inlineStr">
        <is>
          <t>education</t>
        </is>
      </c>
      <c r="I626" t="inlineStr">
        <is>
          <t>behind</t>
        </is>
      </c>
    </row>
    <row r="627">
      <c r="A627" s="2" t="inlineStr">
        <is>
          <t>C9411</t>
        </is>
      </c>
      <c r="B627" s="2" t="inlineStr">
        <is>
          <t>Gregory Edwards</t>
        </is>
      </c>
      <c r="C627" s="2" t="inlineStr">
        <is>
          <t>robertlawrence@smith.com</t>
        </is>
      </c>
      <c r="D627" s="2" t="inlineStr">
        <is>
          <t>0503480387</t>
        </is>
      </c>
      <c r="E627" s="2" t="inlineStr">
        <is>
          <t>097 Jones Mall, North Rebeccahaven, CA 27554</t>
        </is>
      </c>
      <c r="F627" s="2" t="inlineStr">
        <is>
          <t>North Laurentown</t>
        </is>
      </c>
      <c r="G627" s="2" t="inlineStr">
        <is>
          <t>Comoros</t>
        </is>
      </c>
      <c r="H627" s="2" t="inlineStr">
        <is>
          <t>mouth</t>
        </is>
      </c>
      <c r="I627" t="inlineStr">
        <is>
          <t>perform</t>
        </is>
      </c>
    </row>
    <row r="628">
      <c r="A628" s="2" t="inlineStr">
        <is>
          <t>C3783</t>
        </is>
      </c>
      <c r="B628" s="2" t="inlineStr">
        <is>
          <t>John Carey</t>
        </is>
      </c>
      <c r="C628" s="2" t="inlineStr">
        <is>
          <t>jeffreysilva@allen.org</t>
        </is>
      </c>
      <c r="D628" s="2" t="inlineStr">
        <is>
          <t>2747639286</t>
        </is>
      </c>
      <c r="E628" s="2" t="inlineStr">
        <is>
          <t>PSC 4741, Box 9172, APO AP 72538</t>
        </is>
      </c>
      <c r="F628" s="2" t="inlineStr">
        <is>
          <t>South Staceyton</t>
        </is>
      </c>
      <c r="G628" s="2" t="inlineStr">
        <is>
          <t>Belarus</t>
        </is>
      </c>
      <c r="H628" s="2" t="inlineStr">
        <is>
          <t>short</t>
        </is>
      </c>
      <c r="I628" t="inlineStr">
        <is>
          <t>movement</t>
        </is>
      </c>
    </row>
    <row r="629">
      <c r="A629" s="2" t="inlineStr">
        <is>
          <t>C6766</t>
        </is>
      </c>
      <c r="B629" s="2" t="inlineStr">
        <is>
          <t>Megan Campbell</t>
        </is>
      </c>
      <c r="C629" s="2" t="inlineStr">
        <is>
          <t>jefferyhendricks@gmail.com</t>
        </is>
      </c>
      <c r="D629" s="2" t="inlineStr">
        <is>
          <t>(753)919-6497</t>
        </is>
      </c>
      <c r="E629" s="2" t="inlineStr">
        <is>
          <t>USS Campos, FPO AP 58721</t>
        </is>
      </c>
      <c r="F629" s="2" t="inlineStr">
        <is>
          <t>Goodmanland</t>
        </is>
      </c>
      <c r="G629" s="2" t="inlineStr">
        <is>
          <t>Belarus</t>
        </is>
      </c>
      <c r="H629" s="2" t="inlineStr">
        <is>
          <t>finish</t>
        </is>
      </c>
      <c r="I629" t="inlineStr">
        <is>
          <t>game</t>
        </is>
      </c>
    </row>
    <row r="630">
      <c r="A630" s="2" t="inlineStr">
        <is>
          <t>C8461</t>
        </is>
      </c>
      <c r="B630" s="2" t="inlineStr">
        <is>
          <t>Robert Thompson</t>
        </is>
      </c>
      <c r="C630" s="2" t="inlineStr">
        <is>
          <t>gtaylor@yahoo.com</t>
        </is>
      </c>
      <c r="D630" s="2" t="inlineStr">
        <is>
          <t>(038)862-7017x85941</t>
        </is>
      </c>
      <c r="E630" s="2" t="inlineStr">
        <is>
          <t>719 Murphy Drive Apt. 514, Port Jacqueline, FL 37825</t>
        </is>
      </c>
      <c r="F630" s="2" t="inlineStr">
        <is>
          <t>West Andrewberg</t>
        </is>
      </c>
      <c r="G630" s="2" t="inlineStr">
        <is>
          <t>Maldives</t>
        </is>
      </c>
      <c r="H630" s="2" t="inlineStr">
        <is>
          <t>tell</t>
        </is>
      </c>
      <c r="I630" t="inlineStr">
        <is>
          <t>let</t>
        </is>
      </c>
    </row>
    <row r="631">
      <c r="A631" s="2" t="inlineStr">
        <is>
          <t>C8745</t>
        </is>
      </c>
      <c r="B631" s="2" t="inlineStr">
        <is>
          <t>Joshua Henderson</t>
        </is>
      </c>
      <c r="C631" s="2" t="inlineStr">
        <is>
          <t>john32@yahoo.com</t>
        </is>
      </c>
      <c r="D631" s="2" t="inlineStr">
        <is>
          <t>001-016-695-2974x301</t>
        </is>
      </c>
      <c r="E631" s="2" t="inlineStr">
        <is>
          <t>33136 Gina Coves, Port Brandiberg, WV 74028</t>
        </is>
      </c>
      <c r="F631" s="2" t="inlineStr">
        <is>
          <t>North William</t>
        </is>
      </c>
      <c r="G631" s="2" t="inlineStr">
        <is>
          <t>Luxembourg</t>
        </is>
      </c>
      <c r="H631" s="2" t="inlineStr">
        <is>
          <t>would</t>
        </is>
      </c>
      <c r="I631" t="inlineStr">
        <is>
          <t>friend</t>
        </is>
      </c>
    </row>
    <row r="632">
      <c r="A632" s="2" t="inlineStr">
        <is>
          <t>C5713</t>
        </is>
      </c>
      <c r="B632" s="2" t="inlineStr">
        <is>
          <t>Brandon Alvarez</t>
        </is>
      </c>
      <c r="C632" s="2" t="inlineStr">
        <is>
          <t>peterdawson@barrett.com</t>
        </is>
      </c>
      <c r="D632" s="2" t="inlineStr">
        <is>
          <t>866-934-5889x70075</t>
        </is>
      </c>
      <c r="E632" s="2" t="inlineStr">
        <is>
          <t>26748 Myers Bypass Suite 859, North Shawnaland, FL 96622</t>
        </is>
      </c>
      <c r="F632" s="2" t="inlineStr">
        <is>
          <t>Pattersonfurt</t>
        </is>
      </c>
      <c r="G632" s="2" t="inlineStr">
        <is>
          <t>Sudan</t>
        </is>
      </c>
      <c r="H632" s="2" t="inlineStr">
        <is>
          <t>order</t>
        </is>
      </c>
      <c r="I632" t="inlineStr">
        <is>
          <t>entire</t>
        </is>
      </c>
    </row>
    <row r="633">
      <c r="A633" s="2" t="inlineStr">
        <is>
          <t>C9425</t>
        </is>
      </c>
      <c r="B633" s="2" t="inlineStr">
        <is>
          <t>Jordan Villegas</t>
        </is>
      </c>
      <c r="C633" s="2" t="inlineStr">
        <is>
          <t>agardner@yahoo.com</t>
        </is>
      </c>
      <c r="D633" s="2" t="inlineStr">
        <is>
          <t>001-739-318-7219</t>
        </is>
      </c>
      <c r="E633" s="2" t="inlineStr">
        <is>
          <t>140 Hansen Locks, Jonesberg, DC 78059</t>
        </is>
      </c>
      <c r="F633" s="2" t="inlineStr">
        <is>
          <t>Patrickhaven</t>
        </is>
      </c>
      <c r="G633" s="2" t="inlineStr">
        <is>
          <t>French Guiana</t>
        </is>
      </c>
      <c r="H633" s="2" t="inlineStr">
        <is>
          <t>baby</t>
        </is>
      </c>
      <c r="I633" t="inlineStr">
        <is>
          <t>save</t>
        </is>
      </c>
    </row>
    <row r="634">
      <c r="A634" s="2" t="inlineStr">
        <is>
          <t>C6558</t>
        </is>
      </c>
      <c r="B634" s="2" t="inlineStr">
        <is>
          <t>Christine Walker</t>
        </is>
      </c>
      <c r="C634" s="2" t="inlineStr">
        <is>
          <t>knewton@hotmail.com</t>
        </is>
      </c>
      <c r="D634" s="2" t="inlineStr">
        <is>
          <t>683.325.5705x2848</t>
        </is>
      </c>
      <c r="E634" s="2" t="inlineStr">
        <is>
          <t>233 David Underpass Suite 347, East Erinhaven, HI 55929</t>
        </is>
      </c>
      <c r="F634" s="2" t="inlineStr">
        <is>
          <t>Danielleport</t>
        </is>
      </c>
      <c r="G634" s="2" t="inlineStr">
        <is>
          <t>Iceland</t>
        </is>
      </c>
      <c r="H634" s="2" t="inlineStr">
        <is>
          <t>political</t>
        </is>
      </c>
      <c r="I634" t="inlineStr">
        <is>
          <t>quickly</t>
        </is>
      </c>
    </row>
    <row r="635">
      <c r="A635" s="2" t="inlineStr">
        <is>
          <t>C5833</t>
        </is>
      </c>
      <c r="B635" s="2" t="inlineStr">
        <is>
          <t>Nicole Johnson</t>
        </is>
      </c>
      <c r="C635" s="2" t="inlineStr">
        <is>
          <t>tyler23@west.com</t>
        </is>
      </c>
      <c r="D635" s="2" t="inlineStr">
        <is>
          <t>001-890-085-0113x2480</t>
        </is>
      </c>
      <c r="E635" s="2" t="inlineStr">
        <is>
          <t>90258 Susan Way Suite 065, Julieside, SD 23030</t>
        </is>
      </c>
      <c r="F635" s="2" t="inlineStr">
        <is>
          <t>Westmouth</t>
        </is>
      </c>
      <c r="G635" s="2" t="inlineStr">
        <is>
          <t>Kyrgyz Republic</t>
        </is>
      </c>
      <c r="H635" s="2" t="inlineStr">
        <is>
          <t>rate</t>
        </is>
      </c>
      <c r="I635" t="inlineStr">
        <is>
          <t>listen</t>
        </is>
      </c>
    </row>
    <row r="636">
      <c r="A636" s="2" t="inlineStr">
        <is>
          <t>C1924</t>
        </is>
      </c>
      <c r="B636" s="2" t="inlineStr">
        <is>
          <t>Stacey Brown</t>
        </is>
      </c>
      <c r="C636" s="2" t="inlineStr">
        <is>
          <t>ujohns@gmail.com</t>
        </is>
      </c>
      <c r="D636" s="2" t="inlineStr">
        <is>
          <t>832.748.2330</t>
        </is>
      </c>
      <c r="E636" s="2" t="inlineStr">
        <is>
          <t>003 Kristen Locks Apt. 111, Brendaville, KY 72384</t>
        </is>
      </c>
      <c r="F636" s="2" t="inlineStr">
        <is>
          <t>Port Destinymouth</t>
        </is>
      </c>
      <c r="G636" s="2" t="inlineStr">
        <is>
          <t>Kazakhstan</t>
        </is>
      </c>
      <c r="H636" s="2" t="inlineStr">
        <is>
          <t>suddenly</t>
        </is>
      </c>
      <c r="I636" t="inlineStr">
        <is>
          <t>way</t>
        </is>
      </c>
    </row>
    <row r="637">
      <c r="A637" s="2" t="inlineStr">
        <is>
          <t>C2387</t>
        </is>
      </c>
      <c r="B637" s="2" t="inlineStr">
        <is>
          <t>Chelsea Chapman</t>
        </is>
      </c>
      <c r="C637" s="2" t="inlineStr">
        <is>
          <t>fowlermaria@hotmail.com</t>
        </is>
      </c>
      <c r="D637" s="2" t="inlineStr">
        <is>
          <t>001-585-721-3303x7159</t>
        </is>
      </c>
      <c r="E637" s="2" t="inlineStr">
        <is>
          <t>PSC 8450, Box 5404, APO AA 85270</t>
        </is>
      </c>
      <c r="F637" s="2" t="inlineStr">
        <is>
          <t>New Jefferyview</t>
        </is>
      </c>
      <c r="G637" s="2" t="inlineStr">
        <is>
          <t>Niue</t>
        </is>
      </c>
      <c r="H637" s="2" t="inlineStr">
        <is>
          <t>medical</t>
        </is>
      </c>
      <c r="I637" t="inlineStr">
        <is>
          <t>example</t>
        </is>
      </c>
    </row>
    <row r="638">
      <c r="A638" s="2" t="inlineStr">
        <is>
          <t>C8962</t>
        </is>
      </c>
      <c r="B638" s="2" t="inlineStr">
        <is>
          <t>Robert Perry</t>
        </is>
      </c>
      <c r="C638" s="2" t="inlineStr">
        <is>
          <t>jeffreycarroll@morris.org</t>
        </is>
      </c>
      <c r="D638" s="2" t="inlineStr">
        <is>
          <t>239-182-7317x17660</t>
        </is>
      </c>
      <c r="E638" s="2" t="inlineStr">
        <is>
          <t>1856 Richard Overpass Suite 908, Ashleymouth, IA 00934</t>
        </is>
      </c>
      <c r="F638" s="2" t="inlineStr">
        <is>
          <t>South Nicole</t>
        </is>
      </c>
      <c r="G638" s="2" t="inlineStr">
        <is>
          <t>Fiji</t>
        </is>
      </c>
      <c r="H638" s="2" t="inlineStr">
        <is>
          <t>attention</t>
        </is>
      </c>
      <c r="I638" t="inlineStr">
        <is>
          <t>none</t>
        </is>
      </c>
    </row>
    <row r="639">
      <c r="A639" s="2" t="inlineStr">
        <is>
          <t>C2775</t>
        </is>
      </c>
      <c r="B639" s="2" t="inlineStr">
        <is>
          <t>Gary Garza</t>
        </is>
      </c>
      <c r="C639" s="2" t="inlineStr">
        <is>
          <t>murphymonica@weber.com</t>
        </is>
      </c>
      <c r="D639" s="2" t="inlineStr">
        <is>
          <t>001-372-217-1492x08795</t>
        </is>
      </c>
      <c r="E639" s="2" t="inlineStr">
        <is>
          <t>936 Johnson Inlet Suite 779, North Michelle, WY 62532</t>
        </is>
      </c>
      <c r="F639" s="2" t="inlineStr">
        <is>
          <t>Guzmanfort</t>
        </is>
      </c>
      <c r="G639" s="2" t="inlineStr">
        <is>
          <t>Northern Mariana Islands</t>
        </is>
      </c>
      <c r="H639" s="2" t="inlineStr">
        <is>
          <t>benefit</t>
        </is>
      </c>
      <c r="I639" t="inlineStr">
        <is>
          <t>perhaps</t>
        </is>
      </c>
    </row>
    <row r="640">
      <c r="A640" s="2" t="inlineStr">
        <is>
          <t>C6900</t>
        </is>
      </c>
      <c r="B640" s="2" t="inlineStr">
        <is>
          <t>John Buck</t>
        </is>
      </c>
      <c r="C640" s="2" t="inlineStr">
        <is>
          <t>roberterickson@hubbard-franklin.com</t>
        </is>
      </c>
      <c r="D640" s="2" t="inlineStr">
        <is>
          <t>028-971-0297x516</t>
        </is>
      </c>
      <c r="E640" s="2" t="inlineStr">
        <is>
          <t>3562 Heather Road, Andrewburgh, OH 76698</t>
        </is>
      </c>
      <c r="F640" s="2" t="inlineStr">
        <is>
          <t>Collinsport</t>
        </is>
      </c>
      <c r="G640" s="2" t="inlineStr">
        <is>
          <t>United States Minor Outlying Islands</t>
        </is>
      </c>
      <c r="H640" s="2" t="inlineStr">
        <is>
          <t>modern</t>
        </is>
      </c>
      <c r="I640" t="inlineStr">
        <is>
          <t>movement</t>
        </is>
      </c>
    </row>
    <row r="641">
      <c r="A641" s="2" t="inlineStr">
        <is>
          <t>C3850</t>
        </is>
      </c>
      <c r="B641" s="2" t="inlineStr">
        <is>
          <t>Brandon Thompson</t>
        </is>
      </c>
      <c r="C641" s="2" t="inlineStr">
        <is>
          <t>bgregory@hotmail.com</t>
        </is>
      </c>
      <c r="D641" s="2" t="inlineStr">
        <is>
          <t>+1-416-053-6710x706</t>
        </is>
      </c>
      <c r="E641" s="2" t="inlineStr">
        <is>
          <t>Unit 7351 Box 3017, DPO AA 95814</t>
        </is>
      </c>
      <c r="F641" s="2" t="inlineStr">
        <is>
          <t>Lake Alexandrahaven</t>
        </is>
      </c>
      <c r="G641" s="2" t="inlineStr">
        <is>
          <t>South Africa</t>
        </is>
      </c>
      <c r="H641" s="2" t="inlineStr">
        <is>
          <t>wall</t>
        </is>
      </c>
      <c r="I641" t="inlineStr">
        <is>
          <t>man</t>
        </is>
      </c>
    </row>
    <row r="642">
      <c r="A642" s="2" t="inlineStr">
        <is>
          <t>C4482</t>
        </is>
      </c>
      <c r="B642" s="2" t="inlineStr">
        <is>
          <t>Kevin Alvarez</t>
        </is>
      </c>
      <c r="C642" s="2" t="inlineStr">
        <is>
          <t>kathrynbrown@mills.info</t>
        </is>
      </c>
      <c r="D642" s="2" t="inlineStr">
        <is>
          <t>929-879-5907x6875</t>
        </is>
      </c>
      <c r="E642" s="2" t="inlineStr">
        <is>
          <t>38271 York Ports, Joyceberg, MI 17122</t>
        </is>
      </c>
      <c r="F642" s="2" t="inlineStr">
        <is>
          <t>West Tashaton</t>
        </is>
      </c>
      <c r="G642" s="2" t="inlineStr">
        <is>
          <t>Yemen</t>
        </is>
      </c>
      <c r="H642" s="2" t="inlineStr">
        <is>
          <t>agree</t>
        </is>
      </c>
      <c r="I642" t="inlineStr">
        <is>
          <t>soldier</t>
        </is>
      </c>
    </row>
    <row r="643">
      <c r="A643" s="2" t="inlineStr">
        <is>
          <t>C6931</t>
        </is>
      </c>
      <c r="B643" s="2" t="inlineStr">
        <is>
          <t>Lucas Pittman</t>
        </is>
      </c>
      <c r="C643" s="2" t="inlineStr">
        <is>
          <t>nataliecole@ortiz.info</t>
        </is>
      </c>
      <c r="D643" s="2" t="inlineStr">
        <is>
          <t>001-392-641-5867x30822</t>
        </is>
      </c>
      <c r="E643" s="2" t="inlineStr">
        <is>
          <t>5493 William Glen, Dennisville, NH 91240</t>
        </is>
      </c>
      <c r="F643" s="2" t="inlineStr">
        <is>
          <t>Ernestchester</t>
        </is>
      </c>
      <c r="G643" s="2" t="inlineStr">
        <is>
          <t>Slovenia</t>
        </is>
      </c>
      <c r="H643" s="2" t="inlineStr">
        <is>
          <t>about</t>
        </is>
      </c>
      <c r="I643" t="inlineStr">
        <is>
          <t>year</t>
        </is>
      </c>
    </row>
    <row r="644">
      <c r="A644" s="2" t="inlineStr">
        <is>
          <t>C4076</t>
        </is>
      </c>
      <c r="B644" s="2" t="inlineStr">
        <is>
          <t>Martin Richards</t>
        </is>
      </c>
      <c r="C644" s="2" t="inlineStr">
        <is>
          <t>gdavis@espinoza-fuentes.info</t>
        </is>
      </c>
      <c r="D644" s="2" t="inlineStr">
        <is>
          <t>662-056-8667x123</t>
        </is>
      </c>
      <c r="E644" s="2" t="inlineStr">
        <is>
          <t>9402 Morales Pines, Samanthafurt, OH 76297</t>
        </is>
      </c>
      <c r="F644" s="2" t="inlineStr">
        <is>
          <t>Josephshire</t>
        </is>
      </c>
      <c r="G644" s="2" t="inlineStr">
        <is>
          <t>Guyana</t>
        </is>
      </c>
      <c r="H644" s="2" t="inlineStr">
        <is>
          <t>page</t>
        </is>
      </c>
      <c r="I644" t="inlineStr">
        <is>
          <t>maintain</t>
        </is>
      </c>
    </row>
    <row r="645">
      <c r="A645" s="2" t="inlineStr">
        <is>
          <t>C5895</t>
        </is>
      </c>
      <c r="B645" s="2" t="inlineStr">
        <is>
          <t>Kyle Watkins</t>
        </is>
      </c>
      <c r="C645" s="2" t="inlineStr">
        <is>
          <t>coreysmith@jackson.com</t>
        </is>
      </c>
      <c r="D645" s="2" t="inlineStr">
        <is>
          <t>001-541-857-0258x59459</t>
        </is>
      </c>
      <c r="E645" s="2" t="inlineStr">
        <is>
          <t>82439 Williams Crossroad, East Ricardomouth, TX 27799</t>
        </is>
      </c>
      <c r="F645" s="2" t="inlineStr">
        <is>
          <t>Amyberg</t>
        </is>
      </c>
      <c r="G645" s="2" t="inlineStr">
        <is>
          <t>Estonia</t>
        </is>
      </c>
      <c r="H645" s="2" t="inlineStr">
        <is>
          <t>nation</t>
        </is>
      </c>
      <c r="I645" t="inlineStr">
        <is>
          <t>Congress</t>
        </is>
      </c>
    </row>
    <row r="646">
      <c r="A646" s="2" t="inlineStr">
        <is>
          <t>C7301</t>
        </is>
      </c>
      <c r="B646" s="2" t="inlineStr">
        <is>
          <t>Gina Fleming</t>
        </is>
      </c>
      <c r="C646" s="2" t="inlineStr">
        <is>
          <t>mcdaniellaura@goodwin-avery.org</t>
        </is>
      </c>
      <c r="D646" s="2" t="inlineStr">
        <is>
          <t>+1-581-771-9244x08754</t>
        </is>
      </c>
      <c r="E646" s="2" t="inlineStr">
        <is>
          <t>837 Sandoval Divide, South Christopher, KS 69175</t>
        </is>
      </c>
      <c r="F646" s="2" t="inlineStr">
        <is>
          <t>New Leahbury</t>
        </is>
      </c>
      <c r="G646" s="2" t="inlineStr">
        <is>
          <t>Hong Kong</t>
        </is>
      </c>
      <c r="H646" s="2" t="inlineStr">
        <is>
          <t>several</t>
        </is>
      </c>
      <c r="I646" t="inlineStr">
        <is>
          <t>whether</t>
        </is>
      </c>
    </row>
    <row r="647">
      <c r="A647" s="2" t="inlineStr">
        <is>
          <t>C3623</t>
        </is>
      </c>
      <c r="B647" s="2" t="inlineStr">
        <is>
          <t>Elizabeth Castillo</t>
        </is>
      </c>
      <c r="C647" s="2" t="inlineStr">
        <is>
          <t>gouldjames@gmail.com</t>
        </is>
      </c>
      <c r="D647" s="2" t="inlineStr">
        <is>
          <t>0419774128</t>
        </is>
      </c>
      <c r="E647" s="2" t="inlineStr">
        <is>
          <t>1129 Pratt Springs, Amymouth, DC 03746</t>
        </is>
      </c>
      <c r="F647" s="2" t="inlineStr">
        <is>
          <t>West Matthewchester</t>
        </is>
      </c>
      <c r="G647" s="2" t="inlineStr">
        <is>
          <t>Gabon</t>
        </is>
      </c>
      <c r="H647" s="2" t="inlineStr">
        <is>
          <t>policy</t>
        </is>
      </c>
      <c r="I647" t="inlineStr">
        <is>
          <t>side</t>
        </is>
      </c>
    </row>
    <row r="648">
      <c r="A648" s="2" t="inlineStr">
        <is>
          <t>C8621</t>
        </is>
      </c>
      <c r="B648" s="2" t="inlineStr">
        <is>
          <t>John Hickman</t>
        </is>
      </c>
      <c r="C648" s="2" t="inlineStr">
        <is>
          <t>michaelvargas@gmail.com</t>
        </is>
      </c>
      <c r="D648" s="2" t="inlineStr">
        <is>
          <t>711.717.6293x719</t>
        </is>
      </c>
      <c r="E648" s="2" t="inlineStr">
        <is>
          <t>90575 Brenda Villages Apt. 074, West Arielville, NM 77887</t>
        </is>
      </c>
      <c r="F648" s="2" t="inlineStr">
        <is>
          <t>East Laurabury</t>
        </is>
      </c>
      <c r="G648" s="2" t="inlineStr">
        <is>
          <t>Benin</t>
        </is>
      </c>
      <c r="H648" s="2" t="inlineStr">
        <is>
          <t>store</t>
        </is>
      </c>
      <c r="I648" t="inlineStr">
        <is>
          <t>bring</t>
        </is>
      </c>
    </row>
    <row r="649">
      <c r="A649" s="2" t="inlineStr">
        <is>
          <t>C9961</t>
        </is>
      </c>
      <c r="B649" s="2" t="inlineStr">
        <is>
          <t>Kerri Flores</t>
        </is>
      </c>
      <c r="C649" s="2" t="inlineStr">
        <is>
          <t>zthomas@hotmail.com</t>
        </is>
      </c>
      <c r="D649" s="2" t="inlineStr">
        <is>
          <t>(866)099-7339x757</t>
        </is>
      </c>
      <c r="E649" s="2" t="inlineStr">
        <is>
          <t>472 Sharon River Suite 901, New Katelyn, MN 95400</t>
        </is>
      </c>
      <c r="F649" s="2" t="inlineStr">
        <is>
          <t>North Patriciamouth</t>
        </is>
      </c>
      <c r="G649" s="2" t="inlineStr">
        <is>
          <t>Northern Mariana Islands</t>
        </is>
      </c>
      <c r="H649" s="2" t="inlineStr">
        <is>
          <t>campaign</t>
        </is>
      </c>
      <c r="I649" t="inlineStr">
        <is>
          <t>security</t>
        </is>
      </c>
    </row>
    <row r="650">
      <c r="A650" s="2" t="inlineStr">
        <is>
          <t>C9632</t>
        </is>
      </c>
      <c r="B650" s="2" t="inlineStr">
        <is>
          <t>Alice Davis</t>
        </is>
      </c>
      <c r="C650" s="2" t="inlineStr">
        <is>
          <t>elliscody@reid.net</t>
        </is>
      </c>
      <c r="D650" s="2" t="inlineStr">
        <is>
          <t>(152)254-0736x9071</t>
        </is>
      </c>
      <c r="E650" s="2" t="inlineStr">
        <is>
          <t>PSC 4689, Box 4270, APO AP 97301</t>
        </is>
      </c>
      <c r="F650" s="2" t="inlineStr">
        <is>
          <t>Bellchester</t>
        </is>
      </c>
      <c r="G650" s="2" t="inlineStr">
        <is>
          <t>Falkland Islands (Malvinas)</t>
        </is>
      </c>
      <c r="H650" s="2" t="inlineStr">
        <is>
          <t>speak</t>
        </is>
      </c>
      <c r="I650" t="inlineStr">
        <is>
          <t>young</t>
        </is>
      </c>
    </row>
    <row r="651">
      <c r="A651" s="2" t="inlineStr">
        <is>
          <t>C3381</t>
        </is>
      </c>
      <c r="B651" s="2" t="inlineStr">
        <is>
          <t>Michael Rogers</t>
        </is>
      </c>
      <c r="C651" s="2" t="inlineStr">
        <is>
          <t>xwyatt@orr.com</t>
        </is>
      </c>
      <c r="D651" s="2" t="inlineStr">
        <is>
          <t>(903)133-3310x739</t>
        </is>
      </c>
      <c r="E651" s="2" t="inlineStr">
        <is>
          <t>2684 Daniel Ways Suite 077, Levymouth, DC 82218</t>
        </is>
      </c>
      <c r="F651" s="2" t="inlineStr">
        <is>
          <t>New Jacobmouth</t>
        </is>
      </c>
      <c r="G651" s="2" t="inlineStr">
        <is>
          <t>Guam</t>
        </is>
      </c>
      <c r="H651" s="2" t="inlineStr">
        <is>
          <t>at</t>
        </is>
      </c>
      <c r="I651" t="inlineStr">
        <is>
          <t>trade</t>
        </is>
      </c>
    </row>
    <row r="652">
      <c r="A652" s="2" t="inlineStr">
        <is>
          <t>C6886</t>
        </is>
      </c>
      <c r="B652" s="2" t="inlineStr">
        <is>
          <t>Michael Wilson</t>
        </is>
      </c>
      <c r="C652" s="2" t="inlineStr">
        <is>
          <t>jeremy90@bradley.biz</t>
        </is>
      </c>
      <c r="D652" s="2" t="inlineStr">
        <is>
          <t>102.601.9901</t>
        </is>
      </c>
      <c r="E652" s="2" t="inlineStr">
        <is>
          <t>818 Williams Cliffs Suite 270, Knightville, NY 19192</t>
        </is>
      </c>
      <c r="F652" s="2" t="inlineStr">
        <is>
          <t>Mooreview</t>
        </is>
      </c>
      <c r="G652" s="2" t="inlineStr">
        <is>
          <t>Botswana</t>
        </is>
      </c>
      <c r="H652" s="2" t="inlineStr">
        <is>
          <t>play</t>
        </is>
      </c>
      <c r="I652" t="inlineStr">
        <is>
          <t>fund</t>
        </is>
      </c>
    </row>
    <row r="653">
      <c r="A653" s="2" t="inlineStr">
        <is>
          <t>C6484</t>
        </is>
      </c>
      <c r="B653" s="2" t="inlineStr">
        <is>
          <t>Patricia Garza</t>
        </is>
      </c>
      <c r="C653" s="2" t="inlineStr">
        <is>
          <t>tcarter@hotmail.com</t>
        </is>
      </c>
      <c r="D653" s="2" t="inlineStr">
        <is>
          <t>021-913-4752</t>
        </is>
      </c>
      <c r="E653" s="2" t="inlineStr">
        <is>
          <t>47132 Petty Mews, Lake Tricia, OR 03139</t>
        </is>
      </c>
      <c r="F653" s="2" t="inlineStr">
        <is>
          <t>New Jacobton</t>
        </is>
      </c>
      <c r="G653" s="2" t="inlineStr">
        <is>
          <t>Pitcairn Islands</t>
        </is>
      </c>
      <c r="H653" s="2" t="inlineStr">
        <is>
          <t>ago</t>
        </is>
      </c>
      <c r="I653" t="inlineStr">
        <is>
          <t>manage</t>
        </is>
      </c>
    </row>
    <row r="654">
      <c r="A654" s="2" t="inlineStr">
        <is>
          <t>C4703</t>
        </is>
      </c>
      <c r="B654" s="2" t="inlineStr">
        <is>
          <t>Gabrielle Ritter</t>
        </is>
      </c>
      <c r="C654" s="2" t="inlineStr">
        <is>
          <t>mark21@gmail.com</t>
        </is>
      </c>
      <c r="D654" s="2" t="inlineStr">
        <is>
          <t>027-548-1433x310</t>
        </is>
      </c>
      <c r="E654" s="2" t="inlineStr">
        <is>
          <t>USNS Martinez, FPO AP 94700</t>
        </is>
      </c>
      <c r="F654" s="2" t="inlineStr">
        <is>
          <t>Lake Rebecca</t>
        </is>
      </c>
      <c r="G654" s="2" t="inlineStr">
        <is>
          <t>Qatar</t>
        </is>
      </c>
      <c r="H654" s="2" t="inlineStr">
        <is>
          <t>religious</t>
        </is>
      </c>
      <c r="I654" t="inlineStr">
        <is>
          <t>certainly</t>
        </is>
      </c>
    </row>
    <row r="655">
      <c r="A655" s="2" t="inlineStr">
        <is>
          <t>C9718</t>
        </is>
      </c>
      <c r="B655" s="2" t="inlineStr">
        <is>
          <t>William Taylor</t>
        </is>
      </c>
      <c r="C655" s="2" t="inlineStr">
        <is>
          <t>marshallerin@brown.com</t>
        </is>
      </c>
      <c r="D655" s="2" t="inlineStr">
        <is>
          <t>(231)922-3725</t>
        </is>
      </c>
      <c r="E655" s="2" t="inlineStr">
        <is>
          <t>1137 Colon Neck, Ginaport, WV 00735</t>
        </is>
      </c>
      <c r="F655" s="2" t="inlineStr">
        <is>
          <t>North Diana</t>
        </is>
      </c>
      <c r="G655" s="2" t="inlineStr">
        <is>
          <t>Finland</t>
        </is>
      </c>
      <c r="H655" s="2" t="inlineStr">
        <is>
          <t>various</t>
        </is>
      </c>
      <c r="I655" t="inlineStr">
        <is>
          <t>condition</t>
        </is>
      </c>
    </row>
    <row r="656">
      <c r="A656" s="2" t="inlineStr">
        <is>
          <t>C9451</t>
        </is>
      </c>
      <c r="B656" s="2" t="inlineStr">
        <is>
          <t>Nicole Hutchinson</t>
        </is>
      </c>
      <c r="C656" s="2" t="inlineStr">
        <is>
          <t>ledaniel@hernandez.com</t>
        </is>
      </c>
      <c r="D656" s="2" t="inlineStr">
        <is>
          <t>+1-794-672-4805x684</t>
        </is>
      </c>
      <c r="E656" s="2" t="inlineStr">
        <is>
          <t>289 Leonard Ferry, Port Heatherbury, WV 05801</t>
        </is>
      </c>
      <c r="F656" s="2" t="inlineStr">
        <is>
          <t>Gregoryfurt</t>
        </is>
      </c>
      <c r="G656" s="2" t="inlineStr">
        <is>
          <t>Guernsey</t>
        </is>
      </c>
      <c r="H656" s="2" t="inlineStr">
        <is>
          <t>yet</t>
        </is>
      </c>
      <c r="I656" t="inlineStr">
        <is>
          <t>third</t>
        </is>
      </c>
    </row>
    <row r="657">
      <c r="A657" s="2" t="inlineStr">
        <is>
          <t>C9932</t>
        </is>
      </c>
      <c r="B657" s="2" t="inlineStr">
        <is>
          <t>Brandon Phillips</t>
        </is>
      </c>
      <c r="C657" s="2" t="inlineStr">
        <is>
          <t>sandovalbenjamin@gmail.com</t>
        </is>
      </c>
      <c r="D657" s="2" t="inlineStr">
        <is>
          <t>568.181.9730</t>
        </is>
      </c>
      <c r="E657" s="2" t="inlineStr">
        <is>
          <t>96038 Kathleen Loop, Lake Williamville, NC 88678</t>
        </is>
      </c>
      <c r="F657" s="2" t="inlineStr">
        <is>
          <t>Lake Reginald</t>
        </is>
      </c>
      <c r="G657" s="2" t="inlineStr">
        <is>
          <t>El Salvador</t>
        </is>
      </c>
      <c r="H657" s="2" t="inlineStr">
        <is>
          <t>along</t>
        </is>
      </c>
      <c r="I657" t="inlineStr">
        <is>
          <t>partner</t>
        </is>
      </c>
    </row>
    <row r="658">
      <c r="A658" s="2" t="inlineStr">
        <is>
          <t>C1311</t>
        </is>
      </c>
      <c r="B658" s="2" t="inlineStr">
        <is>
          <t>Carl Gonzalez</t>
        </is>
      </c>
      <c r="C658" s="2" t="inlineStr">
        <is>
          <t>andrewrhodes@gmail.com</t>
        </is>
      </c>
      <c r="D658" s="2" t="inlineStr">
        <is>
          <t>948-497-3578</t>
        </is>
      </c>
      <c r="E658" s="2" t="inlineStr">
        <is>
          <t>67670 Lori Inlet, Amandaburgh, HI 68961</t>
        </is>
      </c>
      <c r="F658" s="2" t="inlineStr">
        <is>
          <t>Port Patriciashire</t>
        </is>
      </c>
      <c r="G658" s="2" t="inlineStr">
        <is>
          <t>Belarus</t>
        </is>
      </c>
      <c r="H658" s="2" t="inlineStr">
        <is>
          <t>cultural</t>
        </is>
      </c>
      <c r="I658" t="inlineStr">
        <is>
          <t>will</t>
        </is>
      </c>
    </row>
    <row r="659">
      <c r="A659" s="2" t="inlineStr">
        <is>
          <t>C7290</t>
        </is>
      </c>
      <c r="B659" s="2" t="inlineStr">
        <is>
          <t>Justin Gonzalez</t>
        </is>
      </c>
      <c r="C659" s="2" t="inlineStr">
        <is>
          <t>darrellpena@bailey.com</t>
        </is>
      </c>
      <c r="D659" s="2" t="inlineStr">
        <is>
          <t>444-553-2479x7777</t>
        </is>
      </c>
      <c r="E659" s="2" t="inlineStr">
        <is>
          <t>4404 Janice Corners Suite 138, Sancheztown, MI 18914</t>
        </is>
      </c>
      <c r="F659" s="2" t="inlineStr">
        <is>
          <t>West Cheryl</t>
        </is>
      </c>
      <c r="G659" s="2" t="inlineStr">
        <is>
          <t>Guernsey</t>
        </is>
      </c>
      <c r="H659" s="2" t="inlineStr">
        <is>
          <t>citizen</t>
        </is>
      </c>
      <c r="I659" t="inlineStr">
        <is>
          <t>similar</t>
        </is>
      </c>
    </row>
    <row r="660">
      <c r="A660" s="2" t="inlineStr">
        <is>
          <t>C6594</t>
        </is>
      </c>
      <c r="B660" s="2" t="inlineStr">
        <is>
          <t>Teresa Parrish</t>
        </is>
      </c>
      <c r="C660" s="2" t="inlineStr">
        <is>
          <t>william64@gmail.com</t>
        </is>
      </c>
      <c r="D660" s="2" t="inlineStr">
        <is>
          <t>819-268-4238</t>
        </is>
      </c>
      <c r="E660" s="2" t="inlineStr">
        <is>
          <t>3932 Rodney Summit Suite 645, Donaldland, MN 83269</t>
        </is>
      </c>
      <c r="F660" s="2" t="inlineStr">
        <is>
          <t>North Tiffanyfort</t>
        </is>
      </c>
      <c r="G660" s="2" t="inlineStr">
        <is>
          <t>Australia</t>
        </is>
      </c>
      <c r="H660" s="2" t="inlineStr">
        <is>
          <t>partner</t>
        </is>
      </c>
      <c r="I660" t="inlineStr">
        <is>
          <t>maintain</t>
        </is>
      </c>
    </row>
    <row r="661">
      <c r="A661" s="2" t="inlineStr">
        <is>
          <t>C7496</t>
        </is>
      </c>
      <c r="B661" s="2" t="inlineStr">
        <is>
          <t>Jeremy Oliver</t>
        </is>
      </c>
      <c r="C661" s="2" t="inlineStr">
        <is>
          <t>orodriguez@luna.com</t>
        </is>
      </c>
      <c r="D661" s="2" t="inlineStr">
        <is>
          <t>269-161-1402x79561</t>
        </is>
      </c>
      <c r="E661" s="2" t="inlineStr">
        <is>
          <t>USS Sims, FPO AA 92758</t>
        </is>
      </c>
      <c r="F661" s="2" t="inlineStr">
        <is>
          <t>Port Frankton</t>
        </is>
      </c>
      <c r="G661" s="2" t="inlineStr">
        <is>
          <t>France</t>
        </is>
      </c>
      <c r="H661" s="2" t="inlineStr">
        <is>
          <t>hundred</t>
        </is>
      </c>
      <c r="I661" t="inlineStr">
        <is>
          <t>mother</t>
        </is>
      </c>
    </row>
    <row r="662">
      <c r="A662" s="2" t="inlineStr">
        <is>
          <t>C5340</t>
        </is>
      </c>
      <c r="B662" s="2" t="inlineStr">
        <is>
          <t>Steven Hernandez</t>
        </is>
      </c>
      <c r="C662" s="2" t="inlineStr">
        <is>
          <t>nguyendavid@yahoo.com</t>
        </is>
      </c>
      <c r="D662" s="2" t="inlineStr">
        <is>
          <t>603-794-9192</t>
        </is>
      </c>
      <c r="E662" s="2" t="inlineStr">
        <is>
          <t>117 Cross Mill Apt. 903, Jeffreyville, MI 49155</t>
        </is>
      </c>
      <c r="F662" s="2" t="inlineStr">
        <is>
          <t>West Deborah</t>
        </is>
      </c>
      <c r="G662" s="2" t="inlineStr">
        <is>
          <t>Philippines</t>
        </is>
      </c>
      <c r="H662" s="2" t="inlineStr">
        <is>
          <t>drive</t>
        </is>
      </c>
      <c r="I662" t="inlineStr">
        <is>
          <t>radio</t>
        </is>
      </c>
    </row>
    <row r="663">
      <c r="A663" s="2" t="inlineStr">
        <is>
          <t>C1363</t>
        </is>
      </c>
      <c r="B663" s="2" t="inlineStr">
        <is>
          <t>Shelley Brown</t>
        </is>
      </c>
      <c r="C663" s="2" t="inlineStr">
        <is>
          <t>sampsonjason@hotmail.com</t>
        </is>
      </c>
      <c r="D663" s="2" t="inlineStr">
        <is>
          <t>366.645.1681x46170</t>
        </is>
      </c>
      <c r="E663" s="2" t="inlineStr">
        <is>
          <t>38689 Frederick Neck, New Denise, CA 75794</t>
        </is>
      </c>
      <c r="F663" s="2" t="inlineStr">
        <is>
          <t>Michaelborough</t>
        </is>
      </c>
      <c r="G663" s="2" t="inlineStr">
        <is>
          <t>Poland</t>
        </is>
      </c>
      <c r="H663" s="2" t="inlineStr">
        <is>
          <t>song</t>
        </is>
      </c>
      <c r="I663" t="inlineStr">
        <is>
          <t>tough</t>
        </is>
      </c>
    </row>
    <row r="664">
      <c r="A664" s="2" t="inlineStr">
        <is>
          <t>C5112</t>
        </is>
      </c>
      <c r="B664" s="2" t="inlineStr">
        <is>
          <t>Gabriel Ross</t>
        </is>
      </c>
      <c r="C664" s="2" t="inlineStr">
        <is>
          <t>bcontreras@hotmail.com</t>
        </is>
      </c>
      <c r="D664" s="2" t="inlineStr">
        <is>
          <t>1462343924</t>
        </is>
      </c>
      <c r="E664" s="2" t="inlineStr">
        <is>
          <t>USNV Jackson, FPO AE 95105</t>
        </is>
      </c>
      <c r="F664" s="2" t="inlineStr">
        <is>
          <t>Beckerton</t>
        </is>
      </c>
      <c r="G664" s="2" t="inlineStr">
        <is>
          <t>Mauritius</t>
        </is>
      </c>
      <c r="H664" s="2" t="inlineStr">
        <is>
          <t>because</t>
        </is>
      </c>
      <c r="I664" t="inlineStr">
        <is>
          <t>six</t>
        </is>
      </c>
    </row>
    <row r="665">
      <c r="A665" s="2" t="inlineStr">
        <is>
          <t>C9626</t>
        </is>
      </c>
      <c r="B665" s="2" t="inlineStr">
        <is>
          <t>Lindsey Anderson</t>
        </is>
      </c>
      <c r="C665" s="2" t="inlineStr">
        <is>
          <t>belljason@hotmail.com</t>
        </is>
      </c>
      <c r="D665" s="2" t="inlineStr">
        <is>
          <t>+1-248-664-8975x831</t>
        </is>
      </c>
      <c r="E665" s="2" t="inlineStr">
        <is>
          <t>035 Diaz Island, Perezfort, KY 54493</t>
        </is>
      </c>
      <c r="F665" s="2" t="inlineStr">
        <is>
          <t>Mcdanielfort</t>
        </is>
      </c>
      <c r="G665" s="2" t="inlineStr">
        <is>
          <t>Bangladesh</t>
        </is>
      </c>
      <c r="H665" s="2" t="inlineStr">
        <is>
          <t>suffer</t>
        </is>
      </c>
      <c r="I665" t="inlineStr">
        <is>
          <t>realize</t>
        </is>
      </c>
    </row>
    <row r="666">
      <c r="A666" s="2" t="inlineStr">
        <is>
          <t>C9758</t>
        </is>
      </c>
      <c r="B666" s="2" t="inlineStr">
        <is>
          <t>Christopher Hill</t>
        </is>
      </c>
      <c r="C666" s="2" t="inlineStr">
        <is>
          <t>breannawhite@gmail.com</t>
        </is>
      </c>
      <c r="D666" s="2" t="inlineStr">
        <is>
          <t>923-982-8711x427</t>
        </is>
      </c>
      <c r="E666" s="2" t="inlineStr">
        <is>
          <t>PSC 7505, Box 7268, APO AA 75644</t>
        </is>
      </c>
      <c r="F666" s="2" t="inlineStr">
        <is>
          <t>South Barbaraberg</t>
        </is>
      </c>
      <c r="G666" s="2" t="inlineStr">
        <is>
          <t>Cambodia</t>
        </is>
      </c>
      <c r="H666" s="2" t="inlineStr">
        <is>
          <t>total</t>
        </is>
      </c>
      <c r="I666" t="inlineStr">
        <is>
          <t>my</t>
        </is>
      </c>
    </row>
    <row r="667">
      <c r="A667" s="2" t="inlineStr">
        <is>
          <t>C5791</t>
        </is>
      </c>
      <c r="B667" s="2" t="inlineStr">
        <is>
          <t>Lisa Smith</t>
        </is>
      </c>
      <c r="C667" s="2" t="inlineStr">
        <is>
          <t>kathryn52@dodson.com</t>
        </is>
      </c>
      <c r="D667" s="2" t="inlineStr">
        <is>
          <t>001-709-820-3381x3236</t>
        </is>
      </c>
      <c r="E667" s="2" t="inlineStr">
        <is>
          <t>067 Nathaniel Drive, Lake Jamesburgh, KY 76715</t>
        </is>
      </c>
      <c r="F667" s="2" t="inlineStr">
        <is>
          <t>South Davidberg</t>
        </is>
      </c>
      <c r="G667" s="2" t="inlineStr">
        <is>
          <t>Saudi Arabia</t>
        </is>
      </c>
      <c r="H667" s="2" t="inlineStr">
        <is>
          <t>role</t>
        </is>
      </c>
      <c r="I667" t="inlineStr">
        <is>
          <t>huge</t>
        </is>
      </c>
    </row>
    <row r="668">
      <c r="A668" s="2" t="inlineStr">
        <is>
          <t>C6473</t>
        </is>
      </c>
      <c r="B668" s="2" t="inlineStr">
        <is>
          <t>Michelle Alvarado</t>
        </is>
      </c>
      <c r="C668" s="2" t="inlineStr">
        <is>
          <t>qreed@gmail.com</t>
        </is>
      </c>
      <c r="D668" s="2" t="inlineStr">
        <is>
          <t>013.356.0711x071</t>
        </is>
      </c>
      <c r="E668" s="2" t="inlineStr">
        <is>
          <t>418 Amanda Key Apt. 368, East Troy, ME 35837</t>
        </is>
      </c>
      <c r="F668" s="2" t="inlineStr">
        <is>
          <t>Ortizbury</t>
        </is>
      </c>
      <c r="G668" s="2" t="inlineStr">
        <is>
          <t>Sri Lanka</t>
        </is>
      </c>
      <c r="H668" s="2" t="inlineStr">
        <is>
          <t>institution</t>
        </is>
      </c>
      <c r="I668" t="inlineStr">
        <is>
          <t>message</t>
        </is>
      </c>
    </row>
    <row r="669">
      <c r="A669" s="2" t="inlineStr">
        <is>
          <t>C7313</t>
        </is>
      </c>
      <c r="B669" s="2" t="inlineStr">
        <is>
          <t>George Munoz</t>
        </is>
      </c>
      <c r="C669" s="2" t="inlineStr">
        <is>
          <t>johnward@rivera-cooper.com</t>
        </is>
      </c>
      <c r="D669" s="2" t="inlineStr">
        <is>
          <t>(975)413-6206</t>
        </is>
      </c>
      <c r="E669" s="2" t="inlineStr">
        <is>
          <t>7458 Jaclyn Centers, Garciaport, WV 82612</t>
        </is>
      </c>
      <c r="F669" s="2" t="inlineStr">
        <is>
          <t>North Zachary</t>
        </is>
      </c>
      <c r="G669" s="2" t="inlineStr">
        <is>
          <t>Liberia</t>
        </is>
      </c>
      <c r="H669" s="2" t="inlineStr">
        <is>
          <t>her</t>
        </is>
      </c>
      <c r="I669" t="inlineStr">
        <is>
          <t>although</t>
        </is>
      </c>
    </row>
    <row r="670">
      <c r="A670" s="2" t="inlineStr">
        <is>
          <t>C9114</t>
        </is>
      </c>
      <c r="B670" s="2" t="inlineStr">
        <is>
          <t>Sherri Williams</t>
        </is>
      </c>
      <c r="C670" s="2" t="inlineStr">
        <is>
          <t>patrickhamilton@smith.com</t>
        </is>
      </c>
      <c r="D670" s="2" t="inlineStr">
        <is>
          <t>(572)717-4295x5942</t>
        </is>
      </c>
      <c r="E670" s="2" t="inlineStr">
        <is>
          <t>7892 John Dale, Johnsonview, ME 05402</t>
        </is>
      </c>
      <c r="F670" s="2" t="inlineStr">
        <is>
          <t>Edwardton</t>
        </is>
      </c>
      <c r="G670" s="2" t="inlineStr">
        <is>
          <t>Bangladesh</t>
        </is>
      </c>
      <c r="H670" s="2" t="inlineStr">
        <is>
          <t>myself</t>
        </is>
      </c>
      <c r="I670" t="inlineStr">
        <is>
          <t>way</t>
        </is>
      </c>
    </row>
    <row r="671">
      <c r="A671" s="2" t="inlineStr">
        <is>
          <t>C2985</t>
        </is>
      </c>
      <c r="B671" s="2" t="inlineStr">
        <is>
          <t>Tanya Ellis</t>
        </is>
      </c>
      <c r="C671" s="2" t="inlineStr">
        <is>
          <t>vrandolph@gmail.com</t>
        </is>
      </c>
      <c r="D671" s="2" t="inlineStr">
        <is>
          <t>+1-285-291-7977x871</t>
        </is>
      </c>
      <c r="E671" s="2" t="inlineStr">
        <is>
          <t>708 Anthony Canyon Apt. 563, Gutierrezport, PA 12308</t>
        </is>
      </c>
      <c r="F671" s="2" t="inlineStr">
        <is>
          <t>Port Heather</t>
        </is>
      </c>
      <c r="G671" s="2" t="inlineStr">
        <is>
          <t>Turkmenistan</t>
        </is>
      </c>
      <c r="H671" s="2" t="inlineStr">
        <is>
          <t>speech</t>
        </is>
      </c>
      <c r="I671" t="inlineStr">
        <is>
          <t>sign</t>
        </is>
      </c>
    </row>
    <row r="672">
      <c r="A672" s="2" t="inlineStr">
        <is>
          <t>C7968</t>
        </is>
      </c>
      <c r="B672" s="2" t="inlineStr">
        <is>
          <t>Miguel Brown</t>
        </is>
      </c>
      <c r="C672" s="2" t="inlineStr">
        <is>
          <t>wwhite@schultz.com</t>
        </is>
      </c>
      <c r="D672" s="2" t="inlineStr">
        <is>
          <t>446.694.0431x5940</t>
        </is>
      </c>
      <c r="E672" s="2" t="inlineStr">
        <is>
          <t>229 Gary Orchard Apt. 746, Danielleton, FL 46265</t>
        </is>
      </c>
      <c r="F672" s="2" t="inlineStr">
        <is>
          <t>New Joshuaborough</t>
        </is>
      </c>
      <c r="G672" s="2" t="inlineStr">
        <is>
          <t>British Virgin Islands</t>
        </is>
      </c>
      <c r="H672" s="2" t="inlineStr">
        <is>
          <t>threat</t>
        </is>
      </c>
      <c r="I672" t="inlineStr">
        <is>
          <t>economy</t>
        </is>
      </c>
    </row>
    <row r="673">
      <c r="A673" s="2" t="inlineStr">
        <is>
          <t>C9176</t>
        </is>
      </c>
      <c r="B673" s="2" t="inlineStr">
        <is>
          <t>Sherry Curtis</t>
        </is>
      </c>
      <c r="C673" s="2" t="inlineStr">
        <is>
          <t>wstrickland@gmail.com</t>
        </is>
      </c>
      <c r="D673" s="2" t="inlineStr">
        <is>
          <t>(312)226-0884</t>
        </is>
      </c>
      <c r="E673" s="2" t="inlineStr">
        <is>
          <t>99727 Allen Flats, Haasburgh, NM 09210</t>
        </is>
      </c>
      <c r="F673" s="2" t="inlineStr">
        <is>
          <t>New Chadland</t>
        </is>
      </c>
      <c r="G673" s="2" t="inlineStr">
        <is>
          <t>Madagascar</t>
        </is>
      </c>
      <c r="H673" s="2" t="inlineStr">
        <is>
          <t>he</t>
        </is>
      </c>
      <c r="I673" t="inlineStr">
        <is>
          <t>control</t>
        </is>
      </c>
    </row>
    <row r="674">
      <c r="A674" s="2" t="inlineStr">
        <is>
          <t>C5757</t>
        </is>
      </c>
      <c r="B674" s="2" t="inlineStr">
        <is>
          <t>Denise Erickson</t>
        </is>
      </c>
      <c r="C674" s="2" t="inlineStr">
        <is>
          <t>kspence@hotmail.com</t>
        </is>
      </c>
      <c r="D674" s="2" t="inlineStr">
        <is>
          <t>+1-046-340-7255x072</t>
        </is>
      </c>
      <c r="E674" s="2" t="inlineStr">
        <is>
          <t>6926 Williams Manors Apt. 045, East Heatherchester, NM 44135</t>
        </is>
      </c>
      <c r="F674" s="2" t="inlineStr">
        <is>
          <t>Daisymouth</t>
        </is>
      </c>
      <c r="G674" s="2" t="inlineStr">
        <is>
          <t>Romania</t>
        </is>
      </c>
      <c r="H674" s="2" t="inlineStr">
        <is>
          <t>decision</t>
        </is>
      </c>
      <c r="I674" t="inlineStr">
        <is>
          <t>ever</t>
        </is>
      </c>
    </row>
    <row r="675">
      <c r="A675" s="2" t="inlineStr">
        <is>
          <t>C5470</t>
        </is>
      </c>
      <c r="B675" s="2" t="inlineStr">
        <is>
          <t>William Mccoy</t>
        </is>
      </c>
      <c r="C675" s="2" t="inlineStr">
        <is>
          <t>vdelgado@foley.com</t>
        </is>
      </c>
      <c r="D675" s="2" t="inlineStr">
        <is>
          <t>001-759-396-4005</t>
        </is>
      </c>
      <c r="E675" s="2" t="inlineStr">
        <is>
          <t>396 Michael Fields, Vanessabury, CA 63077</t>
        </is>
      </c>
      <c r="F675" s="2" t="inlineStr">
        <is>
          <t>East Shaun</t>
        </is>
      </c>
      <c r="G675" s="2" t="inlineStr">
        <is>
          <t>Micronesia</t>
        </is>
      </c>
      <c r="H675" s="2" t="inlineStr">
        <is>
          <t>church</t>
        </is>
      </c>
      <c r="I675" t="inlineStr">
        <is>
          <t>smile</t>
        </is>
      </c>
    </row>
    <row r="676">
      <c r="A676" s="2" t="inlineStr">
        <is>
          <t>C5714</t>
        </is>
      </c>
      <c r="B676" s="2" t="inlineStr">
        <is>
          <t>Debra Figueroa</t>
        </is>
      </c>
      <c r="C676" s="2" t="inlineStr">
        <is>
          <t>christine05@hotmail.com</t>
        </is>
      </c>
      <c r="D676" s="2" t="inlineStr">
        <is>
          <t>(301)491-4488x394</t>
        </is>
      </c>
      <c r="E676" s="2" t="inlineStr">
        <is>
          <t>Unit 4977 Box 0670, DPO AE 75709</t>
        </is>
      </c>
      <c r="F676" s="2" t="inlineStr">
        <is>
          <t>Jasonfort</t>
        </is>
      </c>
      <c r="G676" s="2" t="inlineStr">
        <is>
          <t>Saudi Arabia</t>
        </is>
      </c>
      <c r="H676" s="2" t="inlineStr">
        <is>
          <t>different</t>
        </is>
      </c>
      <c r="I676" t="inlineStr">
        <is>
          <t>small</t>
        </is>
      </c>
    </row>
    <row r="677">
      <c r="A677" s="2" t="inlineStr">
        <is>
          <t>C1558</t>
        </is>
      </c>
      <c r="B677" s="2" t="inlineStr">
        <is>
          <t>Grace Underwood</t>
        </is>
      </c>
      <c r="C677" s="2" t="inlineStr">
        <is>
          <t>murphyalex@flores.com</t>
        </is>
      </c>
      <c r="D677" s="2" t="inlineStr">
        <is>
          <t>019.918.8998</t>
        </is>
      </c>
      <c r="E677" s="2" t="inlineStr">
        <is>
          <t>373 May Circles Suite 274, South Samantha, AZ 46669</t>
        </is>
      </c>
      <c r="F677" s="2" t="inlineStr">
        <is>
          <t>New Derek</t>
        </is>
      </c>
      <c r="G677" s="2" t="inlineStr">
        <is>
          <t>Antigua and Barbuda</t>
        </is>
      </c>
      <c r="H677" s="2" t="inlineStr">
        <is>
          <t>would</t>
        </is>
      </c>
      <c r="I677" t="inlineStr">
        <is>
          <t>seven</t>
        </is>
      </c>
    </row>
    <row r="678">
      <c r="A678" s="2" t="inlineStr">
        <is>
          <t>C9080</t>
        </is>
      </c>
      <c r="B678" s="2" t="inlineStr">
        <is>
          <t>Peter Taylor</t>
        </is>
      </c>
      <c r="C678" s="2" t="inlineStr">
        <is>
          <t>fieldskathryn@ward.net</t>
        </is>
      </c>
      <c r="D678" s="2" t="inlineStr">
        <is>
          <t>(416)988-7703</t>
        </is>
      </c>
      <c r="E678" s="2" t="inlineStr">
        <is>
          <t>367 Teresa Shores Apt. 580, East Christopher, ME 80962</t>
        </is>
      </c>
      <c r="F678" s="2" t="inlineStr">
        <is>
          <t>Christensenview</t>
        </is>
      </c>
      <c r="G678" s="2" t="inlineStr">
        <is>
          <t>Japan</t>
        </is>
      </c>
      <c r="H678" s="2" t="inlineStr">
        <is>
          <t>onto</t>
        </is>
      </c>
      <c r="I678" t="inlineStr">
        <is>
          <t>place</t>
        </is>
      </c>
    </row>
    <row r="679">
      <c r="A679" s="2" t="inlineStr">
        <is>
          <t>C8555</t>
        </is>
      </c>
      <c r="B679" s="2" t="inlineStr">
        <is>
          <t>Ryan Castillo</t>
        </is>
      </c>
      <c r="C679" s="2" t="inlineStr">
        <is>
          <t>fieldskimberly@gmail.com</t>
        </is>
      </c>
      <c r="D679" s="2" t="inlineStr">
        <is>
          <t>455.122.6076</t>
        </is>
      </c>
      <c r="E679" s="2" t="inlineStr">
        <is>
          <t>047 Aaron Falls, New Phillipfurt, ID 50964</t>
        </is>
      </c>
      <c r="F679" s="2" t="inlineStr">
        <is>
          <t>Aaronburgh</t>
        </is>
      </c>
      <c r="G679" s="2" t="inlineStr">
        <is>
          <t>Cote d'Ivoire</t>
        </is>
      </c>
      <c r="H679" s="2" t="inlineStr">
        <is>
          <t>risk</t>
        </is>
      </c>
      <c r="I679" t="inlineStr">
        <is>
          <t>seven</t>
        </is>
      </c>
    </row>
    <row r="680">
      <c r="A680" s="2" t="inlineStr">
        <is>
          <t>C4032</t>
        </is>
      </c>
      <c r="B680" s="2" t="inlineStr">
        <is>
          <t>Brian Castaneda</t>
        </is>
      </c>
      <c r="C680" s="2" t="inlineStr">
        <is>
          <t>edwinbass@yahoo.com</t>
        </is>
      </c>
      <c r="D680" s="2" t="inlineStr">
        <is>
          <t>(904)331-7835x04588</t>
        </is>
      </c>
      <c r="E680" s="2" t="inlineStr">
        <is>
          <t>291 Rebecca Union Apt. 110, East Alex, AL 92678</t>
        </is>
      </c>
      <c r="F680" s="2" t="inlineStr">
        <is>
          <t>North Justinland</t>
        </is>
      </c>
      <c r="G680" s="2" t="inlineStr">
        <is>
          <t>El Salvador</t>
        </is>
      </c>
      <c r="H680" s="2" t="inlineStr">
        <is>
          <t>improve</t>
        </is>
      </c>
      <c r="I680" t="inlineStr">
        <is>
          <t>especially</t>
        </is>
      </c>
    </row>
    <row r="681">
      <c r="A681" s="2" t="inlineStr">
        <is>
          <t>C9961</t>
        </is>
      </c>
      <c r="B681" s="2" t="inlineStr">
        <is>
          <t>Emily Brown</t>
        </is>
      </c>
      <c r="C681" s="2" t="inlineStr">
        <is>
          <t>stevensmichael@george.com</t>
        </is>
      </c>
      <c r="D681" s="2" t="inlineStr">
        <is>
          <t>710-504-4608x3911</t>
        </is>
      </c>
      <c r="E681" s="2" t="inlineStr">
        <is>
          <t>0373 Jennifer Locks, Arroyoport, MO 96695</t>
        </is>
      </c>
      <c r="F681" s="2" t="inlineStr">
        <is>
          <t>Pittston</t>
        </is>
      </c>
      <c r="G681" s="2" t="inlineStr">
        <is>
          <t>Grenada</t>
        </is>
      </c>
      <c r="H681" s="2" t="inlineStr">
        <is>
          <t>nice</t>
        </is>
      </c>
      <c r="I681" t="inlineStr">
        <is>
          <t>Mrs</t>
        </is>
      </c>
    </row>
    <row r="682">
      <c r="A682" s="2" t="inlineStr">
        <is>
          <t>C4105</t>
        </is>
      </c>
      <c r="B682" s="2" t="inlineStr">
        <is>
          <t>Danny Brennan</t>
        </is>
      </c>
      <c r="C682" s="2" t="inlineStr">
        <is>
          <t>jeromepadilla@hotmail.com</t>
        </is>
      </c>
      <c r="D682" s="2" t="inlineStr">
        <is>
          <t>2799825835</t>
        </is>
      </c>
      <c r="E682" s="2" t="inlineStr">
        <is>
          <t>86495 Alisha Plaza Suite 804, East Ericville, FL 10328</t>
        </is>
      </c>
      <c r="F682" s="2" t="inlineStr">
        <is>
          <t>Martinezfort</t>
        </is>
      </c>
      <c r="G682" s="2" t="inlineStr">
        <is>
          <t>Philippines</t>
        </is>
      </c>
      <c r="H682" s="2" t="inlineStr">
        <is>
          <t>street</t>
        </is>
      </c>
      <c r="I682" t="inlineStr">
        <is>
          <t>necessary</t>
        </is>
      </c>
    </row>
    <row r="683">
      <c r="A683" s="2" t="inlineStr">
        <is>
          <t>C7532</t>
        </is>
      </c>
      <c r="B683" s="2" t="inlineStr">
        <is>
          <t>Rebecca Cardenas</t>
        </is>
      </c>
      <c r="C683" s="2" t="inlineStr">
        <is>
          <t>petervelasquez@hotmail.com</t>
        </is>
      </c>
      <c r="D683" s="2" t="inlineStr">
        <is>
          <t>172.640.8309x218</t>
        </is>
      </c>
      <c r="E683" s="2" t="inlineStr">
        <is>
          <t>PSC 1993, Box 5383, APO AE 13297</t>
        </is>
      </c>
      <c r="F683" s="2" t="inlineStr">
        <is>
          <t>South Barryborough</t>
        </is>
      </c>
      <c r="G683" s="2" t="inlineStr">
        <is>
          <t>Morocco</t>
        </is>
      </c>
      <c r="H683" s="2" t="inlineStr">
        <is>
          <t>first</t>
        </is>
      </c>
      <c r="I683" t="inlineStr">
        <is>
          <t>those</t>
        </is>
      </c>
    </row>
    <row r="684">
      <c r="A684" s="2" t="inlineStr">
        <is>
          <t>C6255</t>
        </is>
      </c>
      <c r="B684" s="2" t="inlineStr">
        <is>
          <t>Julie Wade</t>
        </is>
      </c>
      <c r="C684" s="2" t="inlineStr">
        <is>
          <t>loriolson@yahoo.com</t>
        </is>
      </c>
      <c r="D684" s="2" t="inlineStr">
        <is>
          <t>5003218549</t>
        </is>
      </c>
      <c r="E684" s="2" t="inlineStr">
        <is>
          <t>2985 Chang Plains Apt. 184, South Danielton, NV 13893</t>
        </is>
      </c>
      <c r="F684" s="2" t="inlineStr">
        <is>
          <t>East Katherineview</t>
        </is>
      </c>
      <c r="G684" s="2" t="inlineStr">
        <is>
          <t>Cyprus</t>
        </is>
      </c>
      <c r="H684" s="2" t="inlineStr">
        <is>
          <t>development</t>
        </is>
      </c>
      <c r="I684" t="inlineStr">
        <is>
          <t>despite</t>
        </is>
      </c>
    </row>
    <row r="685">
      <c r="A685" s="2" t="inlineStr">
        <is>
          <t>C9800</t>
        </is>
      </c>
      <c r="B685" s="2" t="inlineStr">
        <is>
          <t>Alexander Garcia</t>
        </is>
      </c>
      <c r="C685" s="2" t="inlineStr">
        <is>
          <t>williamsyvonne@harris.com</t>
        </is>
      </c>
      <c r="D685" s="2" t="inlineStr">
        <is>
          <t>811-589-0763x2153</t>
        </is>
      </c>
      <c r="E685" s="2" t="inlineStr">
        <is>
          <t>00973 Palmer Street Suite 955, Port Lindamouth, TX 83649</t>
        </is>
      </c>
      <c r="F685" s="2" t="inlineStr">
        <is>
          <t>North Dave</t>
        </is>
      </c>
      <c r="G685" s="2" t="inlineStr">
        <is>
          <t>Nauru</t>
        </is>
      </c>
      <c r="H685" s="2" t="inlineStr">
        <is>
          <t>guy</t>
        </is>
      </c>
      <c r="I685" t="inlineStr">
        <is>
          <t>increase</t>
        </is>
      </c>
    </row>
    <row r="686">
      <c r="A686" s="2" t="inlineStr">
        <is>
          <t>C8535</t>
        </is>
      </c>
      <c r="B686" s="2" t="inlineStr">
        <is>
          <t>Justin Miller</t>
        </is>
      </c>
      <c r="C686" s="2" t="inlineStr">
        <is>
          <t>davidstephens@white-gibson.com</t>
        </is>
      </c>
      <c r="D686" s="2" t="inlineStr">
        <is>
          <t>+1-840-539-9777x109</t>
        </is>
      </c>
      <c r="E686" s="2" t="inlineStr">
        <is>
          <t>374 Roberts Camp Suite 339, New Wesleyshire, WY 55943</t>
        </is>
      </c>
      <c r="F686" s="2" t="inlineStr">
        <is>
          <t>Davisville</t>
        </is>
      </c>
      <c r="G686" s="2" t="inlineStr">
        <is>
          <t>Mayotte</t>
        </is>
      </c>
      <c r="H686" s="2" t="inlineStr">
        <is>
          <t>air</t>
        </is>
      </c>
      <c r="I686" t="inlineStr">
        <is>
          <t>who</t>
        </is>
      </c>
    </row>
    <row r="687">
      <c r="A687" s="2" t="inlineStr">
        <is>
          <t>C8345</t>
        </is>
      </c>
      <c r="B687" s="2" t="inlineStr">
        <is>
          <t>Mrs. Lauren Smith</t>
        </is>
      </c>
      <c r="C687" s="2" t="inlineStr">
        <is>
          <t>dwilliamson@gmail.com</t>
        </is>
      </c>
      <c r="D687" s="2" t="inlineStr">
        <is>
          <t>+1-722-480-6445x664</t>
        </is>
      </c>
      <c r="E687" s="2" t="inlineStr">
        <is>
          <t>5581 Payne Pike Apt. 307, North Cherylton, NC 29699</t>
        </is>
      </c>
      <c r="F687" s="2" t="inlineStr">
        <is>
          <t>Sarahburgh</t>
        </is>
      </c>
      <c r="G687" s="2" t="inlineStr">
        <is>
          <t>Bermuda</t>
        </is>
      </c>
      <c r="H687" s="2" t="inlineStr">
        <is>
          <t>much</t>
        </is>
      </c>
      <c r="I687" t="inlineStr">
        <is>
          <t>group</t>
        </is>
      </c>
    </row>
    <row r="688">
      <c r="A688" s="2" t="inlineStr">
        <is>
          <t>C7967</t>
        </is>
      </c>
      <c r="B688" s="2" t="inlineStr">
        <is>
          <t>Julie Thompson</t>
        </is>
      </c>
      <c r="C688" s="2" t="inlineStr">
        <is>
          <t>danielcooley@chavez.com</t>
        </is>
      </c>
      <c r="D688" s="2" t="inlineStr">
        <is>
          <t>562.214.0061x923</t>
        </is>
      </c>
      <c r="E688" s="2" t="inlineStr">
        <is>
          <t>25308 Lawrence Glen Apt. 990, Spearsshire, RI 37829</t>
        </is>
      </c>
      <c r="F688" s="2" t="inlineStr">
        <is>
          <t>Lake Mario</t>
        </is>
      </c>
      <c r="G688" s="2" t="inlineStr">
        <is>
          <t>Pakistan</t>
        </is>
      </c>
      <c r="H688" s="2" t="inlineStr">
        <is>
          <t>themselves</t>
        </is>
      </c>
      <c r="I688" t="inlineStr">
        <is>
          <t>party</t>
        </is>
      </c>
    </row>
    <row r="689">
      <c r="A689" s="2" t="inlineStr">
        <is>
          <t>C7703</t>
        </is>
      </c>
      <c r="B689" s="2" t="inlineStr">
        <is>
          <t>Brian Griffith</t>
        </is>
      </c>
      <c r="C689" s="2" t="inlineStr">
        <is>
          <t>stephanieriley@gmail.com</t>
        </is>
      </c>
      <c r="D689" s="2" t="inlineStr">
        <is>
          <t>(635)768-7647x86170</t>
        </is>
      </c>
      <c r="E689" s="2" t="inlineStr">
        <is>
          <t>3316 Vaughan Pike, East Marieshire, OR 86738</t>
        </is>
      </c>
      <c r="F689" s="2" t="inlineStr">
        <is>
          <t>Summerston</t>
        </is>
      </c>
      <c r="G689" s="2" t="inlineStr">
        <is>
          <t>France</t>
        </is>
      </c>
      <c r="H689" s="2" t="inlineStr">
        <is>
          <t>many</t>
        </is>
      </c>
      <c r="I689" t="inlineStr">
        <is>
          <t>security</t>
        </is>
      </c>
    </row>
    <row r="690">
      <c r="A690" s="2" t="inlineStr">
        <is>
          <t>C2118</t>
        </is>
      </c>
      <c r="B690" s="2" t="inlineStr">
        <is>
          <t>Susan Contreras</t>
        </is>
      </c>
      <c r="C690" s="2" t="inlineStr">
        <is>
          <t>wilkersonphilip@nelson.com</t>
        </is>
      </c>
      <c r="D690" s="2" t="inlineStr">
        <is>
          <t>+1-659-323-2894</t>
        </is>
      </c>
      <c r="E690" s="2" t="inlineStr">
        <is>
          <t>7644 Mia Ridge Apt. 711, Brownburgh, AL 57104</t>
        </is>
      </c>
      <c r="F690" s="2" t="inlineStr">
        <is>
          <t>New Christinaberg</t>
        </is>
      </c>
      <c r="G690" s="2" t="inlineStr">
        <is>
          <t>Belize</t>
        </is>
      </c>
      <c r="H690" s="2" t="inlineStr">
        <is>
          <t>parent</t>
        </is>
      </c>
      <c r="I690" t="inlineStr">
        <is>
          <t>direction</t>
        </is>
      </c>
    </row>
    <row r="691">
      <c r="A691" s="2" t="inlineStr">
        <is>
          <t>C1151</t>
        </is>
      </c>
      <c r="B691" s="2" t="inlineStr">
        <is>
          <t>Kaitlyn House</t>
        </is>
      </c>
      <c r="C691" s="2" t="inlineStr">
        <is>
          <t>iwilliams@hotmail.com</t>
        </is>
      </c>
      <c r="D691" s="2" t="inlineStr">
        <is>
          <t>869-880-1586x6556</t>
        </is>
      </c>
      <c r="E691" s="2" t="inlineStr">
        <is>
          <t>4942 Jenkins Forest, Lake Michael, VA 93954</t>
        </is>
      </c>
      <c r="F691" s="2" t="inlineStr">
        <is>
          <t>Smithbury</t>
        </is>
      </c>
      <c r="G691" s="2" t="inlineStr">
        <is>
          <t>Northern Mariana Islands</t>
        </is>
      </c>
      <c r="H691" s="2" t="inlineStr">
        <is>
          <t>law</t>
        </is>
      </c>
      <c r="I691" t="inlineStr">
        <is>
          <t>reveal</t>
        </is>
      </c>
    </row>
    <row r="692">
      <c r="A692" s="2" t="inlineStr">
        <is>
          <t>C2063</t>
        </is>
      </c>
      <c r="B692" s="2" t="inlineStr">
        <is>
          <t>Veronica Thomas</t>
        </is>
      </c>
      <c r="C692" s="2" t="inlineStr">
        <is>
          <t>melinda05@yahoo.com</t>
        </is>
      </c>
      <c r="D692" s="2" t="inlineStr">
        <is>
          <t>5910782637</t>
        </is>
      </c>
      <c r="E692" s="2" t="inlineStr">
        <is>
          <t>USNS Harrison, FPO AA 41792</t>
        </is>
      </c>
      <c r="F692" s="2" t="inlineStr">
        <is>
          <t>Delgadofurt</t>
        </is>
      </c>
      <c r="G692" s="2" t="inlineStr">
        <is>
          <t>Australia</t>
        </is>
      </c>
      <c r="H692" s="2" t="inlineStr">
        <is>
          <t>win</t>
        </is>
      </c>
      <c r="I692" t="inlineStr">
        <is>
          <t>exist</t>
        </is>
      </c>
    </row>
    <row r="693">
      <c r="A693" s="2" t="inlineStr">
        <is>
          <t>C4533</t>
        </is>
      </c>
      <c r="B693" s="2" t="inlineStr">
        <is>
          <t>Paul Nelson</t>
        </is>
      </c>
      <c r="C693" s="2" t="inlineStr">
        <is>
          <t>bhays@reyes.com</t>
        </is>
      </c>
      <c r="D693" s="2" t="inlineStr">
        <is>
          <t>001-093-395-5306</t>
        </is>
      </c>
      <c r="E693" s="2" t="inlineStr">
        <is>
          <t>USNS Baker, FPO AP 44120</t>
        </is>
      </c>
      <c r="F693" s="2" t="inlineStr">
        <is>
          <t>North Donnatown</t>
        </is>
      </c>
      <c r="G693" s="2" t="inlineStr">
        <is>
          <t>Moldova</t>
        </is>
      </c>
      <c r="H693" s="2" t="inlineStr">
        <is>
          <t>order</t>
        </is>
      </c>
      <c r="I693" t="inlineStr">
        <is>
          <t>one</t>
        </is>
      </c>
    </row>
    <row r="694">
      <c r="A694" s="2" t="inlineStr">
        <is>
          <t>C4716</t>
        </is>
      </c>
      <c r="B694" s="2" t="inlineStr">
        <is>
          <t>Jesse Becker</t>
        </is>
      </c>
      <c r="C694" s="2" t="inlineStr">
        <is>
          <t>myersbethany@alexander-gardner.com</t>
        </is>
      </c>
      <c r="D694" s="2" t="inlineStr">
        <is>
          <t>7681793673</t>
        </is>
      </c>
      <c r="E694" s="2" t="inlineStr">
        <is>
          <t>565 Ramos Ridge, Port Heathershire, WA 26848</t>
        </is>
      </c>
      <c r="F694" s="2" t="inlineStr">
        <is>
          <t>Lake Scottport</t>
        </is>
      </c>
      <c r="G694" s="2" t="inlineStr">
        <is>
          <t>Djibouti</t>
        </is>
      </c>
      <c r="H694" s="2" t="inlineStr">
        <is>
          <t>family</t>
        </is>
      </c>
      <c r="I694" t="inlineStr">
        <is>
          <t>lose</t>
        </is>
      </c>
    </row>
    <row r="695">
      <c r="A695" s="2" t="inlineStr">
        <is>
          <t>C3773</t>
        </is>
      </c>
      <c r="B695" s="2" t="inlineStr">
        <is>
          <t>Sarah Jones</t>
        </is>
      </c>
      <c r="C695" s="2" t="inlineStr">
        <is>
          <t>jaredwilson@mccormick.com</t>
        </is>
      </c>
      <c r="D695" s="2" t="inlineStr">
        <is>
          <t>926-793-3412</t>
        </is>
      </c>
      <c r="E695" s="2" t="inlineStr">
        <is>
          <t>963 Lucero Fields, Joneston, OK 53225</t>
        </is>
      </c>
      <c r="F695" s="2" t="inlineStr">
        <is>
          <t>Zimmermanmouth</t>
        </is>
      </c>
      <c r="G695" s="2" t="inlineStr">
        <is>
          <t>Mozambique</t>
        </is>
      </c>
      <c r="H695" s="2" t="inlineStr">
        <is>
          <t>quality</t>
        </is>
      </c>
      <c r="I695" t="inlineStr">
        <is>
          <t>chair</t>
        </is>
      </c>
    </row>
    <row r="696">
      <c r="A696" s="2" t="inlineStr">
        <is>
          <t>C4589</t>
        </is>
      </c>
      <c r="B696" s="2" t="inlineStr">
        <is>
          <t>Jordan Ramirez</t>
        </is>
      </c>
      <c r="C696" s="2" t="inlineStr">
        <is>
          <t>powellalexander@cordova-lee.com</t>
        </is>
      </c>
      <c r="D696" s="2" t="inlineStr">
        <is>
          <t>(344)356-1119x70534</t>
        </is>
      </c>
      <c r="E696" s="2" t="inlineStr">
        <is>
          <t>7152 Jones Mission Apt. 248, Brownfort, AK 33102</t>
        </is>
      </c>
      <c r="F696" s="2" t="inlineStr">
        <is>
          <t>Tiffanychester</t>
        </is>
      </c>
      <c r="G696" s="2" t="inlineStr">
        <is>
          <t>Sri Lanka</t>
        </is>
      </c>
      <c r="H696" s="2" t="inlineStr">
        <is>
          <t>newspaper</t>
        </is>
      </c>
      <c r="I696" t="inlineStr">
        <is>
          <t>town</t>
        </is>
      </c>
    </row>
    <row r="697">
      <c r="A697" s="2" t="inlineStr">
        <is>
          <t>C4075</t>
        </is>
      </c>
      <c r="B697" s="2" t="inlineStr">
        <is>
          <t>Katherine Oconnor</t>
        </is>
      </c>
      <c r="C697" s="2" t="inlineStr">
        <is>
          <t>leesheila@hotmail.com</t>
        </is>
      </c>
      <c r="D697" s="2" t="inlineStr">
        <is>
          <t>+1-163-126-3014</t>
        </is>
      </c>
      <c r="E697" s="2" t="inlineStr">
        <is>
          <t>Unit 4204 Box 4676, DPO AP 94686</t>
        </is>
      </c>
      <c r="F697" s="2" t="inlineStr">
        <is>
          <t>Johnhaven</t>
        </is>
      </c>
      <c r="G697" s="2" t="inlineStr">
        <is>
          <t>Malaysia</t>
        </is>
      </c>
      <c r="H697" s="2" t="inlineStr">
        <is>
          <t>while</t>
        </is>
      </c>
      <c r="I697" t="inlineStr">
        <is>
          <t>benefit</t>
        </is>
      </c>
    </row>
    <row r="698">
      <c r="A698" s="2" t="inlineStr">
        <is>
          <t>C1921</t>
        </is>
      </c>
      <c r="B698" s="2" t="inlineStr">
        <is>
          <t>Kim Sanchez</t>
        </is>
      </c>
      <c r="C698" s="2" t="inlineStr">
        <is>
          <t>gomezalan@diaz-sharp.com</t>
        </is>
      </c>
      <c r="D698" s="2" t="inlineStr">
        <is>
          <t>001-146-706-2207x12613</t>
        </is>
      </c>
      <c r="E698" s="2" t="inlineStr">
        <is>
          <t>52283 Marquez Heights, Foleybury, CO 65351</t>
        </is>
      </c>
      <c r="F698" s="2" t="inlineStr">
        <is>
          <t>Williamsview</t>
        </is>
      </c>
      <c r="G698" s="2" t="inlineStr">
        <is>
          <t>Falkland Islands (Malvinas)</t>
        </is>
      </c>
      <c r="H698" s="2" t="inlineStr">
        <is>
          <t>interview</t>
        </is>
      </c>
      <c r="I698" t="inlineStr">
        <is>
          <t>along</t>
        </is>
      </c>
    </row>
    <row r="699">
      <c r="A699" s="2" t="inlineStr">
        <is>
          <t>C1776</t>
        </is>
      </c>
      <c r="B699" s="2" t="inlineStr">
        <is>
          <t>Luis Swanson</t>
        </is>
      </c>
      <c r="C699" s="2" t="inlineStr">
        <is>
          <t>ramoseric@owens.com</t>
        </is>
      </c>
      <c r="D699" s="2" t="inlineStr">
        <is>
          <t>239-403-9813</t>
        </is>
      </c>
      <c r="E699" s="2" t="inlineStr">
        <is>
          <t>2046 Connor Branch Suite 092, Patrickburgh, DC 57358</t>
        </is>
      </c>
      <c r="F699" s="2" t="inlineStr">
        <is>
          <t>Ericatown</t>
        </is>
      </c>
      <c r="G699" s="2" t="inlineStr">
        <is>
          <t>Bulgaria</t>
        </is>
      </c>
      <c r="H699" s="2" t="inlineStr">
        <is>
          <t>often</t>
        </is>
      </c>
      <c r="I699" t="inlineStr">
        <is>
          <t>food</t>
        </is>
      </c>
    </row>
    <row r="700">
      <c r="A700" s="2" t="inlineStr">
        <is>
          <t>C4010</t>
        </is>
      </c>
      <c r="B700" s="2" t="inlineStr">
        <is>
          <t>Daisy Rodriguez</t>
        </is>
      </c>
      <c r="C700" s="2" t="inlineStr">
        <is>
          <t>blackwelljeffrey@cole.info</t>
        </is>
      </c>
      <c r="D700" s="2" t="inlineStr">
        <is>
          <t>066.840.9075x4079</t>
        </is>
      </c>
      <c r="E700" s="2" t="inlineStr">
        <is>
          <t>603 Jones Estate, West Rachel, OR 70323</t>
        </is>
      </c>
      <c r="F700" s="2" t="inlineStr">
        <is>
          <t>West Laura</t>
        </is>
      </c>
      <c r="G700" s="2" t="inlineStr">
        <is>
          <t>Uzbekistan</t>
        </is>
      </c>
      <c r="H700" s="2" t="inlineStr">
        <is>
          <t>price</t>
        </is>
      </c>
      <c r="I700" t="inlineStr">
        <is>
          <t>enjoy</t>
        </is>
      </c>
    </row>
    <row r="701">
      <c r="A701" s="2" t="inlineStr">
        <is>
          <t>C3473</t>
        </is>
      </c>
      <c r="B701" s="2" t="inlineStr">
        <is>
          <t>John Byrd</t>
        </is>
      </c>
      <c r="C701" s="2" t="inlineStr">
        <is>
          <t>ryan70@yahoo.com</t>
        </is>
      </c>
      <c r="D701" s="2" t="inlineStr">
        <is>
          <t>8841283349</t>
        </is>
      </c>
      <c r="E701" s="2" t="inlineStr">
        <is>
          <t>319 Buchanan Rapids Suite 853, Reedton, UT 12649</t>
        </is>
      </c>
      <c r="F701" s="2" t="inlineStr">
        <is>
          <t>Lake Carolyn</t>
        </is>
      </c>
      <c r="G701" s="2" t="inlineStr">
        <is>
          <t>Pitcairn Islands</t>
        </is>
      </c>
      <c r="H701" s="2" t="inlineStr">
        <is>
          <t>son</t>
        </is>
      </c>
      <c r="I701" t="inlineStr">
        <is>
          <t>fight</t>
        </is>
      </c>
    </row>
    <row r="702">
      <c r="A702" s="2" t="inlineStr">
        <is>
          <t>C1508</t>
        </is>
      </c>
      <c r="B702" s="2" t="inlineStr">
        <is>
          <t>Jasmin Lawson</t>
        </is>
      </c>
      <c r="C702" s="2" t="inlineStr">
        <is>
          <t>frankcollins@reyes.com</t>
        </is>
      </c>
      <c r="D702" s="2" t="inlineStr">
        <is>
          <t>+1-785-628-5497x60097</t>
        </is>
      </c>
      <c r="E702" s="2" t="inlineStr">
        <is>
          <t>5369 Kimberly Mission, Karenstad, NE 49340</t>
        </is>
      </c>
      <c r="F702" s="2" t="inlineStr">
        <is>
          <t>North Arielport</t>
        </is>
      </c>
      <c r="G702" s="2" t="inlineStr">
        <is>
          <t>Indonesia</t>
        </is>
      </c>
      <c r="H702" s="2" t="inlineStr">
        <is>
          <t>usually</t>
        </is>
      </c>
      <c r="I702" t="inlineStr">
        <is>
          <t>stand</t>
        </is>
      </c>
    </row>
    <row r="703">
      <c r="A703" s="2" t="inlineStr">
        <is>
          <t>C3312</t>
        </is>
      </c>
      <c r="B703" s="2" t="inlineStr">
        <is>
          <t>Katie Hill</t>
        </is>
      </c>
      <c r="C703" s="2" t="inlineStr">
        <is>
          <t>katietaylor@yahoo.com</t>
        </is>
      </c>
      <c r="D703" s="2" t="inlineStr">
        <is>
          <t>(478)321-2311x3137</t>
        </is>
      </c>
      <c r="E703" s="2" t="inlineStr">
        <is>
          <t>20501 Andrew Forge, Knightland, TN 59005</t>
        </is>
      </c>
      <c r="F703" s="2" t="inlineStr">
        <is>
          <t>East Diana</t>
        </is>
      </c>
      <c r="G703" s="2" t="inlineStr">
        <is>
          <t>Sudan</t>
        </is>
      </c>
      <c r="H703" s="2" t="inlineStr">
        <is>
          <t>feeling</t>
        </is>
      </c>
      <c r="I703" t="inlineStr">
        <is>
          <t>along</t>
        </is>
      </c>
    </row>
    <row r="704">
      <c r="A704" s="2" t="inlineStr">
        <is>
          <t>C2406</t>
        </is>
      </c>
      <c r="B704" s="2" t="inlineStr">
        <is>
          <t>Rachel Roman</t>
        </is>
      </c>
      <c r="C704" s="2" t="inlineStr">
        <is>
          <t>urodriguez@french.com</t>
        </is>
      </c>
      <c r="D704" s="2" t="inlineStr">
        <is>
          <t>(187)503-7610</t>
        </is>
      </c>
      <c r="E704" s="2" t="inlineStr">
        <is>
          <t>65542 Coleman Forest Suite 377, Lake Jason, DC 06323</t>
        </is>
      </c>
      <c r="F704" s="2" t="inlineStr">
        <is>
          <t>Roweside</t>
        </is>
      </c>
      <c r="G704" s="2" t="inlineStr">
        <is>
          <t>Azerbaijan</t>
        </is>
      </c>
      <c r="H704" s="2" t="inlineStr">
        <is>
          <t>inside</t>
        </is>
      </c>
      <c r="I704" t="inlineStr">
        <is>
          <t>help</t>
        </is>
      </c>
    </row>
    <row r="705">
      <c r="A705" s="2" t="inlineStr">
        <is>
          <t>C9937</t>
        </is>
      </c>
      <c r="B705" s="2" t="inlineStr">
        <is>
          <t>Christina Mitchell</t>
        </is>
      </c>
      <c r="C705" s="2" t="inlineStr">
        <is>
          <t>thomasnichols@gmail.com</t>
        </is>
      </c>
      <c r="D705" s="2" t="inlineStr">
        <is>
          <t>(597)595-6498</t>
        </is>
      </c>
      <c r="E705" s="2" t="inlineStr">
        <is>
          <t>491 Michael Plains Suite 376, West Jenniferborough, PA 13718</t>
        </is>
      </c>
      <c r="F705" s="2" t="inlineStr">
        <is>
          <t>Donaldchester</t>
        </is>
      </c>
      <c r="G705" s="2" t="inlineStr">
        <is>
          <t>Canada</t>
        </is>
      </c>
      <c r="H705" s="2" t="inlineStr">
        <is>
          <t>contain</t>
        </is>
      </c>
      <c r="I705" t="inlineStr">
        <is>
          <t>in</t>
        </is>
      </c>
    </row>
    <row r="706">
      <c r="A706" s="2" t="inlineStr">
        <is>
          <t>C9563</t>
        </is>
      </c>
      <c r="B706" s="2" t="inlineStr">
        <is>
          <t>Angela Hopkins</t>
        </is>
      </c>
      <c r="C706" s="2" t="inlineStr">
        <is>
          <t>amybowman@hotmail.com</t>
        </is>
      </c>
      <c r="D706" s="2" t="inlineStr">
        <is>
          <t>+1-730-226-0340x646</t>
        </is>
      </c>
      <c r="E706" s="2" t="inlineStr">
        <is>
          <t>PSC 0092, Box 3539, APO AP 89700</t>
        </is>
      </c>
      <c r="F706" s="2" t="inlineStr">
        <is>
          <t>New Matthewland</t>
        </is>
      </c>
      <c r="G706" s="2" t="inlineStr">
        <is>
          <t>Moldova</t>
        </is>
      </c>
      <c r="H706" s="2" t="inlineStr">
        <is>
          <t>city</t>
        </is>
      </c>
      <c r="I706" t="inlineStr">
        <is>
          <t>could</t>
        </is>
      </c>
    </row>
    <row r="707">
      <c r="A707" s="2" t="inlineStr">
        <is>
          <t>C5716</t>
        </is>
      </c>
      <c r="B707" s="2" t="inlineStr">
        <is>
          <t>Reginald Clark</t>
        </is>
      </c>
      <c r="C707" s="2" t="inlineStr">
        <is>
          <t>rhondamaynard@hotmail.com</t>
        </is>
      </c>
      <c r="D707" s="2" t="inlineStr">
        <is>
          <t>001-976-471-3420x3022</t>
        </is>
      </c>
      <c r="E707" s="2" t="inlineStr">
        <is>
          <t>8363 Ashley Corners Apt. 860, Lake Steven, GA 98645</t>
        </is>
      </c>
      <c r="F707" s="2" t="inlineStr">
        <is>
          <t>Lake Tiffany</t>
        </is>
      </c>
      <c r="G707" s="2" t="inlineStr">
        <is>
          <t>French Polynesia</t>
        </is>
      </c>
      <c r="H707" s="2" t="inlineStr">
        <is>
          <t>level</t>
        </is>
      </c>
      <c r="I707" t="inlineStr">
        <is>
          <t>somebody</t>
        </is>
      </c>
    </row>
    <row r="708">
      <c r="A708" s="2" t="inlineStr">
        <is>
          <t>C7419</t>
        </is>
      </c>
      <c r="B708" s="2" t="inlineStr">
        <is>
          <t>Kelsey Moon</t>
        </is>
      </c>
      <c r="C708" s="2" t="inlineStr">
        <is>
          <t>ffranco@young.com</t>
        </is>
      </c>
      <c r="D708" s="2" t="inlineStr">
        <is>
          <t>+1-925-043-3385</t>
        </is>
      </c>
      <c r="E708" s="2" t="inlineStr">
        <is>
          <t>558 Taylor Tunnel Apt. 537, Lake Devinshire, OR 43315</t>
        </is>
      </c>
      <c r="F708" s="2" t="inlineStr">
        <is>
          <t>Rojasmouth</t>
        </is>
      </c>
      <c r="G708" s="2" t="inlineStr">
        <is>
          <t>Uganda</t>
        </is>
      </c>
      <c r="H708" s="2" t="inlineStr">
        <is>
          <t>field</t>
        </is>
      </c>
      <c r="I708" t="inlineStr">
        <is>
          <t>movie</t>
        </is>
      </c>
    </row>
    <row r="709">
      <c r="A709" s="2" t="inlineStr">
        <is>
          <t>C2352</t>
        </is>
      </c>
      <c r="B709" s="2" t="inlineStr">
        <is>
          <t>Patricia Arnold</t>
        </is>
      </c>
      <c r="C709" s="2" t="inlineStr">
        <is>
          <t>lisacooper@gmail.com</t>
        </is>
      </c>
      <c r="D709" s="2" t="inlineStr">
        <is>
          <t>469.060.5411x96867</t>
        </is>
      </c>
      <c r="E709" s="2" t="inlineStr">
        <is>
          <t>946 Farmer Creek Apt. 787, Glennfurt, RI 09291</t>
        </is>
      </c>
      <c r="F709" s="2" t="inlineStr">
        <is>
          <t>Marvinview</t>
        </is>
      </c>
      <c r="G709" s="2" t="inlineStr">
        <is>
          <t>Turkmenistan</t>
        </is>
      </c>
      <c r="H709" s="2" t="inlineStr">
        <is>
          <t>amount</t>
        </is>
      </c>
      <c r="I709" t="inlineStr">
        <is>
          <t>view</t>
        </is>
      </c>
    </row>
    <row r="710">
      <c r="A710" s="2" t="inlineStr">
        <is>
          <t>C6402</t>
        </is>
      </c>
      <c r="B710" s="2" t="inlineStr">
        <is>
          <t>Rebecca Shields</t>
        </is>
      </c>
      <c r="C710" s="2" t="inlineStr">
        <is>
          <t>zhunt@ellis.org</t>
        </is>
      </c>
      <c r="D710" s="2" t="inlineStr">
        <is>
          <t>+1-252-248-4132</t>
        </is>
      </c>
      <c r="E710" s="2" t="inlineStr">
        <is>
          <t>2543 Jennifer Street Apt. 873, North Jeffreyberg, MO 52966</t>
        </is>
      </c>
      <c r="F710" s="2" t="inlineStr">
        <is>
          <t>Davidview</t>
        </is>
      </c>
      <c r="G710" s="2" t="inlineStr">
        <is>
          <t>Ghana</t>
        </is>
      </c>
      <c r="H710" s="2" t="inlineStr">
        <is>
          <t>dark</t>
        </is>
      </c>
      <c r="I710" t="inlineStr">
        <is>
          <t>shake</t>
        </is>
      </c>
    </row>
    <row r="711">
      <c r="A711" s="2" t="inlineStr">
        <is>
          <t>C7910</t>
        </is>
      </c>
      <c r="B711" s="2" t="inlineStr">
        <is>
          <t>Bradley Smith</t>
        </is>
      </c>
      <c r="C711" s="2" t="inlineStr">
        <is>
          <t>thomas24@cruz.com</t>
        </is>
      </c>
      <c r="D711" s="2" t="inlineStr">
        <is>
          <t>(184)389-9686x2608</t>
        </is>
      </c>
      <c r="E711" s="2" t="inlineStr">
        <is>
          <t>306 Herring Dale, Kathrynview, SC 12343</t>
        </is>
      </c>
      <c r="F711" s="2" t="inlineStr">
        <is>
          <t>Taylorport</t>
        </is>
      </c>
      <c r="G711" s="2" t="inlineStr">
        <is>
          <t>Switzerland</t>
        </is>
      </c>
      <c r="H711" s="2" t="inlineStr">
        <is>
          <t>quite</t>
        </is>
      </c>
      <c r="I711" t="inlineStr">
        <is>
          <t>increase</t>
        </is>
      </c>
    </row>
    <row r="712">
      <c r="A712" s="2" t="inlineStr">
        <is>
          <t>C3638</t>
        </is>
      </c>
      <c r="B712" s="2" t="inlineStr">
        <is>
          <t>Paul Erickson</t>
        </is>
      </c>
      <c r="C712" s="2" t="inlineStr">
        <is>
          <t>amandacarpenter@king.com</t>
        </is>
      </c>
      <c r="D712" s="2" t="inlineStr">
        <is>
          <t>(130)755-8583</t>
        </is>
      </c>
      <c r="E712" s="2" t="inlineStr">
        <is>
          <t>95358 Johnson Viaduct Apt. 369, South Derektown, OR 38485</t>
        </is>
      </c>
      <c r="F712" s="2" t="inlineStr">
        <is>
          <t>Andrewstad</t>
        </is>
      </c>
      <c r="G712" s="2" t="inlineStr">
        <is>
          <t>Guinea-Bissau</t>
        </is>
      </c>
      <c r="H712" s="2" t="inlineStr">
        <is>
          <t>attorney</t>
        </is>
      </c>
      <c r="I712" t="inlineStr">
        <is>
          <t>actually</t>
        </is>
      </c>
    </row>
    <row r="713">
      <c r="A713" s="2" t="inlineStr">
        <is>
          <t>C6009</t>
        </is>
      </c>
      <c r="B713" s="2" t="inlineStr">
        <is>
          <t>Valerie Kelly</t>
        </is>
      </c>
      <c r="C713" s="2" t="inlineStr">
        <is>
          <t>yjohnson@ray.com</t>
        </is>
      </c>
      <c r="D713" s="2" t="inlineStr">
        <is>
          <t>4094627640</t>
        </is>
      </c>
      <c r="E713" s="2" t="inlineStr">
        <is>
          <t>1742 Cathy Plains, Jenniferport, DE 09004</t>
        </is>
      </c>
      <c r="F713" s="2" t="inlineStr">
        <is>
          <t>Kelseyborough</t>
        </is>
      </c>
      <c r="G713" s="2" t="inlineStr">
        <is>
          <t>Congo</t>
        </is>
      </c>
      <c r="H713" s="2" t="inlineStr">
        <is>
          <t>then</t>
        </is>
      </c>
      <c r="I713" t="inlineStr">
        <is>
          <t>late</t>
        </is>
      </c>
    </row>
    <row r="714">
      <c r="A714" s="2" t="inlineStr">
        <is>
          <t>C2138</t>
        </is>
      </c>
      <c r="B714" s="2" t="inlineStr">
        <is>
          <t>Thomas Khan</t>
        </is>
      </c>
      <c r="C714" s="2" t="inlineStr">
        <is>
          <t>jasmineferguson@gmail.com</t>
        </is>
      </c>
      <c r="D714" s="2" t="inlineStr">
        <is>
          <t>+1-880-548-1348x486</t>
        </is>
      </c>
      <c r="E714" s="2" t="inlineStr">
        <is>
          <t>0945 Christopher Road, Brittanymouth, WA 09142</t>
        </is>
      </c>
      <c r="F714" s="2" t="inlineStr">
        <is>
          <t>Andreaburgh</t>
        </is>
      </c>
      <c r="G714" s="2" t="inlineStr">
        <is>
          <t>South Georgia and the South Sandwich Islands</t>
        </is>
      </c>
      <c r="H714" s="2" t="inlineStr">
        <is>
          <t>either</t>
        </is>
      </c>
      <c r="I714" t="inlineStr">
        <is>
          <t>series</t>
        </is>
      </c>
    </row>
    <row r="715">
      <c r="A715" s="2" t="inlineStr">
        <is>
          <t>C5740</t>
        </is>
      </c>
      <c r="B715" s="2" t="inlineStr">
        <is>
          <t>Andrew George</t>
        </is>
      </c>
      <c r="C715" s="2" t="inlineStr">
        <is>
          <t>hross@jacobs.com</t>
        </is>
      </c>
      <c r="D715" s="2" t="inlineStr">
        <is>
          <t>(691)280-6404x689</t>
        </is>
      </c>
      <c r="E715" s="2" t="inlineStr">
        <is>
          <t>2362 Mitchell Ferry, East Julie, MT 41627</t>
        </is>
      </c>
      <c r="F715" s="2" t="inlineStr">
        <is>
          <t>Lisaborough</t>
        </is>
      </c>
      <c r="G715" s="2" t="inlineStr">
        <is>
          <t>Guinea</t>
        </is>
      </c>
      <c r="H715" s="2" t="inlineStr">
        <is>
          <t>bed</t>
        </is>
      </c>
      <c r="I715" t="inlineStr">
        <is>
          <t>your</t>
        </is>
      </c>
    </row>
    <row r="716">
      <c r="A716" s="2" t="inlineStr">
        <is>
          <t>C3976</t>
        </is>
      </c>
      <c r="B716" s="2" t="inlineStr">
        <is>
          <t>Amanda Smith</t>
        </is>
      </c>
      <c r="C716" s="2" t="inlineStr">
        <is>
          <t>kmckee@martinez.com</t>
        </is>
      </c>
      <c r="D716" s="2" t="inlineStr">
        <is>
          <t>+1-552-639-0406x697</t>
        </is>
      </c>
      <c r="E716" s="2" t="inlineStr">
        <is>
          <t>22403 Burke Fork Apt. 585, North Tammy, ID 96166</t>
        </is>
      </c>
      <c r="F716" s="2" t="inlineStr">
        <is>
          <t>New Morgan</t>
        </is>
      </c>
      <c r="G716" s="2" t="inlineStr">
        <is>
          <t>Vietnam</t>
        </is>
      </c>
      <c r="H716" s="2" t="inlineStr">
        <is>
          <t>out</t>
        </is>
      </c>
      <c r="I716" t="inlineStr">
        <is>
          <t>control</t>
        </is>
      </c>
    </row>
    <row r="717">
      <c r="A717" s="2" t="inlineStr">
        <is>
          <t>C6777</t>
        </is>
      </c>
      <c r="B717" s="2" t="inlineStr">
        <is>
          <t>Robin Johnson</t>
        </is>
      </c>
      <c r="C717" s="2" t="inlineStr">
        <is>
          <t>megan98@farmer.com</t>
        </is>
      </c>
      <c r="D717" s="2" t="inlineStr">
        <is>
          <t>407.284.7071x89573</t>
        </is>
      </c>
      <c r="E717" s="2" t="inlineStr">
        <is>
          <t>515 Jennifer Street Suite 016, East Jenniferside, ND 51811</t>
        </is>
      </c>
      <c r="F717" s="2" t="inlineStr">
        <is>
          <t>Michaelaburgh</t>
        </is>
      </c>
      <c r="G717" s="2" t="inlineStr">
        <is>
          <t>Sudan</t>
        </is>
      </c>
      <c r="H717" s="2" t="inlineStr">
        <is>
          <t>knowledge</t>
        </is>
      </c>
      <c r="I717" t="inlineStr">
        <is>
          <t>market</t>
        </is>
      </c>
    </row>
    <row r="718">
      <c r="A718" s="2" t="inlineStr">
        <is>
          <t>C7173</t>
        </is>
      </c>
      <c r="B718" s="2" t="inlineStr">
        <is>
          <t>Lisa Riggs</t>
        </is>
      </c>
      <c r="C718" s="2" t="inlineStr">
        <is>
          <t>jbarrett@yahoo.com</t>
        </is>
      </c>
      <c r="D718" s="2" t="inlineStr">
        <is>
          <t>(832)499-6349x25567</t>
        </is>
      </c>
      <c r="E718" s="2" t="inlineStr">
        <is>
          <t>USNS Thomas, FPO AE 27304</t>
        </is>
      </c>
      <c r="F718" s="2" t="inlineStr">
        <is>
          <t>West Paulstad</t>
        </is>
      </c>
      <c r="G718" s="2" t="inlineStr">
        <is>
          <t>Cape Verde</t>
        </is>
      </c>
      <c r="H718" s="2" t="inlineStr">
        <is>
          <t>Mrs</t>
        </is>
      </c>
      <c r="I718" t="inlineStr">
        <is>
          <t>bank</t>
        </is>
      </c>
    </row>
    <row r="719">
      <c r="A719" s="2" t="inlineStr">
        <is>
          <t>C9287</t>
        </is>
      </c>
      <c r="B719" s="2" t="inlineStr">
        <is>
          <t>Mr. Thomas Brooks MD</t>
        </is>
      </c>
      <c r="C719" s="2" t="inlineStr">
        <is>
          <t>laura96@vargas.info</t>
        </is>
      </c>
      <c r="D719" s="2" t="inlineStr">
        <is>
          <t>+1-937-851-3854</t>
        </is>
      </c>
      <c r="E719" s="2" t="inlineStr">
        <is>
          <t>358 Lisa Land, West Kelli, KY 92024</t>
        </is>
      </c>
      <c r="F719" s="2" t="inlineStr">
        <is>
          <t>North Coreyborough</t>
        </is>
      </c>
      <c r="G719" s="2" t="inlineStr">
        <is>
          <t>Panama</t>
        </is>
      </c>
      <c r="H719" s="2" t="inlineStr">
        <is>
          <t>own</t>
        </is>
      </c>
      <c r="I719" t="inlineStr">
        <is>
          <t>model</t>
        </is>
      </c>
    </row>
    <row r="720">
      <c r="A720" s="2" t="inlineStr">
        <is>
          <t>C9519</t>
        </is>
      </c>
      <c r="B720" s="2" t="inlineStr">
        <is>
          <t>Jacqueline Phillips</t>
        </is>
      </c>
      <c r="C720" s="2" t="inlineStr">
        <is>
          <t>johnchen@hotmail.com</t>
        </is>
      </c>
      <c r="D720" s="2" t="inlineStr">
        <is>
          <t>550-095-5598x809</t>
        </is>
      </c>
      <c r="E720" s="2" t="inlineStr">
        <is>
          <t>944 Miller Estates, Nicholastown, NJ 32787</t>
        </is>
      </c>
      <c r="F720" s="2" t="inlineStr">
        <is>
          <t>New Ericfurt</t>
        </is>
      </c>
      <c r="G720" s="2" t="inlineStr">
        <is>
          <t>Botswana</t>
        </is>
      </c>
      <c r="H720" s="2" t="inlineStr">
        <is>
          <t>official</t>
        </is>
      </c>
      <c r="I720" t="inlineStr">
        <is>
          <t>throw</t>
        </is>
      </c>
    </row>
    <row r="721">
      <c r="A721" s="2" t="inlineStr">
        <is>
          <t>C7591</t>
        </is>
      </c>
      <c r="B721" s="2" t="inlineStr">
        <is>
          <t>Mallory Cook</t>
        </is>
      </c>
      <c r="C721" s="2" t="inlineStr">
        <is>
          <t>garrettmendez@yahoo.com</t>
        </is>
      </c>
      <c r="D721" s="2" t="inlineStr">
        <is>
          <t>+1-149-844-8334x8965</t>
        </is>
      </c>
      <c r="E721" s="2" t="inlineStr">
        <is>
          <t>896 Wu Corners Apt. 648, Lake Jasmineview, IA 43636</t>
        </is>
      </c>
      <c r="F721" s="2" t="inlineStr">
        <is>
          <t>Joelchester</t>
        </is>
      </c>
      <c r="G721" s="2" t="inlineStr">
        <is>
          <t>New Caledonia</t>
        </is>
      </c>
      <c r="H721" s="2" t="inlineStr">
        <is>
          <t>model</t>
        </is>
      </c>
      <c r="I721" t="inlineStr">
        <is>
          <t>table</t>
        </is>
      </c>
    </row>
    <row r="722">
      <c r="A722" s="2" t="inlineStr">
        <is>
          <t>C4720</t>
        </is>
      </c>
      <c r="B722" s="2" t="inlineStr">
        <is>
          <t>Michael Ryan</t>
        </is>
      </c>
      <c r="C722" s="2" t="inlineStr">
        <is>
          <t>mbray@yahoo.com</t>
        </is>
      </c>
      <c r="D722" s="2" t="inlineStr">
        <is>
          <t>119-033-7019</t>
        </is>
      </c>
      <c r="E722" s="2" t="inlineStr">
        <is>
          <t>296 Steven Crossroad, Juliashire, WI 69726</t>
        </is>
      </c>
      <c r="F722" s="2" t="inlineStr">
        <is>
          <t>Port Josephhaven</t>
        </is>
      </c>
      <c r="G722" s="2" t="inlineStr">
        <is>
          <t>Costa Rica</t>
        </is>
      </c>
      <c r="H722" s="2" t="inlineStr">
        <is>
          <t>activity</t>
        </is>
      </c>
      <c r="I722" t="inlineStr">
        <is>
          <t>her</t>
        </is>
      </c>
    </row>
    <row r="723">
      <c r="A723" s="2" t="inlineStr">
        <is>
          <t>C8108</t>
        </is>
      </c>
      <c r="B723" s="2" t="inlineStr">
        <is>
          <t>Michael Levine</t>
        </is>
      </c>
      <c r="C723" s="2" t="inlineStr">
        <is>
          <t>allenadams@yahoo.com</t>
        </is>
      </c>
      <c r="D723" s="2" t="inlineStr">
        <is>
          <t>+1-640-552-1455</t>
        </is>
      </c>
      <c r="E723" s="2" t="inlineStr">
        <is>
          <t>Unit 4713 Box 0931, DPO AA 62376</t>
        </is>
      </c>
      <c r="F723" s="2" t="inlineStr">
        <is>
          <t>West Leahtown</t>
        </is>
      </c>
      <c r="G723" s="2" t="inlineStr">
        <is>
          <t>Guatemala</t>
        </is>
      </c>
      <c r="H723" s="2" t="inlineStr">
        <is>
          <t>foreign</t>
        </is>
      </c>
      <c r="I723" t="inlineStr">
        <is>
          <t>teach</t>
        </is>
      </c>
    </row>
    <row r="724">
      <c r="A724" s="2" t="inlineStr">
        <is>
          <t>C9026</t>
        </is>
      </c>
      <c r="B724" s="2" t="inlineStr">
        <is>
          <t>Jamie Scott</t>
        </is>
      </c>
      <c r="C724" s="2" t="inlineStr">
        <is>
          <t>paynelaura@gmail.com</t>
        </is>
      </c>
      <c r="D724" s="2" t="inlineStr">
        <is>
          <t>376.621.6871</t>
        </is>
      </c>
      <c r="E724" s="2" t="inlineStr">
        <is>
          <t>853 Hartman Club Suite 240, Masonton, DC 84860</t>
        </is>
      </c>
      <c r="F724" s="2" t="inlineStr">
        <is>
          <t>Mccallfort</t>
        </is>
      </c>
      <c r="G724" s="2" t="inlineStr">
        <is>
          <t>Lesotho</t>
        </is>
      </c>
      <c r="H724" s="2" t="inlineStr">
        <is>
          <t>small</t>
        </is>
      </c>
      <c r="I724" t="inlineStr">
        <is>
          <t>new</t>
        </is>
      </c>
    </row>
    <row r="725">
      <c r="A725" s="2" t="inlineStr">
        <is>
          <t>C5794</t>
        </is>
      </c>
      <c r="B725" s="2" t="inlineStr">
        <is>
          <t>Ronald Rivera</t>
        </is>
      </c>
      <c r="C725" s="2" t="inlineStr">
        <is>
          <t>lauren04@johnson.com</t>
        </is>
      </c>
      <c r="D725" s="2" t="inlineStr">
        <is>
          <t>+1-656-281-3004x05418</t>
        </is>
      </c>
      <c r="E725" s="2" t="inlineStr">
        <is>
          <t>04452 Amy Island, Villafort, ID 20326</t>
        </is>
      </c>
      <c r="F725" s="2" t="inlineStr">
        <is>
          <t>Patriciafort</t>
        </is>
      </c>
      <c r="G725" s="2" t="inlineStr">
        <is>
          <t>Yemen</t>
        </is>
      </c>
      <c r="H725" s="2" t="inlineStr">
        <is>
          <t>hold</t>
        </is>
      </c>
      <c r="I725" t="inlineStr">
        <is>
          <t>agency</t>
        </is>
      </c>
    </row>
    <row r="726">
      <c r="A726" s="2" t="inlineStr">
        <is>
          <t>C9517</t>
        </is>
      </c>
      <c r="B726" s="2" t="inlineStr">
        <is>
          <t>Edward Nelson</t>
        </is>
      </c>
      <c r="C726" s="2" t="inlineStr">
        <is>
          <t>kstevens@hopkins-dougherty.com</t>
        </is>
      </c>
      <c r="D726" s="2" t="inlineStr">
        <is>
          <t>001-947-968-3800x903</t>
        </is>
      </c>
      <c r="E726" s="2" t="inlineStr">
        <is>
          <t>8690 Wang Crescent, North Kenneth, IN 45582</t>
        </is>
      </c>
      <c r="F726" s="2" t="inlineStr">
        <is>
          <t>Wilsonburgh</t>
        </is>
      </c>
      <c r="G726" s="2" t="inlineStr">
        <is>
          <t>Pakistan</t>
        </is>
      </c>
      <c r="H726" s="2" t="inlineStr">
        <is>
          <t>small</t>
        </is>
      </c>
      <c r="I726" t="inlineStr">
        <is>
          <t>design</t>
        </is>
      </c>
    </row>
    <row r="727">
      <c r="A727" s="2" t="inlineStr">
        <is>
          <t>C3227</t>
        </is>
      </c>
      <c r="B727" s="2" t="inlineStr">
        <is>
          <t>Gary Sellers</t>
        </is>
      </c>
      <c r="C727" s="2" t="inlineStr">
        <is>
          <t>cantrelltanner@king.com</t>
        </is>
      </c>
      <c r="D727" s="2" t="inlineStr">
        <is>
          <t>509-773-8612</t>
        </is>
      </c>
      <c r="E727" s="2" t="inlineStr">
        <is>
          <t>08241 Michael Fort Apt. 429, Orrborough, ME 21516</t>
        </is>
      </c>
      <c r="F727" s="2" t="inlineStr">
        <is>
          <t>South Michael</t>
        </is>
      </c>
      <c r="G727" s="2" t="inlineStr">
        <is>
          <t>Reunion</t>
        </is>
      </c>
      <c r="H727" s="2" t="inlineStr">
        <is>
          <t>peace</t>
        </is>
      </c>
      <c r="I727" t="inlineStr">
        <is>
          <t>pay</t>
        </is>
      </c>
    </row>
    <row r="728">
      <c r="A728" s="2" t="inlineStr">
        <is>
          <t>C5796</t>
        </is>
      </c>
      <c r="B728" s="2" t="inlineStr">
        <is>
          <t>Robert King</t>
        </is>
      </c>
      <c r="C728" s="2" t="inlineStr">
        <is>
          <t>estewart@schaefer.com</t>
        </is>
      </c>
      <c r="D728" s="2" t="inlineStr">
        <is>
          <t>437-053-5670</t>
        </is>
      </c>
      <c r="E728" s="2" t="inlineStr">
        <is>
          <t>PSC 9139, Box 9508, APO AP 44495</t>
        </is>
      </c>
      <c r="F728" s="2" t="inlineStr">
        <is>
          <t>Evanschester</t>
        </is>
      </c>
      <c r="G728" s="2" t="inlineStr">
        <is>
          <t>Mali</t>
        </is>
      </c>
      <c r="H728" s="2" t="inlineStr">
        <is>
          <t>option</t>
        </is>
      </c>
      <c r="I728" t="inlineStr">
        <is>
          <t>defense</t>
        </is>
      </c>
    </row>
    <row r="729">
      <c r="A729" s="2" t="inlineStr">
        <is>
          <t>C9161</t>
        </is>
      </c>
      <c r="B729" s="2" t="inlineStr">
        <is>
          <t>Vincent Rodriguez</t>
        </is>
      </c>
      <c r="C729" s="2" t="inlineStr">
        <is>
          <t>taustin@yahoo.com</t>
        </is>
      </c>
      <c r="D729" s="2" t="inlineStr">
        <is>
          <t>8122550726</t>
        </is>
      </c>
      <c r="E729" s="2" t="inlineStr">
        <is>
          <t>497 Dennis Hill, Charlesview, NJ 84227</t>
        </is>
      </c>
      <c r="F729" s="2" t="inlineStr">
        <is>
          <t>New Paige</t>
        </is>
      </c>
      <c r="G729" s="2" t="inlineStr">
        <is>
          <t>Central African Republic</t>
        </is>
      </c>
      <c r="H729" s="2" t="inlineStr">
        <is>
          <t>who</t>
        </is>
      </c>
      <c r="I729" t="inlineStr">
        <is>
          <t>why</t>
        </is>
      </c>
    </row>
    <row r="730">
      <c r="A730" s="2" t="inlineStr">
        <is>
          <t>C6607</t>
        </is>
      </c>
      <c r="B730" s="2" t="inlineStr">
        <is>
          <t>Mark Compton</t>
        </is>
      </c>
      <c r="C730" s="2" t="inlineStr">
        <is>
          <t>browncollin@gmail.com</t>
        </is>
      </c>
      <c r="D730" s="2" t="inlineStr">
        <is>
          <t>(369)573-5513x44376</t>
        </is>
      </c>
      <c r="E730" s="2" t="inlineStr">
        <is>
          <t>91919 Robin Underpass Suite 572, Troymouth, IN 39647</t>
        </is>
      </c>
      <c r="F730" s="2" t="inlineStr">
        <is>
          <t>West Johnborough</t>
        </is>
      </c>
      <c r="G730" s="2" t="inlineStr">
        <is>
          <t>Jordan</t>
        </is>
      </c>
      <c r="H730" s="2" t="inlineStr">
        <is>
          <t>news</t>
        </is>
      </c>
      <c r="I730" t="inlineStr">
        <is>
          <t>friend</t>
        </is>
      </c>
    </row>
    <row r="731">
      <c r="A731" s="2" t="inlineStr">
        <is>
          <t>C5490</t>
        </is>
      </c>
      <c r="B731" s="2" t="inlineStr">
        <is>
          <t>Dawn Sims</t>
        </is>
      </c>
      <c r="C731" s="2" t="inlineStr">
        <is>
          <t>gonzalezrobert@clark.net</t>
        </is>
      </c>
      <c r="D731" s="2" t="inlineStr">
        <is>
          <t>(997)904-5148x3014</t>
        </is>
      </c>
      <c r="E731" s="2" t="inlineStr">
        <is>
          <t>51918 Stephanie Mews, Mckenzieport, MS 24399</t>
        </is>
      </c>
      <c r="F731" s="2" t="inlineStr">
        <is>
          <t>Prattfurt</t>
        </is>
      </c>
      <c r="G731" s="2" t="inlineStr">
        <is>
          <t>San Marino</t>
        </is>
      </c>
      <c r="H731" s="2" t="inlineStr">
        <is>
          <t>long</t>
        </is>
      </c>
      <c r="I731" t="inlineStr">
        <is>
          <t>attention</t>
        </is>
      </c>
    </row>
    <row r="732">
      <c r="A732" s="2" t="inlineStr">
        <is>
          <t>C7710</t>
        </is>
      </c>
      <c r="B732" s="2" t="inlineStr">
        <is>
          <t>Aaron Padilla</t>
        </is>
      </c>
      <c r="C732" s="2" t="inlineStr">
        <is>
          <t>benjamin53@hotmail.com</t>
        </is>
      </c>
      <c r="D732" s="2" t="inlineStr">
        <is>
          <t>+1-593-366-0036x881</t>
        </is>
      </c>
      <c r="E732" s="2" t="inlineStr">
        <is>
          <t>13216 Julie Rue Suite 197, Nicolehaven, ID 94817</t>
        </is>
      </c>
      <c r="F732" s="2" t="inlineStr">
        <is>
          <t>Port Johnshire</t>
        </is>
      </c>
      <c r="G732" s="2" t="inlineStr">
        <is>
          <t>Turks and Caicos Islands</t>
        </is>
      </c>
      <c r="H732" s="2" t="inlineStr">
        <is>
          <t>actually</t>
        </is>
      </c>
      <c r="I732" t="inlineStr">
        <is>
          <t>skin</t>
        </is>
      </c>
    </row>
    <row r="733">
      <c r="A733" s="2" t="inlineStr">
        <is>
          <t>C2167</t>
        </is>
      </c>
      <c r="B733" s="2" t="inlineStr">
        <is>
          <t>Gail Rivera</t>
        </is>
      </c>
      <c r="C733" s="2" t="inlineStr">
        <is>
          <t>lsummers@gmail.com</t>
        </is>
      </c>
      <c r="D733" s="2" t="inlineStr">
        <is>
          <t>001-889-002-0822x25827</t>
        </is>
      </c>
      <c r="E733" s="2" t="inlineStr">
        <is>
          <t>2179 Joshua Fields Apt. 951, Jeremiahfort, VA 63301</t>
        </is>
      </c>
      <c r="F733" s="2" t="inlineStr">
        <is>
          <t>Michaelfurt</t>
        </is>
      </c>
      <c r="G733" s="2" t="inlineStr">
        <is>
          <t>Bulgaria</t>
        </is>
      </c>
      <c r="H733" s="2" t="inlineStr">
        <is>
          <t>simple</t>
        </is>
      </c>
      <c r="I733" t="inlineStr">
        <is>
          <t>network</t>
        </is>
      </c>
    </row>
    <row r="734">
      <c r="A734" s="2" t="inlineStr">
        <is>
          <t>C9016</t>
        </is>
      </c>
      <c r="B734" s="2" t="inlineStr">
        <is>
          <t>Richard Soto</t>
        </is>
      </c>
      <c r="C734" s="2" t="inlineStr">
        <is>
          <t>arobbins@green.info</t>
        </is>
      </c>
      <c r="D734" s="2" t="inlineStr">
        <is>
          <t>443-238-0007x7891</t>
        </is>
      </c>
      <c r="E734" s="2" t="inlineStr">
        <is>
          <t>57984 Johnson Forks, South Kennethstad, AK 64553</t>
        </is>
      </c>
      <c r="F734" s="2" t="inlineStr">
        <is>
          <t>North Shawn</t>
        </is>
      </c>
      <c r="G734" s="2" t="inlineStr">
        <is>
          <t>Tajikistan</t>
        </is>
      </c>
      <c r="H734" s="2" t="inlineStr">
        <is>
          <t>program</t>
        </is>
      </c>
      <c r="I734" t="inlineStr">
        <is>
          <t>wear</t>
        </is>
      </c>
    </row>
    <row r="735">
      <c r="A735" s="2" t="inlineStr">
        <is>
          <t>C9615</t>
        </is>
      </c>
      <c r="B735" s="2" t="inlineStr">
        <is>
          <t>Joseph Harvey</t>
        </is>
      </c>
      <c r="C735" s="2" t="inlineStr">
        <is>
          <t>zsilva@thomas-livingston.com</t>
        </is>
      </c>
      <c r="D735" s="2" t="inlineStr">
        <is>
          <t>001-580-467-8241</t>
        </is>
      </c>
      <c r="E735" s="2" t="inlineStr">
        <is>
          <t>USCGC Harvey, FPO AE 21687</t>
        </is>
      </c>
      <c r="F735" s="2" t="inlineStr">
        <is>
          <t>Byrdborough</t>
        </is>
      </c>
      <c r="G735" s="2" t="inlineStr">
        <is>
          <t>Belarus</t>
        </is>
      </c>
      <c r="H735" s="2" t="inlineStr">
        <is>
          <t>across</t>
        </is>
      </c>
      <c r="I735" t="inlineStr">
        <is>
          <t>third</t>
        </is>
      </c>
    </row>
    <row r="736">
      <c r="A736" s="2" t="inlineStr">
        <is>
          <t>C9237</t>
        </is>
      </c>
      <c r="B736" s="2" t="inlineStr">
        <is>
          <t>Jessica Burns</t>
        </is>
      </c>
      <c r="C736" s="2" t="inlineStr">
        <is>
          <t>ana01@gmail.com</t>
        </is>
      </c>
      <c r="D736" s="2" t="inlineStr">
        <is>
          <t>6131227687</t>
        </is>
      </c>
      <c r="E736" s="2" t="inlineStr">
        <is>
          <t>727 Johnny Mount, Brentberg, NM 07901</t>
        </is>
      </c>
      <c r="F736" s="2" t="inlineStr">
        <is>
          <t>Port Rachelmouth</t>
        </is>
      </c>
      <c r="G736" s="2" t="inlineStr">
        <is>
          <t>Singapore</t>
        </is>
      </c>
      <c r="H736" s="2" t="inlineStr">
        <is>
          <t>community</t>
        </is>
      </c>
      <c r="I736" t="inlineStr">
        <is>
          <t>method</t>
        </is>
      </c>
    </row>
    <row r="737">
      <c r="A737" s="2" t="inlineStr">
        <is>
          <t>C3070</t>
        </is>
      </c>
      <c r="B737" s="2" t="inlineStr">
        <is>
          <t>Kathy Riley</t>
        </is>
      </c>
      <c r="C737" s="2" t="inlineStr">
        <is>
          <t>dustin66@huff-blake.com</t>
        </is>
      </c>
      <c r="D737" s="2" t="inlineStr">
        <is>
          <t>027.192.5497</t>
        </is>
      </c>
      <c r="E737" s="2" t="inlineStr">
        <is>
          <t>933 Peterson Lake, Port Michael, RI 87259</t>
        </is>
      </c>
      <c r="F737" s="2" t="inlineStr">
        <is>
          <t>New Bryceview</t>
        </is>
      </c>
      <c r="G737" s="2" t="inlineStr">
        <is>
          <t>Honduras</t>
        </is>
      </c>
      <c r="H737" s="2" t="inlineStr">
        <is>
          <t>attack</t>
        </is>
      </c>
      <c r="I737" t="inlineStr">
        <is>
          <t>rest</t>
        </is>
      </c>
    </row>
    <row r="738">
      <c r="A738" s="2" t="inlineStr">
        <is>
          <t>C3231</t>
        </is>
      </c>
      <c r="B738" s="2" t="inlineStr">
        <is>
          <t>Alicia Nguyen</t>
        </is>
      </c>
      <c r="C738" s="2" t="inlineStr">
        <is>
          <t>waltersjohn@yahoo.com</t>
        </is>
      </c>
      <c r="D738" s="2" t="inlineStr">
        <is>
          <t>145.822.1285</t>
        </is>
      </c>
      <c r="E738" s="2" t="inlineStr">
        <is>
          <t>802 Erickson Walk, Lake Josephside, RI 82387</t>
        </is>
      </c>
      <c r="F738" s="2" t="inlineStr">
        <is>
          <t>Port Brittanyside</t>
        </is>
      </c>
      <c r="G738" s="2" t="inlineStr">
        <is>
          <t>Lithuania</t>
        </is>
      </c>
      <c r="H738" s="2" t="inlineStr">
        <is>
          <t>start</t>
        </is>
      </c>
      <c r="I738" t="inlineStr">
        <is>
          <t>best</t>
        </is>
      </c>
    </row>
    <row r="739">
      <c r="A739" s="2" t="inlineStr">
        <is>
          <t>C5540</t>
        </is>
      </c>
      <c r="B739" s="2" t="inlineStr">
        <is>
          <t>Jacob Davis</t>
        </is>
      </c>
      <c r="C739" s="2" t="inlineStr">
        <is>
          <t>clarence89@hotmail.com</t>
        </is>
      </c>
      <c r="D739" s="2" t="inlineStr">
        <is>
          <t>001-906-400-3168</t>
        </is>
      </c>
      <c r="E739" s="2" t="inlineStr">
        <is>
          <t>1121 Patterson Creek, Travisport, MN 55470</t>
        </is>
      </c>
      <c r="F739" s="2" t="inlineStr">
        <is>
          <t>Christophertown</t>
        </is>
      </c>
      <c r="G739" s="2" t="inlineStr">
        <is>
          <t>Belize</t>
        </is>
      </c>
      <c r="H739" s="2" t="inlineStr">
        <is>
          <t>share</t>
        </is>
      </c>
      <c r="I739" t="inlineStr">
        <is>
          <t>yes</t>
        </is>
      </c>
    </row>
    <row r="740">
      <c r="A740" s="2" t="inlineStr">
        <is>
          <t>C8058</t>
        </is>
      </c>
      <c r="B740" s="2" t="inlineStr">
        <is>
          <t>Kimberly Marquez</t>
        </is>
      </c>
      <c r="C740" s="2" t="inlineStr">
        <is>
          <t>gonzalezhaley@deleon.org</t>
        </is>
      </c>
      <c r="D740" s="2" t="inlineStr">
        <is>
          <t>(042)162-7639</t>
        </is>
      </c>
      <c r="E740" s="2" t="inlineStr">
        <is>
          <t>8607 Long Mountain Suite 936, Ruthshire, CO 08459</t>
        </is>
      </c>
      <c r="F740" s="2" t="inlineStr">
        <is>
          <t>New Brandonshire</t>
        </is>
      </c>
      <c r="G740" s="2" t="inlineStr">
        <is>
          <t>Montenegro</t>
        </is>
      </c>
      <c r="H740" s="2" t="inlineStr">
        <is>
          <t>traditional</t>
        </is>
      </c>
      <c r="I740" t="inlineStr">
        <is>
          <t>answer</t>
        </is>
      </c>
    </row>
    <row r="741">
      <c r="A741" s="2" t="inlineStr">
        <is>
          <t>C7687</t>
        </is>
      </c>
      <c r="B741" s="2" t="inlineStr">
        <is>
          <t>Billy Jones</t>
        </is>
      </c>
      <c r="C741" s="2" t="inlineStr">
        <is>
          <t>epayne@hotmail.com</t>
        </is>
      </c>
      <c r="D741" s="2" t="inlineStr">
        <is>
          <t>4692145663</t>
        </is>
      </c>
      <c r="E741" s="2" t="inlineStr">
        <is>
          <t>88956 Jack Tunnel, Port Darlene, MA 98146</t>
        </is>
      </c>
      <c r="F741" s="2" t="inlineStr">
        <is>
          <t>Nelsonview</t>
        </is>
      </c>
      <c r="G741" s="2" t="inlineStr">
        <is>
          <t>Dominican Republic</t>
        </is>
      </c>
      <c r="H741" s="2" t="inlineStr">
        <is>
          <t>seek</t>
        </is>
      </c>
      <c r="I741" t="inlineStr">
        <is>
          <t>wife</t>
        </is>
      </c>
    </row>
    <row r="742">
      <c r="A742" s="2" t="inlineStr">
        <is>
          <t>C4011</t>
        </is>
      </c>
      <c r="B742" s="2" t="inlineStr">
        <is>
          <t>Debra Lopez</t>
        </is>
      </c>
      <c r="C742" s="2" t="inlineStr">
        <is>
          <t>jacob58@hotmail.com</t>
        </is>
      </c>
      <c r="D742" s="2" t="inlineStr">
        <is>
          <t>(117)889-9347</t>
        </is>
      </c>
      <c r="E742" s="2" t="inlineStr">
        <is>
          <t>PSC 6484, Box 0590, APO AA 35589</t>
        </is>
      </c>
      <c r="F742" s="2" t="inlineStr">
        <is>
          <t>Samanthatown</t>
        </is>
      </c>
      <c r="G742" s="2" t="inlineStr">
        <is>
          <t>Chad</t>
        </is>
      </c>
      <c r="H742" s="2" t="inlineStr">
        <is>
          <t>candidate</t>
        </is>
      </c>
      <c r="I742" t="inlineStr">
        <is>
          <t>vote</t>
        </is>
      </c>
    </row>
    <row r="743">
      <c r="A743" s="2" t="inlineStr">
        <is>
          <t>C3435</t>
        </is>
      </c>
      <c r="B743" s="2" t="inlineStr">
        <is>
          <t>Allison Frank</t>
        </is>
      </c>
      <c r="C743" s="2" t="inlineStr">
        <is>
          <t>hawkinsrobert@gonzalez.info</t>
        </is>
      </c>
      <c r="D743" s="2" t="inlineStr">
        <is>
          <t>(782)615-5353x9656</t>
        </is>
      </c>
      <c r="E743" s="2" t="inlineStr">
        <is>
          <t>966 Hernandez Inlet Suite 412, New Jamesside, MD 63172</t>
        </is>
      </c>
      <c r="F743" s="2" t="inlineStr">
        <is>
          <t>Garciabury</t>
        </is>
      </c>
      <c r="G743" s="2" t="inlineStr">
        <is>
          <t>Mexico</t>
        </is>
      </c>
      <c r="H743" s="2" t="inlineStr">
        <is>
          <t>woman</t>
        </is>
      </c>
      <c r="I743" t="inlineStr">
        <is>
          <t>medical</t>
        </is>
      </c>
    </row>
    <row r="744">
      <c r="A744" s="2" t="inlineStr">
        <is>
          <t>C1592</t>
        </is>
      </c>
      <c r="B744" s="2" t="inlineStr">
        <is>
          <t>Michelle Johnson</t>
        </is>
      </c>
      <c r="C744" s="2" t="inlineStr">
        <is>
          <t>james61@hotmail.com</t>
        </is>
      </c>
      <c r="D744" s="2" t="inlineStr">
        <is>
          <t>001-172-860-9327x34019</t>
        </is>
      </c>
      <c r="E744" s="2" t="inlineStr">
        <is>
          <t>686 Paul Light Apt. 699, Daltonmouth, VT 19404</t>
        </is>
      </c>
      <c r="F744" s="2" t="inlineStr">
        <is>
          <t>North Autumn</t>
        </is>
      </c>
      <c r="G744" s="2" t="inlineStr">
        <is>
          <t>Qatar</t>
        </is>
      </c>
      <c r="H744" s="2" t="inlineStr">
        <is>
          <t>born</t>
        </is>
      </c>
      <c r="I744" t="inlineStr">
        <is>
          <t>plant</t>
        </is>
      </c>
    </row>
    <row r="745">
      <c r="A745" s="2" t="inlineStr">
        <is>
          <t>C4140</t>
        </is>
      </c>
      <c r="B745" s="2" t="inlineStr">
        <is>
          <t>James Riddle</t>
        </is>
      </c>
      <c r="C745" s="2" t="inlineStr">
        <is>
          <t>serranojohnny@barr-stewart.com</t>
        </is>
      </c>
      <c r="D745" s="2" t="inlineStr">
        <is>
          <t>1307800533</t>
        </is>
      </c>
      <c r="E745" s="2" t="inlineStr">
        <is>
          <t>56002 Cynthia Lake Apt. 040, Shellyburgh, MS 46829</t>
        </is>
      </c>
      <c r="F745" s="2" t="inlineStr">
        <is>
          <t>Jacobsfort</t>
        </is>
      </c>
      <c r="G745" s="2" t="inlineStr">
        <is>
          <t>Saint Kitts and Nevis</t>
        </is>
      </c>
      <c r="H745" s="2" t="inlineStr">
        <is>
          <t>probably</t>
        </is>
      </c>
      <c r="I745" t="inlineStr">
        <is>
          <t>whose</t>
        </is>
      </c>
    </row>
    <row r="746">
      <c r="A746" s="2" t="inlineStr">
        <is>
          <t>C7462</t>
        </is>
      </c>
      <c r="B746" s="2" t="inlineStr">
        <is>
          <t>Alisha Gray</t>
        </is>
      </c>
      <c r="C746" s="2" t="inlineStr">
        <is>
          <t>bscott@reese.com</t>
        </is>
      </c>
      <c r="D746" s="2" t="inlineStr">
        <is>
          <t>646.001.0424</t>
        </is>
      </c>
      <c r="E746" s="2" t="inlineStr">
        <is>
          <t>145 Dixon Brook Suite 706, Mcdonaldtown, NC 75966</t>
        </is>
      </c>
      <c r="F746" s="2" t="inlineStr">
        <is>
          <t>South Lisafort</t>
        </is>
      </c>
      <c r="G746" s="2" t="inlineStr">
        <is>
          <t>Svalbard &amp; Jan Mayen Islands</t>
        </is>
      </c>
      <c r="H746" s="2" t="inlineStr">
        <is>
          <t>suffer</t>
        </is>
      </c>
      <c r="I746" t="inlineStr">
        <is>
          <t>sure</t>
        </is>
      </c>
    </row>
    <row r="747">
      <c r="A747" s="2" t="inlineStr">
        <is>
          <t>C9913</t>
        </is>
      </c>
      <c r="B747" s="2" t="inlineStr">
        <is>
          <t>Emily Smith</t>
        </is>
      </c>
      <c r="C747" s="2" t="inlineStr">
        <is>
          <t>brenda86@burton.com</t>
        </is>
      </c>
      <c r="D747" s="2" t="inlineStr">
        <is>
          <t>402.496.1726</t>
        </is>
      </c>
      <c r="E747" s="2" t="inlineStr">
        <is>
          <t>9273 Brown Neck Apt. 451, Nicholaschester, MS 38767</t>
        </is>
      </c>
      <c r="F747" s="2" t="inlineStr">
        <is>
          <t>Port Ruben</t>
        </is>
      </c>
      <c r="G747" s="2" t="inlineStr">
        <is>
          <t>French Southern Territories</t>
        </is>
      </c>
      <c r="H747" s="2" t="inlineStr">
        <is>
          <t>fire</t>
        </is>
      </c>
      <c r="I747" t="inlineStr">
        <is>
          <t>late</t>
        </is>
      </c>
    </row>
    <row r="748">
      <c r="A748" s="2" t="inlineStr">
        <is>
          <t>C6387</t>
        </is>
      </c>
      <c r="B748" s="2" t="inlineStr">
        <is>
          <t>Judy Everett</t>
        </is>
      </c>
      <c r="C748" s="2" t="inlineStr">
        <is>
          <t>james95@chung.com</t>
        </is>
      </c>
      <c r="D748" s="2" t="inlineStr">
        <is>
          <t>3291536690</t>
        </is>
      </c>
      <c r="E748" s="2" t="inlineStr">
        <is>
          <t>235 Pierce Parks Suite 992, Port Derek, NC 68761</t>
        </is>
      </c>
      <c r="F748" s="2" t="inlineStr">
        <is>
          <t>Beardfurt</t>
        </is>
      </c>
      <c r="G748" s="2" t="inlineStr">
        <is>
          <t>Vanuatu</t>
        </is>
      </c>
      <c r="H748" s="2" t="inlineStr">
        <is>
          <t>image</t>
        </is>
      </c>
      <c r="I748" t="inlineStr">
        <is>
          <t>act</t>
        </is>
      </c>
    </row>
    <row r="749">
      <c r="A749" s="2" t="inlineStr">
        <is>
          <t>C5192</t>
        </is>
      </c>
      <c r="B749" s="2" t="inlineStr">
        <is>
          <t>Jade Robinson</t>
        </is>
      </c>
      <c r="C749" s="2" t="inlineStr">
        <is>
          <t>tim02@bradley-todd.org</t>
        </is>
      </c>
      <c r="D749" s="2" t="inlineStr">
        <is>
          <t>345-499-6608</t>
        </is>
      </c>
      <c r="E749" s="2" t="inlineStr">
        <is>
          <t>34854 Craig Creek Suite 549, East Tonyafort, VA 11106</t>
        </is>
      </c>
      <c r="F749" s="2" t="inlineStr">
        <is>
          <t>Lake Alexandraburgh</t>
        </is>
      </c>
      <c r="G749" s="2" t="inlineStr">
        <is>
          <t>Saint Pierre and Miquelon</t>
        </is>
      </c>
      <c r="H749" s="2" t="inlineStr">
        <is>
          <t>level</t>
        </is>
      </c>
      <c r="I749" t="inlineStr">
        <is>
          <t>wait</t>
        </is>
      </c>
    </row>
    <row r="750">
      <c r="A750" s="2" t="inlineStr">
        <is>
          <t>C7901</t>
        </is>
      </c>
      <c r="B750" s="2" t="inlineStr">
        <is>
          <t>Melissa Medina</t>
        </is>
      </c>
      <c r="C750" s="2" t="inlineStr">
        <is>
          <t>youngalan@holloway-sanchez.info</t>
        </is>
      </c>
      <c r="D750" s="2" t="inlineStr">
        <is>
          <t>8806935635</t>
        </is>
      </c>
      <c r="E750" s="2" t="inlineStr">
        <is>
          <t>Unit 2445 Box 8357, DPO AE 57310</t>
        </is>
      </c>
      <c r="F750" s="2" t="inlineStr">
        <is>
          <t>Mcgrathshire</t>
        </is>
      </c>
      <c r="G750" s="2" t="inlineStr">
        <is>
          <t>Australia</t>
        </is>
      </c>
      <c r="H750" s="2" t="inlineStr">
        <is>
          <t>resource</t>
        </is>
      </c>
      <c r="I750" t="inlineStr">
        <is>
          <t>rich</t>
        </is>
      </c>
    </row>
    <row r="751">
      <c r="A751" s="2" t="inlineStr">
        <is>
          <t>C1163</t>
        </is>
      </c>
      <c r="B751" s="2" t="inlineStr">
        <is>
          <t>Leslie Padilla</t>
        </is>
      </c>
      <c r="C751" s="2" t="inlineStr">
        <is>
          <t>jamie09@yahoo.com</t>
        </is>
      </c>
      <c r="D751" s="2" t="inlineStr">
        <is>
          <t>001-079-505-6595x6885</t>
        </is>
      </c>
      <c r="E751" s="2" t="inlineStr">
        <is>
          <t>78966 Weber Roads Apt. 926, Nancyton, ND 37652</t>
        </is>
      </c>
      <c r="F751" s="2" t="inlineStr">
        <is>
          <t>Youngfort</t>
        </is>
      </c>
      <c r="G751" s="2" t="inlineStr">
        <is>
          <t>Cameroon</t>
        </is>
      </c>
      <c r="H751" s="2" t="inlineStr">
        <is>
          <t>interest</t>
        </is>
      </c>
      <c r="I751" t="inlineStr">
        <is>
          <t>woman</t>
        </is>
      </c>
    </row>
    <row r="752">
      <c r="A752" s="2" t="inlineStr">
        <is>
          <t>C5345</t>
        </is>
      </c>
      <c r="B752" s="2" t="inlineStr">
        <is>
          <t>David Floyd</t>
        </is>
      </c>
      <c r="C752" s="2" t="inlineStr">
        <is>
          <t>grahamalbert@yahoo.com</t>
        </is>
      </c>
      <c r="D752" s="2" t="inlineStr">
        <is>
          <t>001-300-825-0200</t>
        </is>
      </c>
      <c r="E752" s="2" t="inlineStr">
        <is>
          <t>63510 Jasmine Summit Suite 876, Lake Jefferyshire, AL 08409</t>
        </is>
      </c>
      <c r="F752" s="2" t="inlineStr">
        <is>
          <t>Port Stephenhaven</t>
        </is>
      </c>
      <c r="G752" s="2" t="inlineStr">
        <is>
          <t>Tunisia</t>
        </is>
      </c>
      <c r="H752" s="2" t="inlineStr">
        <is>
          <t>agent</t>
        </is>
      </c>
      <c r="I752" t="inlineStr">
        <is>
          <t>green</t>
        </is>
      </c>
    </row>
    <row r="753">
      <c r="A753" s="2" t="inlineStr">
        <is>
          <t>C8003</t>
        </is>
      </c>
      <c r="B753" s="2" t="inlineStr">
        <is>
          <t>Randy Pierce</t>
        </is>
      </c>
      <c r="C753" s="2" t="inlineStr">
        <is>
          <t>samanthacastaneda@le.org</t>
        </is>
      </c>
      <c r="D753" s="2" t="inlineStr">
        <is>
          <t>776-117-4668</t>
        </is>
      </c>
      <c r="E753" s="2" t="inlineStr">
        <is>
          <t>9330 Ramirez Well, North Michaelland, ME 92749</t>
        </is>
      </c>
      <c r="F753" s="2" t="inlineStr">
        <is>
          <t>Lisamouth</t>
        </is>
      </c>
      <c r="G753" s="2" t="inlineStr">
        <is>
          <t>Greenland</t>
        </is>
      </c>
      <c r="H753" s="2" t="inlineStr">
        <is>
          <t>present</t>
        </is>
      </c>
      <c r="I753" t="inlineStr">
        <is>
          <t>either</t>
        </is>
      </c>
    </row>
    <row r="754">
      <c r="A754" s="2" t="inlineStr">
        <is>
          <t>C5135</t>
        </is>
      </c>
      <c r="B754" s="2" t="inlineStr">
        <is>
          <t>Lisa Washington</t>
        </is>
      </c>
      <c r="C754" s="2" t="inlineStr">
        <is>
          <t>kristinascott@gmail.com</t>
        </is>
      </c>
      <c r="D754" s="2" t="inlineStr">
        <is>
          <t>001-762-085-7146</t>
        </is>
      </c>
      <c r="E754" s="2" t="inlineStr">
        <is>
          <t>013 Debbie Unions Suite 642, Scottport, AK 90737</t>
        </is>
      </c>
      <c r="F754" s="2" t="inlineStr">
        <is>
          <t>Christinafort</t>
        </is>
      </c>
      <c r="G754" s="2" t="inlineStr">
        <is>
          <t>Saint Pierre and Miquelon</t>
        </is>
      </c>
      <c r="H754" s="2" t="inlineStr">
        <is>
          <t>before</t>
        </is>
      </c>
      <c r="I754" t="inlineStr">
        <is>
          <t>industry</t>
        </is>
      </c>
    </row>
    <row r="755">
      <c r="A755" s="2" t="inlineStr">
        <is>
          <t>C9838</t>
        </is>
      </c>
      <c r="B755" s="2" t="inlineStr">
        <is>
          <t>James Wilson</t>
        </is>
      </c>
      <c r="C755" s="2" t="inlineStr">
        <is>
          <t>hannaalexander@rodriguez.biz</t>
        </is>
      </c>
      <c r="D755" s="2" t="inlineStr">
        <is>
          <t>6804732502</t>
        </is>
      </c>
      <c r="E755" s="2" t="inlineStr">
        <is>
          <t>948 Maria Rest Suite 480, Leblancton, IN 73995</t>
        </is>
      </c>
      <c r="F755" s="2" t="inlineStr">
        <is>
          <t>Wesleyville</t>
        </is>
      </c>
      <c r="G755" s="2" t="inlineStr">
        <is>
          <t>Marshall Islands</t>
        </is>
      </c>
      <c r="H755" s="2" t="inlineStr">
        <is>
          <t>a</t>
        </is>
      </c>
      <c r="I755" t="inlineStr">
        <is>
          <t>course</t>
        </is>
      </c>
    </row>
    <row r="756">
      <c r="A756" s="2" t="inlineStr">
        <is>
          <t>C6205</t>
        </is>
      </c>
      <c r="B756" s="2" t="inlineStr">
        <is>
          <t>Makayla Berry</t>
        </is>
      </c>
      <c r="C756" s="2" t="inlineStr">
        <is>
          <t>karen26@gmail.com</t>
        </is>
      </c>
      <c r="D756" s="2" t="inlineStr">
        <is>
          <t>001-824-959-3085x444</t>
        </is>
      </c>
      <c r="E756" s="2" t="inlineStr">
        <is>
          <t>28196 Santana Expressway, Lake Jeffrey, MS 88089</t>
        </is>
      </c>
      <c r="F756" s="2" t="inlineStr">
        <is>
          <t>Lake Danielshire</t>
        </is>
      </c>
      <c r="G756" s="2" t="inlineStr">
        <is>
          <t>Antigua and Barbuda</t>
        </is>
      </c>
      <c r="H756" s="2" t="inlineStr">
        <is>
          <t>guess</t>
        </is>
      </c>
      <c r="I756" t="inlineStr">
        <is>
          <t>current</t>
        </is>
      </c>
    </row>
    <row r="757">
      <c r="A757" s="2" t="inlineStr">
        <is>
          <t>C3736</t>
        </is>
      </c>
      <c r="B757" s="2" t="inlineStr">
        <is>
          <t>Breanna Griffin</t>
        </is>
      </c>
      <c r="C757" s="2" t="inlineStr">
        <is>
          <t>darrelllong@gmail.com</t>
        </is>
      </c>
      <c r="D757" s="2" t="inlineStr">
        <is>
          <t>5010178196</t>
        </is>
      </c>
      <c r="E757" s="2" t="inlineStr">
        <is>
          <t>18644 Tate Rapids Suite 868, West Susanton, KS 90092</t>
        </is>
      </c>
      <c r="F757" s="2" t="inlineStr">
        <is>
          <t>Barnestown</t>
        </is>
      </c>
      <c r="G757" s="2" t="inlineStr">
        <is>
          <t>United States Virgin Islands</t>
        </is>
      </c>
      <c r="H757" s="2" t="inlineStr">
        <is>
          <t>reach</t>
        </is>
      </c>
      <c r="I757" t="inlineStr">
        <is>
          <t>administration</t>
        </is>
      </c>
    </row>
    <row r="758">
      <c r="A758" s="2" t="inlineStr">
        <is>
          <t>C4373</t>
        </is>
      </c>
      <c r="B758" s="2" t="inlineStr">
        <is>
          <t>Robert Frye</t>
        </is>
      </c>
      <c r="C758" s="2" t="inlineStr">
        <is>
          <t>delgadodonald@warner.com</t>
        </is>
      </c>
      <c r="D758" s="2" t="inlineStr">
        <is>
          <t>195-189-1582x593</t>
        </is>
      </c>
      <c r="E758" s="2" t="inlineStr">
        <is>
          <t>773 Sonya Corners, Christopherchester, AZ 04080</t>
        </is>
      </c>
      <c r="F758" s="2" t="inlineStr">
        <is>
          <t>Travisville</t>
        </is>
      </c>
      <c r="G758" s="2" t="inlineStr">
        <is>
          <t>Pakistan</t>
        </is>
      </c>
      <c r="H758" s="2" t="inlineStr">
        <is>
          <t>artist</t>
        </is>
      </c>
      <c r="I758" t="inlineStr">
        <is>
          <t>pretty</t>
        </is>
      </c>
    </row>
    <row r="759">
      <c r="A759" s="2" t="inlineStr">
        <is>
          <t>C9078</t>
        </is>
      </c>
      <c r="B759" s="2" t="inlineStr">
        <is>
          <t>Jacqueline Alvarez</t>
        </is>
      </c>
      <c r="C759" s="2" t="inlineStr">
        <is>
          <t>katiekoch@hotmail.com</t>
        </is>
      </c>
      <c r="D759" s="2" t="inlineStr">
        <is>
          <t>229-937-0130x0215</t>
        </is>
      </c>
      <c r="E759" s="2" t="inlineStr">
        <is>
          <t>653 Jones Pines Apt. 150, Nicolechester, CA 68483</t>
        </is>
      </c>
      <c r="F759" s="2" t="inlineStr">
        <is>
          <t>Lewisland</t>
        </is>
      </c>
      <c r="G759" s="2" t="inlineStr">
        <is>
          <t>Belgium</t>
        </is>
      </c>
      <c r="H759" s="2" t="inlineStr">
        <is>
          <t>thank</t>
        </is>
      </c>
      <c r="I759" t="inlineStr">
        <is>
          <t>end</t>
        </is>
      </c>
    </row>
    <row r="760">
      <c r="A760" s="2" t="inlineStr">
        <is>
          <t>C6069</t>
        </is>
      </c>
      <c r="B760" s="2" t="inlineStr">
        <is>
          <t>Nicholas Ortiz</t>
        </is>
      </c>
      <c r="C760" s="2" t="inlineStr">
        <is>
          <t>jennylowe@hotmail.com</t>
        </is>
      </c>
      <c r="D760" s="2" t="inlineStr">
        <is>
          <t>676-692-5829x5382</t>
        </is>
      </c>
      <c r="E760" s="2" t="inlineStr">
        <is>
          <t>25123 Jessica Extensions, Wileyburgh, RI 65159</t>
        </is>
      </c>
      <c r="F760" s="2" t="inlineStr">
        <is>
          <t>South William</t>
        </is>
      </c>
      <c r="G760" s="2" t="inlineStr">
        <is>
          <t>Kyrgyz Republic</t>
        </is>
      </c>
      <c r="H760" s="2" t="inlineStr">
        <is>
          <t>young</t>
        </is>
      </c>
      <c r="I760" t="inlineStr">
        <is>
          <t>no</t>
        </is>
      </c>
    </row>
    <row r="761">
      <c r="A761" s="2" t="inlineStr">
        <is>
          <t>C9113</t>
        </is>
      </c>
      <c r="B761" s="2" t="inlineStr">
        <is>
          <t>Gregory Rosales</t>
        </is>
      </c>
      <c r="C761" s="2" t="inlineStr">
        <is>
          <t>nlewis@jenkins.com</t>
        </is>
      </c>
      <c r="D761" s="2" t="inlineStr">
        <is>
          <t>849.911.5512x90976</t>
        </is>
      </c>
      <c r="E761" s="2" t="inlineStr">
        <is>
          <t>0459 Brady Drive, Thompsonside, IL 15213</t>
        </is>
      </c>
      <c r="F761" s="2" t="inlineStr">
        <is>
          <t>West Rachelbury</t>
        </is>
      </c>
      <c r="G761" s="2" t="inlineStr">
        <is>
          <t>Falkland Islands (Malvinas)</t>
        </is>
      </c>
      <c r="H761" s="2" t="inlineStr">
        <is>
          <t>court</t>
        </is>
      </c>
      <c r="I761" t="inlineStr">
        <is>
          <t>him</t>
        </is>
      </c>
    </row>
    <row r="762">
      <c r="A762" s="2" t="inlineStr">
        <is>
          <t>C3994</t>
        </is>
      </c>
      <c r="B762" s="2" t="inlineStr">
        <is>
          <t>Jill Fernandez</t>
        </is>
      </c>
      <c r="C762" s="2" t="inlineStr">
        <is>
          <t>craigmaria@rodriguez.biz</t>
        </is>
      </c>
      <c r="D762" s="2" t="inlineStr">
        <is>
          <t>882.003.4958x11592</t>
        </is>
      </c>
      <c r="E762" s="2" t="inlineStr">
        <is>
          <t>3623 Patricia Loaf, Keithfurt, AK 21025</t>
        </is>
      </c>
      <c r="F762" s="2" t="inlineStr">
        <is>
          <t>Cummingsborough</t>
        </is>
      </c>
      <c r="G762" s="2" t="inlineStr">
        <is>
          <t>Bahrain</t>
        </is>
      </c>
      <c r="H762" s="2" t="inlineStr">
        <is>
          <t>bar</t>
        </is>
      </c>
      <c r="I762" t="inlineStr">
        <is>
          <t>outside</t>
        </is>
      </c>
    </row>
    <row r="763">
      <c r="A763" s="2" t="inlineStr">
        <is>
          <t>C4968</t>
        </is>
      </c>
      <c r="B763" s="2" t="inlineStr">
        <is>
          <t>Michael Burton</t>
        </is>
      </c>
      <c r="C763" s="2" t="inlineStr">
        <is>
          <t>jennifer02@morgan.info</t>
        </is>
      </c>
      <c r="D763" s="2" t="inlineStr">
        <is>
          <t>0754635276</t>
        </is>
      </c>
      <c r="E763" s="2" t="inlineStr">
        <is>
          <t>8204 Maria Pine, Lake Judy, MO 92539</t>
        </is>
      </c>
      <c r="F763" s="2" t="inlineStr">
        <is>
          <t>East Aaron</t>
        </is>
      </c>
      <c r="G763" s="2" t="inlineStr">
        <is>
          <t>Cuba</t>
        </is>
      </c>
      <c r="H763" s="2" t="inlineStr">
        <is>
          <t>election</t>
        </is>
      </c>
      <c r="I763" t="inlineStr">
        <is>
          <t>line</t>
        </is>
      </c>
    </row>
    <row r="764">
      <c r="A764" s="2" t="inlineStr">
        <is>
          <t>C3862</t>
        </is>
      </c>
      <c r="B764" s="2" t="inlineStr">
        <is>
          <t>Jessica Obrien</t>
        </is>
      </c>
      <c r="C764" s="2" t="inlineStr">
        <is>
          <t>webbsarah@hotmail.com</t>
        </is>
      </c>
      <c r="D764" s="2" t="inlineStr">
        <is>
          <t>618.751.0450</t>
        </is>
      </c>
      <c r="E764" s="2" t="inlineStr">
        <is>
          <t>26045 Joseph Branch, Port Candice, CT 00719</t>
        </is>
      </c>
      <c r="F764" s="2" t="inlineStr">
        <is>
          <t>Jasonborough</t>
        </is>
      </c>
      <c r="G764" s="2" t="inlineStr">
        <is>
          <t>Guam</t>
        </is>
      </c>
      <c r="H764" s="2" t="inlineStr">
        <is>
          <t>popular</t>
        </is>
      </c>
      <c r="I764" t="inlineStr">
        <is>
          <t>sometimes</t>
        </is>
      </c>
    </row>
    <row r="765">
      <c r="A765" s="2" t="inlineStr">
        <is>
          <t>C1289</t>
        </is>
      </c>
      <c r="B765" s="2" t="inlineStr">
        <is>
          <t>Ashlee Smith</t>
        </is>
      </c>
      <c r="C765" s="2" t="inlineStr">
        <is>
          <t>meganbradshaw@hotmail.com</t>
        </is>
      </c>
      <c r="D765" s="2" t="inlineStr">
        <is>
          <t>714-420-4475</t>
        </is>
      </c>
      <c r="E765" s="2" t="inlineStr">
        <is>
          <t>8294 Jackson Roads, South Sarah, DC 64369</t>
        </is>
      </c>
      <c r="F765" s="2" t="inlineStr">
        <is>
          <t>Ericaland</t>
        </is>
      </c>
      <c r="G765" s="2" t="inlineStr">
        <is>
          <t>Grenada</t>
        </is>
      </c>
      <c r="H765" s="2" t="inlineStr">
        <is>
          <t>administration</t>
        </is>
      </c>
      <c r="I765" t="inlineStr">
        <is>
          <t>remember</t>
        </is>
      </c>
    </row>
    <row r="766">
      <c r="A766" s="2" t="inlineStr">
        <is>
          <t>C2295</t>
        </is>
      </c>
      <c r="B766" s="2" t="inlineStr">
        <is>
          <t>Amanda Turner</t>
        </is>
      </c>
      <c r="C766" s="2" t="inlineStr">
        <is>
          <t>michaelreeves@yahoo.com</t>
        </is>
      </c>
      <c r="D766" s="2" t="inlineStr">
        <is>
          <t>(011)362-8750x9030</t>
        </is>
      </c>
      <c r="E766" s="2" t="inlineStr">
        <is>
          <t>7106 Buck Villages, Joshuabury, FL 51374</t>
        </is>
      </c>
      <c r="F766" s="2" t="inlineStr">
        <is>
          <t>Hernandezhaven</t>
        </is>
      </c>
      <c r="G766" s="2" t="inlineStr">
        <is>
          <t>Guadeloupe</t>
        </is>
      </c>
      <c r="H766" s="2" t="inlineStr">
        <is>
          <t>best</t>
        </is>
      </c>
      <c r="I766" t="inlineStr">
        <is>
          <t>old</t>
        </is>
      </c>
    </row>
    <row r="767">
      <c r="A767" s="2" t="inlineStr">
        <is>
          <t>C1128</t>
        </is>
      </c>
      <c r="B767" s="2" t="inlineStr">
        <is>
          <t>Zachary Moore</t>
        </is>
      </c>
      <c r="C767" s="2" t="inlineStr">
        <is>
          <t>dianapalmer@gmail.com</t>
        </is>
      </c>
      <c r="D767" s="2" t="inlineStr">
        <is>
          <t>686.241.1986</t>
        </is>
      </c>
      <c r="E767" s="2" t="inlineStr">
        <is>
          <t>8451 Carl Rest, New Michael, CA 29778</t>
        </is>
      </c>
      <c r="F767" s="2" t="inlineStr">
        <is>
          <t>North Travisville</t>
        </is>
      </c>
      <c r="G767" s="2" t="inlineStr">
        <is>
          <t>Jordan</t>
        </is>
      </c>
      <c r="H767" s="2" t="inlineStr">
        <is>
          <t>take</t>
        </is>
      </c>
      <c r="I767" t="inlineStr">
        <is>
          <t>computer</t>
        </is>
      </c>
    </row>
    <row r="768">
      <c r="A768" s="2" t="inlineStr">
        <is>
          <t>C1350</t>
        </is>
      </c>
      <c r="B768" s="2" t="inlineStr">
        <is>
          <t>Jennifer Anderson</t>
        </is>
      </c>
      <c r="C768" s="2" t="inlineStr">
        <is>
          <t>beckycaldwell@gmail.com</t>
        </is>
      </c>
      <c r="D768" s="2" t="inlineStr">
        <is>
          <t>001-497-341-4175x2101</t>
        </is>
      </c>
      <c r="E768" s="2" t="inlineStr">
        <is>
          <t>051 Teresa Field Suite 069, North Holly, MN 34023</t>
        </is>
      </c>
      <c r="F768" s="2" t="inlineStr">
        <is>
          <t>Robertland</t>
        </is>
      </c>
      <c r="G768" s="2" t="inlineStr">
        <is>
          <t>Gambia</t>
        </is>
      </c>
      <c r="H768" s="2" t="inlineStr">
        <is>
          <t>American</t>
        </is>
      </c>
      <c r="I768" t="inlineStr">
        <is>
          <t>feel</t>
        </is>
      </c>
    </row>
    <row r="769">
      <c r="A769" s="2" t="inlineStr">
        <is>
          <t>C7651</t>
        </is>
      </c>
      <c r="B769" s="2" t="inlineStr">
        <is>
          <t>Russell Zimmerman</t>
        </is>
      </c>
      <c r="C769" s="2" t="inlineStr">
        <is>
          <t>seanortiz@hughes.info</t>
        </is>
      </c>
      <c r="D769" s="2" t="inlineStr">
        <is>
          <t>536.897.4360</t>
        </is>
      </c>
      <c r="E769" s="2" t="inlineStr">
        <is>
          <t>2724 Mitchell Cove Apt. 441, Emilystad, LA 59455</t>
        </is>
      </c>
      <c r="F769" s="2" t="inlineStr">
        <is>
          <t>South Curtisside</t>
        </is>
      </c>
      <c r="G769" s="2" t="inlineStr">
        <is>
          <t>Brazil</t>
        </is>
      </c>
      <c r="H769" s="2" t="inlineStr">
        <is>
          <t>move</t>
        </is>
      </c>
      <c r="I769" t="inlineStr">
        <is>
          <t>thus</t>
        </is>
      </c>
    </row>
    <row r="770">
      <c r="A770" s="2" t="inlineStr">
        <is>
          <t>C3891</t>
        </is>
      </c>
      <c r="B770" s="2" t="inlineStr">
        <is>
          <t>Anthony Smith</t>
        </is>
      </c>
      <c r="C770" s="2" t="inlineStr">
        <is>
          <t>arnoldsara@gmail.com</t>
        </is>
      </c>
      <c r="D770" s="2" t="inlineStr">
        <is>
          <t>295.811.5121x6405</t>
        </is>
      </c>
      <c r="E770" s="2" t="inlineStr">
        <is>
          <t>96012 Linda Throughway Apt. 040, East Alexander, CA 59139</t>
        </is>
      </c>
      <c r="F770" s="2" t="inlineStr">
        <is>
          <t>West Edwin</t>
        </is>
      </c>
      <c r="G770" s="2" t="inlineStr">
        <is>
          <t>Haiti</t>
        </is>
      </c>
      <c r="H770" s="2" t="inlineStr">
        <is>
          <t>film</t>
        </is>
      </c>
      <c r="I770" t="inlineStr">
        <is>
          <t>information</t>
        </is>
      </c>
    </row>
    <row r="771">
      <c r="A771" s="2" t="inlineStr">
        <is>
          <t>C4694</t>
        </is>
      </c>
      <c r="B771" s="2" t="inlineStr">
        <is>
          <t>Bobby Henderson</t>
        </is>
      </c>
      <c r="C771" s="2" t="inlineStr">
        <is>
          <t>diane66@gmail.com</t>
        </is>
      </c>
      <c r="D771" s="2" t="inlineStr">
        <is>
          <t>+1-228-405-5424x3183</t>
        </is>
      </c>
      <c r="E771" s="2" t="inlineStr">
        <is>
          <t>7985 Wong Center Apt. 222, Ernestport, MN 27469</t>
        </is>
      </c>
      <c r="F771" s="2" t="inlineStr">
        <is>
          <t>Hughesfurt</t>
        </is>
      </c>
      <c r="G771" s="2" t="inlineStr">
        <is>
          <t>Guatemala</t>
        </is>
      </c>
      <c r="H771" s="2" t="inlineStr">
        <is>
          <t>president</t>
        </is>
      </c>
      <c r="I771" t="inlineStr">
        <is>
          <t>provide</t>
        </is>
      </c>
    </row>
    <row r="772">
      <c r="A772" s="2" t="inlineStr">
        <is>
          <t>C2886</t>
        </is>
      </c>
      <c r="B772" s="2" t="inlineStr">
        <is>
          <t>Patrick Whitney</t>
        </is>
      </c>
      <c r="C772" s="2" t="inlineStr">
        <is>
          <t>cgonzales@gmail.com</t>
        </is>
      </c>
      <c r="D772" s="2" t="inlineStr">
        <is>
          <t>3837283170</t>
        </is>
      </c>
      <c r="E772" s="2" t="inlineStr">
        <is>
          <t>521 Smith Well, Jonesbury, AZ 43726</t>
        </is>
      </c>
      <c r="F772" s="2" t="inlineStr">
        <is>
          <t>Port Michaelmouth</t>
        </is>
      </c>
      <c r="G772" s="2" t="inlineStr">
        <is>
          <t>Antigua and Barbuda</t>
        </is>
      </c>
      <c r="H772" s="2" t="inlineStr">
        <is>
          <t>kid</t>
        </is>
      </c>
      <c r="I772" t="inlineStr">
        <is>
          <t>laugh</t>
        </is>
      </c>
    </row>
    <row r="773">
      <c r="A773" s="2" t="inlineStr">
        <is>
          <t>C5463</t>
        </is>
      </c>
      <c r="B773" s="2" t="inlineStr">
        <is>
          <t>Crystal Lambert</t>
        </is>
      </c>
      <c r="C773" s="2" t="inlineStr">
        <is>
          <t>james75@hotmail.com</t>
        </is>
      </c>
      <c r="D773" s="2" t="inlineStr">
        <is>
          <t>9357764508</t>
        </is>
      </c>
      <c r="E773" s="2" t="inlineStr">
        <is>
          <t>46658 Sheena Mission Apt. 232, Jasonfort, OH 77946</t>
        </is>
      </c>
      <c r="F773" s="2" t="inlineStr">
        <is>
          <t>North Seanfurt</t>
        </is>
      </c>
      <c r="G773" s="2" t="inlineStr">
        <is>
          <t>Burkina Faso</t>
        </is>
      </c>
      <c r="H773" s="2" t="inlineStr">
        <is>
          <t>develop</t>
        </is>
      </c>
      <c r="I773" t="inlineStr">
        <is>
          <t>nothing</t>
        </is>
      </c>
    </row>
    <row r="774">
      <c r="A774" s="2" t="inlineStr">
        <is>
          <t>C4697</t>
        </is>
      </c>
      <c r="B774" s="2" t="inlineStr">
        <is>
          <t>Katie Potter</t>
        </is>
      </c>
      <c r="C774" s="2" t="inlineStr">
        <is>
          <t>price@gmail.com</t>
        </is>
      </c>
      <c r="D774" s="2" t="inlineStr">
        <is>
          <t>(638)150-5003</t>
        </is>
      </c>
      <c r="E774" s="2" t="inlineStr">
        <is>
          <t>8278 Linda Mills Suite 150, West Desiree, NH 95900</t>
        </is>
      </c>
      <c r="F774" s="2" t="inlineStr">
        <is>
          <t>Port Alanport</t>
        </is>
      </c>
      <c r="G774" s="2" t="inlineStr">
        <is>
          <t>Turkey</t>
        </is>
      </c>
      <c r="H774" s="2" t="inlineStr">
        <is>
          <t>nothing</t>
        </is>
      </c>
      <c r="I774" t="inlineStr">
        <is>
          <t>drop</t>
        </is>
      </c>
    </row>
    <row r="775">
      <c r="A775" s="2" t="inlineStr">
        <is>
          <t>C7620</t>
        </is>
      </c>
      <c r="B775" s="2" t="inlineStr">
        <is>
          <t>Charlotte Harvey</t>
        </is>
      </c>
      <c r="C775" s="2" t="inlineStr">
        <is>
          <t>johnathan68@yahoo.com</t>
        </is>
      </c>
      <c r="D775" s="2" t="inlineStr">
        <is>
          <t>980.939.6811</t>
        </is>
      </c>
      <c r="E775" s="2" t="inlineStr">
        <is>
          <t>7687 Nicole Village Apt. 540, Jamesburgh, ME 43403</t>
        </is>
      </c>
      <c r="F775" s="2" t="inlineStr">
        <is>
          <t>Melissastad</t>
        </is>
      </c>
      <c r="G775" s="2" t="inlineStr">
        <is>
          <t>Bolivia</t>
        </is>
      </c>
      <c r="H775" s="2" t="inlineStr">
        <is>
          <t>less</t>
        </is>
      </c>
      <c r="I775" t="inlineStr">
        <is>
          <t>wear</t>
        </is>
      </c>
    </row>
    <row r="776">
      <c r="A776" s="2" t="inlineStr">
        <is>
          <t>C5794</t>
        </is>
      </c>
      <c r="B776" s="2" t="inlineStr">
        <is>
          <t>Elizabeth Bennett</t>
        </is>
      </c>
      <c r="C776" s="2" t="inlineStr">
        <is>
          <t>blackjean@hotmail.com</t>
        </is>
      </c>
      <c r="D776" s="2" t="inlineStr">
        <is>
          <t>0951395428</t>
        </is>
      </c>
      <c r="E776" s="2" t="inlineStr">
        <is>
          <t>32658 Crystal Prairie, Leeside, NV 55979</t>
        </is>
      </c>
      <c r="F776" s="2" t="inlineStr">
        <is>
          <t>Allenstad</t>
        </is>
      </c>
      <c r="G776" s="2" t="inlineStr">
        <is>
          <t>Zimbabwe</t>
        </is>
      </c>
      <c r="H776" s="2" t="inlineStr">
        <is>
          <t>lot</t>
        </is>
      </c>
      <c r="I776" t="inlineStr">
        <is>
          <t>news</t>
        </is>
      </c>
    </row>
    <row r="777">
      <c r="A777" s="2" t="inlineStr">
        <is>
          <t>C1978</t>
        </is>
      </c>
      <c r="B777" s="2" t="inlineStr">
        <is>
          <t>Brandi Calhoun</t>
        </is>
      </c>
      <c r="C777" s="2" t="inlineStr">
        <is>
          <t>christopherjackson@yahoo.com</t>
        </is>
      </c>
      <c r="D777" s="2" t="inlineStr">
        <is>
          <t>+1-448-161-6858x895</t>
        </is>
      </c>
      <c r="E777" s="2" t="inlineStr">
        <is>
          <t>060 Mark Trail, Drewchester, NE 83410</t>
        </is>
      </c>
      <c r="F777" s="2" t="inlineStr">
        <is>
          <t>South Jennifertown</t>
        </is>
      </c>
      <c r="G777" s="2" t="inlineStr">
        <is>
          <t>Lao People's Democratic Republic</t>
        </is>
      </c>
      <c r="H777" s="2" t="inlineStr">
        <is>
          <t>defense</t>
        </is>
      </c>
      <c r="I777" t="inlineStr">
        <is>
          <t>piece</t>
        </is>
      </c>
    </row>
    <row r="778">
      <c r="A778" s="2" t="inlineStr">
        <is>
          <t>C9604</t>
        </is>
      </c>
      <c r="B778" s="2" t="inlineStr">
        <is>
          <t>Christopher Wilson</t>
        </is>
      </c>
      <c r="C778" s="2" t="inlineStr">
        <is>
          <t>thomas84@johnson-harvey.com</t>
        </is>
      </c>
      <c r="D778" s="2" t="inlineStr">
        <is>
          <t>+1-790-274-5301x204</t>
        </is>
      </c>
      <c r="E778" s="2" t="inlineStr">
        <is>
          <t>7492 Clayton Gateway Suite 933, Port Sandrafort, NC 08952</t>
        </is>
      </c>
      <c r="F778" s="2" t="inlineStr">
        <is>
          <t>Alexanderborough</t>
        </is>
      </c>
      <c r="G778" s="2" t="inlineStr">
        <is>
          <t>Italy</t>
        </is>
      </c>
      <c r="H778" s="2" t="inlineStr">
        <is>
          <t>interest</t>
        </is>
      </c>
      <c r="I778" t="inlineStr">
        <is>
          <t>nation</t>
        </is>
      </c>
    </row>
    <row r="779">
      <c r="A779" s="2" t="inlineStr">
        <is>
          <t>C7425</t>
        </is>
      </c>
      <c r="B779" s="2" t="inlineStr">
        <is>
          <t>Erik Davenport</t>
        </is>
      </c>
      <c r="C779" s="2" t="inlineStr">
        <is>
          <t>david34@green.biz</t>
        </is>
      </c>
      <c r="D779" s="2" t="inlineStr">
        <is>
          <t>(376)215-6680</t>
        </is>
      </c>
      <c r="E779" s="2" t="inlineStr">
        <is>
          <t>44428 David Port Apt. 761, Christopherbury, DC 36284</t>
        </is>
      </c>
      <c r="F779" s="2" t="inlineStr">
        <is>
          <t>East Darlenemouth</t>
        </is>
      </c>
      <c r="G779" s="2" t="inlineStr">
        <is>
          <t>Jordan</t>
        </is>
      </c>
      <c r="H779" s="2" t="inlineStr">
        <is>
          <t>born</t>
        </is>
      </c>
      <c r="I779" t="inlineStr">
        <is>
          <t>matter</t>
        </is>
      </c>
    </row>
    <row r="780">
      <c r="A780" s="2" t="inlineStr">
        <is>
          <t>C7973</t>
        </is>
      </c>
      <c r="B780" s="2" t="inlineStr">
        <is>
          <t>Mason Wilcox</t>
        </is>
      </c>
      <c r="C780" s="2" t="inlineStr">
        <is>
          <t>gkeller@ferguson.com</t>
        </is>
      </c>
      <c r="D780" s="2" t="inlineStr">
        <is>
          <t>729-990-7779</t>
        </is>
      </c>
      <c r="E780" s="2" t="inlineStr">
        <is>
          <t>93415 Susan Dale, Lake Susanton, SC 74131</t>
        </is>
      </c>
      <c r="F780" s="2" t="inlineStr">
        <is>
          <t>Mullinsville</t>
        </is>
      </c>
      <c r="G780" s="2" t="inlineStr">
        <is>
          <t>Botswana</t>
        </is>
      </c>
      <c r="H780" s="2" t="inlineStr">
        <is>
          <t>always</t>
        </is>
      </c>
      <c r="I780" t="inlineStr">
        <is>
          <t>election</t>
        </is>
      </c>
    </row>
    <row r="781">
      <c r="A781" s="2" t="inlineStr">
        <is>
          <t>C1980</t>
        </is>
      </c>
      <c r="B781" s="2" t="inlineStr">
        <is>
          <t>Jimmy Bates</t>
        </is>
      </c>
      <c r="C781" s="2" t="inlineStr">
        <is>
          <t>weaverdeanna@campbell-ballard.com</t>
        </is>
      </c>
      <c r="D781" s="2" t="inlineStr">
        <is>
          <t>+1-308-340-8019x683</t>
        </is>
      </c>
      <c r="E781" s="2" t="inlineStr">
        <is>
          <t>704 Jennifer Pine Suite 228, Anthonyton, MD 70449</t>
        </is>
      </c>
      <c r="F781" s="2" t="inlineStr">
        <is>
          <t>New Warren</t>
        </is>
      </c>
      <c r="G781" s="2" t="inlineStr">
        <is>
          <t>Solomon Islands</t>
        </is>
      </c>
      <c r="H781" s="2" t="inlineStr">
        <is>
          <t>most</t>
        </is>
      </c>
      <c r="I781" t="inlineStr">
        <is>
          <t>heavy</t>
        </is>
      </c>
    </row>
    <row r="782">
      <c r="A782" s="2" t="inlineStr">
        <is>
          <t>C9272</t>
        </is>
      </c>
      <c r="B782" s="2" t="inlineStr">
        <is>
          <t>Diana Garcia</t>
        </is>
      </c>
      <c r="C782" s="2" t="inlineStr">
        <is>
          <t>ebean@yahoo.com</t>
        </is>
      </c>
      <c r="D782" s="2" t="inlineStr">
        <is>
          <t>+1-387-685-5354</t>
        </is>
      </c>
      <c r="E782" s="2" t="inlineStr">
        <is>
          <t>0933 Evans Hills, Anthonymouth, RI 64008</t>
        </is>
      </c>
      <c r="F782" s="2" t="inlineStr">
        <is>
          <t>Cherylchester</t>
        </is>
      </c>
      <c r="G782" s="2" t="inlineStr">
        <is>
          <t>Palau</t>
        </is>
      </c>
      <c r="H782" s="2" t="inlineStr">
        <is>
          <t>ability</t>
        </is>
      </c>
      <c r="I782" t="inlineStr">
        <is>
          <t>rich</t>
        </is>
      </c>
    </row>
    <row r="783">
      <c r="A783" s="2" t="inlineStr">
        <is>
          <t>C1949</t>
        </is>
      </c>
      <c r="B783" s="2" t="inlineStr">
        <is>
          <t>William Norton</t>
        </is>
      </c>
      <c r="C783" s="2" t="inlineStr">
        <is>
          <t>charles67@nguyen-white.com</t>
        </is>
      </c>
      <c r="D783" s="2" t="inlineStr">
        <is>
          <t>550.142.1248x247</t>
        </is>
      </c>
      <c r="E783" s="2" t="inlineStr">
        <is>
          <t>081 Hines Fields Apt. 252, Davidstad, SC 77363</t>
        </is>
      </c>
      <c r="F783" s="2" t="inlineStr">
        <is>
          <t>Lake Amy</t>
        </is>
      </c>
      <c r="G783" s="2" t="inlineStr">
        <is>
          <t>Norfolk Island</t>
        </is>
      </c>
      <c r="H783" s="2" t="inlineStr">
        <is>
          <t>goal</t>
        </is>
      </c>
      <c r="I783" t="inlineStr">
        <is>
          <t>reach</t>
        </is>
      </c>
    </row>
    <row r="784">
      <c r="A784" s="2" t="inlineStr">
        <is>
          <t>C6232</t>
        </is>
      </c>
      <c r="B784" s="2" t="inlineStr">
        <is>
          <t>Paula Hernandez</t>
        </is>
      </c>
      <c r="C784" s="2" t="inlineStr">
        <is>
          <t>jasonhodges@hotmail.com</t>
        </is>
      </c>
      <c r="D784" s="2" t="inlineStr">
        <is>
          <t>(132)097-8027x082</t>
        </is>
      </c>
      <c r="E784" s="2" t="inlineStr">
        <is>
          <t>98403 Richardson Path Suite 391, Henryport, WY 78098</t>
        </is>
      </c>
      <c r="F784" s="2" t="inlineStr">
        <is>
          <t>New Brittneyhaven</t>
        </is>
      </c>
      <c r="G784" s="2" t="inlineStr">
        <is>
          <t>Bouvet Island (Bouvetoya)</t>
        </is>
      </c>
      <c r="H784" s="2" t="inlineStr">
        <is>
          <t>street</t>
        </is>
      </c>
      <c r="I784" t="inlineStr">
        <is>
          <t>pay</t>
        </is>
      </c>
    </row>
    <row r="785">
      <c r="A785" s="2" t="inlineStr">
        <is>
          <t>C9892</t>
        </is>
      </c>
      <c r="B785" s="2" t="inlineStr">
        <is>
          <t>Marcus Goodman</t>
        </is>
      </c>
      <c r="C785" s="2" t="inlineStr">
        <is>
          <t>billy94@gmail.com</t>
        </is>
      </c>
      <c r="D785" s="2" t="inlineStr">
        <is>
          <t>078.651.2441x306</t>
        </is>
      </c>
      <c r="E785" s="2" t="inlineStr">
        <is>
          <t>9058 James Roads Suite 613, West Richardport, MD 11793</t>
        </is>
      </c>
      <c r="F785" s="2" t="inlineStr">
        <is>
          <t>South Jonathanstad</t>
        </is>
      </c>
      <c r="G785" s="2" t="inlineStr">
        <is>
          <t>Zambia</t>
        </is>
      </c>
      <c r="H785" s="2" t="inlineStr">
        <is>
          <t>describe</t>
        </is>
      </c>
      <c r="I785" t="inlineStr">
        <is>
          <t>test</t>
        </is>
      </c>
    </row>
    <row r="786">
      <c r="A786" s="2" t="inlineStr">
        <is>
          <t>C4172</t>
        </is>
      </c>
      <c r="B786" s="2" t="inlineStr">
        <is>
          <t>Kelly Gilmore</t>
        </is>
      </c>
      <c r="C786" s="2" t="inlineStr">
        <is>
          <t>michelle57@walton.com</t>
        </is>
      </c>
      <c r="D786" s="2" t="inlineStr">
        <is>
          <t>4458202025</t>
        </is>
      </c>
      <c r="E786" s="2" t="inlineStr">
        <is>
          <t>155 Aaron Point, Margaretborough, RI 38706</t>
        </is>
      </c>
      <c r="F786" s="2" t="inlineStr">
        <is>
          <t>South Bobbyberg</t>
        </is>
      </c>
      <c r="G786" s="2" t="inlineStr">
        <is>
          <t>Saint Barthelemy</t>
        </is>
      </c>
      <c r="H786" s="2" t="inlineStr">
        <is>
          <t>article</t>
        </is>
      </c>
      <c r="I786" t="inlineStr">
        <is>
          <t>thing</t>
        </is>
      </c>
    </row>
    <row r="787">
      <c r="A787" s="2" t="inlineStr">
        <is>
          <t>C6842</t>
        </is>
      </c>
      <c r="B787" s="2" t="inlineStr">
        <is>
          <t>Danielle Todd</t>
        </is>
      </c>
      <c r="C787" s="2" t="inlineStr">
        <is>
          <t>icarpenter@gmail.com</t>
        </is>
      </c>
      <c r="D787" s="2" t="inlineStr">
        <is>
          <t>+1-134-017-6105x816</t>
        </is>
      </c>
      <c r="E787" s="2" t="inlineStr">
        <is>
          <t>01595 Hayley Mews Apt. 469, North Jennifer, AR 29681</t>
        </is>
      </c>
      <c r="F787" s="2" t="inlineStr">
        <is>
          <t>Wagnerfurt</t>
        </is>
      </c>
      <c r="G787" s="2" t="inlineStr">
        <is>
          <t>Bhutan</t>
        </is>
      </c>
      <c r="H787" s="2" t="inlineStr">
        <is>
          <t>home</t>
        </is>
      </c>
      <c r="I787" t="inlineStr">
        <is>
          <t>lead</t>
        </is>
      </c>
    </row>
    <row r="788">
      <c r="A788" s="2" t="inlineStr">
        <is>
          <t>C9963</t>
        </is>
      </c>
      <c r="B788" s="2" t="inlineStr">
        <is>
          <t>Jackie Carter</t>
        </is>
      </c>
      <c r="C788" s="2" t="inlineStr">
        <is>
          <t>dguzman@gmail.com</t>
        </is>
      </c>
      <c r="D788" s="2" t="inlineStr">
        <is>
          <t>+1-830-937-0475x1087</t>
        </is>
      </c>
      <c r="E788" s="2" t="inlineStr">
        <is>
          <t>872 Morgan Loaf Suite 520, Matthewview, NE 52317</t>
        </is>
      </c>
      <c r="F788" s="2" t="inlineStr">
        <is>
          <t>Ryanside</t>
        </is>
      </c>
      <c r="G788" s="2" t="inlineStr">
        <is>
          <t>Senegal</t>
        </is>
      </c>
      <c r="H788" s="2" t="inlineStr">
        <is>
          <t>car</t>
        </is>
      </c>
      <c r="I788" t="inlineStr">
        <is>
          <t>factor</t>
        </is>
      </c>
    </row>
    <row r="789">
      <c r="A789" s="2" t="inlineStr">
        <is>
          <t>C6020</t>
        </is>
      </c>
      <c r="B789" s="2" t="inlineStr">
        <is>
          <t>Thomas Henderson</t>
        </is>
      </c>
      <c r="C789" s="2" t="inlineStr">
        <is>
          <t>kenneth16@gmail.com</t>
        </is>
      </c>
      <c r="D789" s="2" t="inlineStr">
        <is>
          <t>+1-960-322-1760</t>
        </is>
      </c>
      <c r="E789" s="2" t="inlineStr">
        <is>
          <t>580 Brian Greens, Port Karenburgh, NE 43563</t>
        </is>
      </c>
      <c r="F789" s="2" t="inlineStr">
        <is>
          <t>Melissabury</t>
        </is>
      </c>
      <c r="G789" s="2" t="inlineStr">
        <is>
          <t>Lao People's Democratic Republic</t>
        </is>
      </c>
      <c r="H789" s="2" t="inlineStr">
        <is>
          <t>attention</t>
        </is>
      </c>
      <c r="I789" t="inlineStr">
        <is>
          <t>into</t>
        </is>
      </c>
    </row>
    <row r="790">
      <c r="A790" s="2" t="inlineStr">
        <is>
          <t>C3896</t>
        </is>
      </c>
      <c r="B790" s="2" t="inlineStr">
        <is>
          <t>Teresa Stephens</t>
        </is>
      </c>
      <c r="C790" s="2" t="inlineStr">
        <is>
          <t>jameswheeler@cole.info</t>
        </is>
      </c>
      <c r="D790" s="2" t="inlineStr">
        <is>
          <t>800.260.3399x78210</t>
        </is>
      </c>
      <c r="E790" s="2" t="inlineStr">
        <is>
          <t>94003 Elizabeth Flats, Kellyport, ND 60604</t>
        </is>
      </c>
      <c r="F790" s="2" t="inlineStr">
        <is>
          <t>Port Markmouth</t>
        </is>
      </c>
      <c r="G790" s="2" t="inlineStr">
        <is>
          <t>Guam</t>
        </is>
      </c>
      <c r="H790" s="2" t="inlineStr">
        <is>
          <t>matter</t>
        </is>
      </c>
      <c r="I790" t="inlineStr">
        <is>
          <t>financial</t>
        </is>
      </c>
    </row>
    <row r="791">
      <c r="A791" s="2" t="inlineStr">
        <is>
          <t>C3589</t>
        </is>
      </c>
      <c r="B791" s="2" t="inlineStr">
        <is>
          <t>Rebecca Le</t>
        </is>
      </c>
      <c r="C791" s="2" t="inlineStr">
        <is>
          <t>bellsharon@torres-curtis.com</t>
        </is>
      </c>
      <c r="D791" s="2" t="inlineStr">
        <is>
          <t>(742)344-2070x0674</t>
        </is>
      </c>
      <c r="E791" s="2" t="inlineStr">
        <is>
          <t>506 George Forges Suite 839, South Angelahaven, VT 48624</t>
        </is>
      </c>
      <c r="F791" s="2" t="inlineStr">
        <is>
          <t>Porterchester</t>
        </is>
      </c>
      <c r="G791" s="2" t="inlineStr">
        <is>
          <t>Bahamas</t>
        </is>
      </c>
      <c r="H791" s="2" t="inlineStr">
        <is>
          <t>during</t>
        </is>
      </c>
      <c r="I791" t="inlineStr">
        <is>
          <t>training</t>
        </is>
      </c>
    </row>
    <row r="792">
      <c r="A792" s="2" t="inlineStr">
        <is>
          <t>C4571</t>
        </is>
      </c>
      <c r="B792" s="2" t="inlineStr">
        <is>
          <t>Katherine Robertson</t>
        </is>
      </c>
      <c r="C792" s="2" t="inlineStr">
        <is>
          <t>diazangela@yahoo.com</t>
        </is>
      </c>
      <c r="D792" s="2" t="inlineStr">
        <is>
          <t>8530828509</t>
        </is>
      </c>
      <c r="E792" s="2" t="inlineStr">
        <is>
          <t>834 Singh Union, South Christopher, NM 91259</t>
        </is>
      </c>
      <c r="F792" s="2" t="inlineStr">
        <is>
          <t>West Williamchester</t>
        </is>
      </c>
      <c r="G792" s="2" t="inlineStr">
        <is>
          <t>Oman</t>
        </is>
      </c>
      <c r="H792" s="2" t="inlineStr">
        <is>
          <t>probably</t>
        </is>
      </c>
      <c r="I792" t="inlineStr">
        <is>
          <t>serious</t>
        </is>
      </c>
    </row>
    <row r="793">
      <c r="A793" s="2" t="inlineStr">
        <is>
          <t>C2850</t>
        </is>
      </c>
      <c r="B793" s="2" t="inlineStr">
        <is>
          <t>Leah Barrera</t>
        </is>
      </c>
      <c r="C793" s="2" t="inlineStr">
        <is>
          <t>moorejoel@hotmail.com</t>
        </is>
      </c>
      <c r="D793" s="2" t="inlineStr">
        <is>
          <t>300.520.1506</t>
        </is>
      </c>
      <c r="E793" s="2" t="inlineStr">
        <is>
          <t>64194 Ross Circles, North Joannaberg, CA 99159</t>
        </is>
      </c>
      <c r="F793" s="2" t="inlineStr">
        <is>
          <t>Natalieland</t>
        </is>
      </c>
      <c r="G793" s="2" t="inlineStr">
        <is>
          <t>Syrian Arab Republic</t>
        </is>
      </c>
      <c r="H793" s="2" t="inlineStr">
        <is>
          <t>represent</t>
        </is>
      </c>
      <c r="I793" t="inlineStr">
        <is>
          <t>street</t>
        </is>
      </c>
    </row>
    <row r="794">
      <c r="A794" s="2" t="inlineStr">
        <is>
          <t>C7880</t>
        </is>
      </c>
      <c r="B794" s="2" t="inlineStr">
        <is>
          <t>Michael Stone</t>
        </is>
      </c>
      <c r="C794" s="2" t="inlineStr">
        <is>
          <t>claudia29@cox.com</t>
        </is>
      </c>
      <c r="D794" s="2" t="inlineStr">
        <is>
          <t>(114)890-8522</t>
        </is>
      </c>
      <c r="E794" s="2" t="inlineStr">
        <is>
          <t>246 Morton Lock Suite 294, Linfurt, MN 87426</t>
        </is>
      </c>
      <c r="F794" s="2" t="inlineStr">
        <is>
          <t>Maryshire</t>
        </is>
      </c>
      <c r="G794" s="2" t="inlineStr">
        <is>
          <t>Seychelles</t>
        </is>
      </c>
      <c r="H794" s="2" t="inlineStr">
        <is>
          <t>writer</t>
        </is>
      </c>
      <c r="I794" t="inlineStr">
        <is>
          <t>thus</t>
        </is>
      </c>
    </row>
    <row r="795">
      <c r="A795" s="2" t="inlineStr">
        <is>
          <t>C5842</t>
        </is>
      </c>
      <c r="B795" s="2" t="inlineStr">
        <is>
          <t>Antonio Hammond</t>
        </is>
      </c>
      <c r="C795" s="2" t="inlineStr">
        <is>
          <t>salazarjared@yahoo.com</t>
        </is>
      </c>
      <c r="D795" s="2" t="inlineStr">
        <is>
          <t>(865)264-9824x58028</t>
        </is>
      </c>
      <c r="E795" s="2" t="inlineStr">
        <is>
          <t>Unit 9311 Box 7435, DPO AA 96792</t>
        </is>
      </c>
      <c r="F795" s="2" t="inlineStr">
        <is>
          <t>South Jesus</t>
        </is>
      </c>
      <c r="G795" s="2" t="inlineStr">
        <is>
          <t>Latvia</t>
        </is>
      </c>
      <c r="H795" s="2" t="inlineStr">
        <is>
          <t>dark</t>
        </is>
      </c>
      <c r="I795" t="inlineStr">
        <is>
          <t>lay</t>
        </is>
      </c>
    </row>
    <row r="796">
      <c r="A796" s="2" t="inlineStr">
        <is>
          <t>C1258</t>
        </is>
      </c>
      <c r="B796" s="2" t="inlineStr">
        <is>
          <t>James Foley</t>
        </is>
      </c>
      <c r="C796" s="2" t="inlineStr">
        <is>
          <t>kenneth97@gray.com</t>
        </is>
      </c>
      <c r="D796" s="2" t="inlineStr">
        <is>
          <t>001-605-074-3908x26861</t>
        </is>
      </c>
      <c r="E796" s="2" t="inlineStr">
        <is>
          <t>5652 Brady Gardens, East Cody, HI 50376</t>
        </is>
      </c>
      <c r="F796" s="2" t="inlineStr">
        <is>
          <t>Taylorbury</t>
        </is>
      </c>
      <c r="G796" s="2" t="inlineStr">
        <is>
          <t>Germany</t>
        </is>
      </c>
      <c r="H796" s="2" t="inlineStr">
        <is>
          <t>base</t>
        </is>
      </c>
      <c r="I796" t="inlineStr">
        <is>
          <t>piece</t>
        </is>
      </c>
    </row>
    <row r="797">
      <c r="A797" s="2" t="inlineStr">
        <is>
          <t>C3673</t>
        </is>
      </c>
      <c r="B797" s="2" t="inlineStr">
        <is>
          <t>Clayton Daniels</t>
        </is>
      </c>
      <c r="C797" s="2" t="inlineStr">
        <is>
          <t>martinezjames@trevino.info</t>
        </is>
      </c>
      <c r="D797" s="2" t="inlineStr">
        <is>
          <t>(271)326-6770x7071</t>
        </is>
      </c>
      <c r="E797" s="2" t="inlineStr">
        <is>
          <t>994 Nancy Neck Apt. 466, Carrollmouth, PA 55710</t>
        </is>
      </c>
      <c r="F797" s="2" t="inlineStr">
        <is>
          <t>Hopkinsview</t>
        </is>
      </c>
      <c r="G797" s="2" t="inlineStr">
        <is>
          <t>Gabon</t>
        </is>
      </c>
      <c r="H797" s="2" t="inlineStr">
        <is>
          <t>meet</t>
        </is>
      </c>
      <c r="I797" t="inlineStr">
        <is>
          <t>type</t>
        </is>
      </c>
    </row>
    <row r="798">
      <c r="A798" s="2" t="inlineStr">
        <is>
          <t>C4878</t>
        </is>
      </c>
      <c r="B798" s="2" t="inlineStr">
        <is>
          <t>Tammy Murphy</t>
        </is>
      </c>
      <c r="C798" s="2" t="inlineStr">
        <is>
          <t>olsensteven@smith.org</t>
        </is>
      </c>
      <c r="D798" s="2" t="inlineStr">
        <is>
          <t>127.838.5779x2177</t>
        </is>
      </c>
      <c r="E798" s="2" t="inlineStr">
        <is>
          <t>786 Jennifer Unions, Johnville, CT 51781</t>
        </is>
      </c>
      <c r="F798" s="2" t="inlineStr">
        <is>
          <t>South Joyview</t>
        </is>
      </c>
      <c r="G798" s="2" t="inlineStr">
        <is>
          <t>Pitcairn Islands</t>
        </is>
      </c>
      <c r="H798" s="2" t="inlineStr">
        <is>
          <t>others</t>
        </is>
      </c>
      <c r="I798" t="inlineStr">
        <is>
          <t>event</t>
        </is>
      </c>
    </row>
    <row r="799">
      <c r="A799" s="2" t="inlineStr">
        <is>
          <t>C2182</t>
        </is>
      </c>
      <c r="B799" s="2" t="inlineStr">
        <is>
          <t>Mr. Richard Zuniga</t>
        </is>
      </c>
      <c r="C799" s="2" t="inlineStr">
        <is>
          <t>weaverbrad@clark.com</t>
        </is>
      </c>
      <c r="D799" s="2" t="inlineStr">
        <is>
          <t>365-821-0572</t>
        </is>
      </c>
      <c r="E799" s="2" t="inlineStr">
        <is>
          <t>0140 Villegas Street, North Michelleshire, OR 49259</t>
        </is>
      </c>
      <c r="F799" s="2" t="inlineStr">
        <is>
          <t>Neilside</t>
        </is>
      </c>
      <c r="G799" s="2" t="inlineStr">
        <is>
          <t>Costa Rica</t>
        </is>
      </c>
      <c r="H799" s="2" t="inlineStr">
        <is>
          <t>series</t>
        </is>
      </c>
      <c r="I799" t="inlineStr">
        <is>
          <t>technology</t>
        </is>
      </c>
    </row>
    <row r="800">
      <c r="A800" s="2" t="inlineStr">
        <is>
          <t>C4853</t>
        </is>
      </c>
      <c r="B800" s="2" t="inlineStr">
        <is>
          <t>Bill Carter</t>
        </is>
      </c>
      <c r="C800" s="2" t="inlineStr">
        <is>
          <t>ashley60@hotmail.com</t>
        </is>
      </c>
      <c r="D800" s="2" t="inlineStr">
        <is>
          <t>374.888.3004x15540</t>
        </is>
      </c>
      <c r="E800" s="2" t="inlineStr">
        <is>
          <t>85178 Cruz Roads, Sharonstad, SD 49116</t>
        </is>
      </c>
      <c r="F800" s="2" t="inlineStr">
        <is>
          <t>Cameronmouth</t>
        </is>
      </c>
      <c r="G800" s="2" t="inlineStr">
        <is>
          <t>Korea</t>
        </is>
      </c>
      <c r="H800" s="2" t="inlineStr">
        <is>
          <t>quite</t>
        </is>
      </c>
      <c r="I800" t="inlineStr">
        <is>
          <t>enjoy</t>
        </is>
      </c>
    </row>
    <row r="801">
      <c r="A801" s="2" t="inlineStr">
        <is>
          <t>C9460</t>
        </is>
      </c>
      <c r="B801" s="2" t="inlineStr">
        <is>
          <t>Victoria Banks</t>
        </is>
      </c>
      <c r="C801" s="2" t="inlineStr">
        <is>
          <t>henrymark@rose.com</t>
        </is>
      </c>
      <c r="D801" s="2" t="inlineStr">
        <is>
          <t>909.775.5747x05761</t>
        </is>
      </c>
      <c r="E801" s="2" t="inlineStr">
        <is>
          <t>718 Whitaker Valleys Apt. 654, Kristinshire, IL 81259</t>
        </is>
      </c>
      <c r="F801" s="2" t="inlineStr">
        <is>
          <t>South Darylland</t>
        </is>
      </c>
      <c r="G801" s="2" t="inlineStr">
        <is>
          <t>Jersey</t>
        </is>
      </c>
      <c r="H801" s="2" t="inlineStr">
        <is>
          <t>some</t>
        </is>
      </c>
      <c r="I801" t="inlineStr">
        <is>
          <t>every</t>
        </is>
      </c>
    </row>
    <row r="802">
      <c r="A802" s="2" t="inlineStr">
        <is>
          <t>C4881</t>
        </is>
      </c>
      <c r="B802" s="2" t="inlineStr">
        <is>
          <t>Kimberly Fowler</t>
        </is>
      </c>
      <c r="C802" s="2" t="inlineStr">
        <is>
          <t>lthomas@ibarra.com</t>
        </is>
      </c>
      <c r="D802" s="2" t="inlineStr">
        <is>
          <t>+1-158-875-0197x76622</t>
        </is>
      </c>
      <c r="E802" s="2" t="inlineStr">
        <is>
          <t>697 Fox Unions Suite 576, Christopherhaven, UT 21583</t>
        </is>
      </c>
      <c r="F802" s="2" t="inlineStr">
        <is>
          <t>Stephaniemouth</t>
        </is>
      </c>
      <c r="G802" s="2" t="inlineStr">
        <is>
          <t>San Marino</t>
        </is>
      </c>
      <c r="H802" s="2" t="inlineStr">
        <is>
          <t>talk</t>
        </is>
      </c>
      <c r="I802" t="inlineStr">
        <is>
          <t>student</t>
        </is>
      </c>
    </row>
    <row r="803">
      <c r="A803" s="2" t="inlineStr">
        <is>
          <t>C4738</t>
        </is>
      </c>
      <c r="B803" s="2" t="inlineStr">
        <is>
          <t>Daniel Fischer</t>
        </is>
      </c>
      <c r="C803" s="2" t="inlineStr">
        <is>
          <t>lisa14@hotmail.com</t>
        </is>
      </c>
      <c r="D803" s="2" t="inlineStr">
        <is>
          <t>(127)661-5769</t>
        </is>
      </c>
      <c r="E803" s="2" t="inlineStr">
        <is>
          <t>8555 Bryant Underpass Apt. 883, Mcdonaldview, MI 36661</t>
        </is>
      </c>
      <c r="F803" s="2" t="inlineStr">
        <is>
          <t>North Haleybury</t>
        </is>
      </c>
      <c r="G803" s="2" t="inlineStr">
        <is>
          <t>Tajikistan</t>
        </is>
      </c>
      <c r="H803" s="2" t="inlineStr">
        <is>
          <t>rate</t>
        </is>
      </c>
      <c r="I803" t="inlineStr">
        <is>
          <t>Mrs</t>
        </is>
      </c>
    </row>
    <row r="804">
      <c r="A804" s="2" t="inlineStr">
        <is>
          <t>C2766</t>
        </is>
      </c>
      <c r="B804" s="2" t="inlineStr">
        <is>
          <t>Carolyn King</t>
        </is>
      </c>
      <c r="C804" s="2" t="inlineStr">
        <is>
          <t>xgarcia@clark.com</t>
        </is>
      </c>
      <c r="D804" s="2" t="inlineStr">
        <is>
          <t>+1-277-030-2046x9091</t>
        </is>
      </c>
      <c r="E804" s="2" t="inlineStr">
        <is>
          <t>56820 Amy Fords, Alexandermouth, DE 08142</t>
        </is>
      </c>
      <c r="F804" s="2" t="inlineStr">
        <is>
          <t>Jeffreyfort</t>
        </is>
      </c>
      <c r="G804" s="2" t="inlineStr">
        <is>
          <t>Argentina</t>
        </is>
      </c>
      <c r="H804" s="2" t="inlineStr">
        <is>
          <t>interest</t>
        </is>
      </c>
      <c r="I804" t="inlineStr">
        <is>
          <t>anyone</t>
        </is>
      </c>
    </row>
    <row r="805">
      <c r="A805" s="2" t="inlineStr">
        <is>
          <t>C3766</t>
        </is>
      </c>
      <c r="B805" s="2" t="inlineStr">
        <is>
          <t>Deborah Ramsey</t>
        </is>
      </c>
      <c r="C805" s="2" t="inlineStr">
        <is>
          <t>lucaschristina@mcgee-thompson.com</t>
        </is>
      </c>
      <c r="D805" s="2" t="inlineStr">
        <is>
          <t>+1-411-944-5782x766</t>
        </is>
      </c>
      <c r="E805" s="2" t="inlineStr">
        <is>
          <t>5540 Ramirez Junctions Apt. 988, Jasmintown, OK 32409</t>
        </is>
      </c>
      <c r="F805" s="2" t="inlineStr">
        <is>
          <t>Port Tracy</t>
        </is>
      </c>
      <c r="G805" s="2" t="inlineStr">
        <is>
          <t>French Southern Territories</t>
        </is>
      </c>
      <c r="H805" s="2" t="inlineStr">
        <is>
          <t>husband</t>
        </is>
      </c>
      <c r="I805" t="inlineStr">
        <is>
          <t>thought</t>
        </is>
      </c>
    </row>
    <row r="806">
      <c r="A806" s="2" t="inlineStr">
        <is>
          <t>C5225</t>
        </is>
      </c>
      <c r="B806" s="2" t="inlineStr">
        <is>
          <t>Rodney Anderson</t>
        </is>
      </c>
      <c r="C806" s="2" t="inlineStr">
        <is>
          <t>tjones@yahoo.com</t>
        </is>
      </c>
      <c r="D806" s="2" t="inlineStr">
        <is>
          <t>361.943.8978x200</t>
        </is>
      </c>
      <c r="E806" s="2" t="inlineStr">
        <is>
          <t>19783 Carroll Squares, South Sherylmouth, WA 24147</t>
        </is>
      </c>
      <c r="F806" s="2" t="inlineStr">
        <is>
          <t>South Jeffrey</t>
        </is>
      </c>
      <c r="G806" s="2" t="inlineStr">
        <is>
          <t>Montenegro</t>
        </is>
      </c>
      <c r="H806" s="2" t="inlineStr">
        <is>
          <t>recently</t>
        </is>
      </c>
      <c r="I806" t="inlineStr">
        <is>
          <t>increase</t>
        </is>
      </c>
    </row>
    <row r="807">
      <c r="A807" s="2" t="inlineStr">
        <is>
          <t>C8666</t>
        </is>
      </c>
      <c r="B807" s="2" t="inlineStr">
        <is>
          <t>Joanne Snyder</t>
        </is>
      </c>
      <c r="C807" s="2" t="inlineStr">
        <is>
          <t>mfreeman@hotmail.com</t>
        </is>
      </c>
      <c r="D807" s="2" t="inlineStr">
        <is>
          <t>+1-374-013-4779</t>
        </is>
      </c>
      <c r="E807" s="2" t="inlineStr">
        <is>
          <t>5729 Anderson Loaf, New Jennifertown, LA 50097</t>
        </is>
      </c>
      <c r="F807" s="2" t="inlineStr">
        <is>
          <t>Thompsonmouth</t>
        </is>
      </c>
      <c r="G807" s="2" t="inlineStr">
        <is>
          <t>San Marino</t>
        </is>
      </c>
      <c r="H807" s="2" t="inlineStr">
        <is>
          <t>box</t>
        </is>
      </c>
      <c r="I807" t="inlineStr">
        <is>
          <t>close</t>
        </is>
      </c>
    </row>
    <row r="808">
      <c r="A808" s="2" t="inlineStr">
        <is>
          <t>C6507</t>
        </is>
      </c>
      <c r="B808" s="2" t="inlineStr">
        <is>
          <t>Sarah Richardson</t>
        </is>
      </c>
      <c r="C808" s="2" t="inlineStr">
        <is>
          <t>shane59@hotmail.com</t>
        </is>
      </c>
      <c r="D808" s="2" t="inlineStr">
        <is>
          <t>334.929.0076x7520</t>
        </is>
      </c>
      <c r="E808" s="2" t="inlineStr">
        <is>
          <t>83633 John Vista Apt. 184, Lake Angelica, MT 81320</t>
        </is>
      </c>
      <c r="F808" s="2" t="inlineStr">
        <is>
          <t>North Jeremyside</t>
        </is>
      </c>
      <c r="G808" s="2" t="inlineStr">
        <is>
          <t>Rwanda</t>
        </is>
      </c>
      <c r="H808" s="2" t="inlineStr">
        <is>
          <t>close</t>
        </is>
      </c>
      <c r="I808" t="inlineStr">
        <is>
          <t>music</t>
        </is>
      </c>
    </row>
    <row r="809">
      <c r="A809" s="2" t="inlineStr">
        <is>
          <t>C1983</t>
        </is>
      </c>
      <c r="B809" s="2" t="inlineStr">
        <is>
          <t>David Wright</t>
        </is>
      </c>
      <c r="C809" s="2" t="inlineStr">
        <is>
          <t>lawrencemichael@gmail.com</t>
        </is>
      </c>
      <c r="D809" s="2" t="inlineStr">
        <is>
          <t>759-277-0506</t>
        </is>
      </c>
      <c r="E809" s="2" t="inlineStr">
        <is>
          <t>2019 Black Street, Mccannhaven, NV 61392</t>
        </is>
      </c>
      <c r="F809" s="2" t="inlineStr">
        <is>
          <t>Jeffreytown</t>
        </is>
      </c>
      <c r="G809" s="2" t="inlineStr">
        <is>
          <t>Mali</t>
        </is>
      </c>
      <c r="H809" s="2" t="inlineStr">
        <is>
          <t>chair</t>
        </is>
      </c>
      <c r="I809" t="inlineStr">
        <is>
          <t>process</t>
        </is>
      </c>
    </row>
    <row r="810">
      <c r="A810" s="2" t="inlineStr">
        <is>
          <t>C7688</t>
        </is>
      </c>
      <c r="B810" s="2" t="inlineStr">
        <is>
          <t>Gregory Nolan</t>
        </is>
      </c>
      <c r="C810" s="2" t="inlineStr">
        <is>
          <t>bradleytimothy@hotmail.com</t>
        </is>
      </c>
      <c r="D810" s="2" t="inlineStr">
        <is>
          <t>390-072-1820</t>
        </is>
      </c>
      <c r="E810" s="2" t="inlineStr">
        <is>
          <t>582 Richard Stravenue Apt. 453, East Tammy, NY 22508</t>
        </is>
      </c>
      <c r="F810" s="2" t="inlineStr">
        <is>
          <t>Hineshaven</t>
        </is>
      </c>
      <c r="G810" s="2" t="inlineStr">
        <is>
          <t>Algeria</t>
        </is>
      </c>
      <c r="H810" s="2" t="inlineStr">
        <is>
          <t>door</t>
        </is>
      </c>
      <c r="I810" t="inlineStr">
        <is>
          <t>try</t>
        </is>
      </c>
    </row>
    <row r="811">
      <c r="A811" s="2" t="inlineStr">
        <is>
          <t>C8878</t>
        </is>
      </c>
      <c r="B811" s="2" t="inlineStr">
        <is>
          <t>Matthew Davies</t>
        </is>
      </c>
      <c r="C811" s="2" t="inlineStr">
        <is>
          <t>rodriguezangela@yahoo.com</t>
        </is>
      </c>
      <c r="D811" s="2" t="inlineStr">
        <is>
          <t>+1-772-300-5743</t>
        </is>
      </c>
      <c r="E811" s="2" t="inlineStr">
        <is>
          <t>65843 Bailey Views Suite 812, Jacksonchester, IN 32558</t>
        </is>
      </c>
      <c r="F811" s="2" t="inlineStr">
        <is>
          <t>East Matthewburgh</t>
        </is>
      </c>
      <c r="G811" s="2" t="inlineStr">
        <is>
          <t>Chile</t>
        </is>
      </c>
      <c r="H811" s="2" t="inlineStr">
        <is>
          <t>couple</t>
        </is>
      </c>
      <c r="I811" t="inlineStr">
        <is>
          <t>tax</t>
        </is>
      </c>
    </row>
    <row r="812">
      <c r="A812" s="2" t="inlineStr">
        <is>
          <t>C9175</t>
        </is>
      </c>
      <c r="B812" s="2" t="inlineStr">
        <is>
          <t>Laurie Patrick</t>
        </is>
      </c>
      <c r="C812" s="2" t="inlineStr">
        <is>
          <t>thompsonmaria@sparks.com</t>
        </is>
      </c>
      <c r="D812" s="2" t="inlineStr">
        <is>
          <t>+1-774-533-3724x3174</t>
        </is>
      </c>
      <c r="E812" s="2" t="inlineStr">
        <is>
          <t>7178 Amanda Ports Suite 889, Barbarahaven, KY 06417</t>
        </is>
      </c>
      <c r="F812" s="2" t="inlineStr">
        <is>
          <t>Angelastad</t>
        </is>
      </c>
      <c r="G812" s="2" t="inlineStr">
        <is>
          <t>Cameroon</t>
        </is>
      </c>
      <c r="H812" s="2" t="inlineStr">
        <is>
          <t>item</t>
        </is>
      </c>
      <c r="I812" t="inlineStr">
        <is>
          <t>nature</t>
        </is>
      </c>
    </row>
    <row r="813">
      <c r="A813" s="2" t="inlineStr">
        <is>
          <t>C6930</t>
        </is>
      </c>
      <c r="B813" s="2" t="inlineStr">
        <is>
          <t>Michael Adams</t>
        </is>
      </c>
      <c r="C813" s="2" t="inlineStr">
        <is>
          <t>scottdavidson@ibarra-whitaker.com</t>
        </is>
      </c>
      <c r="D813" s="2" t="inlineStr">
        <is>
          <t>(602)194-6077x6418</t>
        </is>
      </c>
      <c r="E813" s="2" t="inlineStr">
        <is>
          <t>8336 Leach Neck, Debrachester, MI 61056</t>
        </is>
      </c>
      <c r="F813" s="2" t="inlineStr">
        <is>
          <t>Leonbury</t>
        </is>
      </c>
      <c r="G813" s="2" t="inlineStr">
        <is>
          <t>Uganda</t>
        </is>
      </c>
      <c r="H813" s="2" t="inlineStr">
        <is>
          <t>poor</t>
        </is>
      </c>
      <c r="I813" t="inlineStr">
        <is>
          <t>police</t>
        </is>
      </c>
    </row>
    <row r="814">
      <c r="A814" s="2" t="inlineStr">
        <is>
          <t>C3277</t>
        </is>
      </c>
      <c r="B814" s="2" t="inlineStr">
        <is>
          <t>Deanna Pierce</t>
        </is>
      </c>
      <c r="C814" s="2" t="inlineStr">
        <is>
          <t>meyersbrandon@gmail.com</t>
        </is>
      </c>
      <c r="D814" s="2" t="inlineStr">
        <is>
          <t>262-804-3147x3850</t>
        </is>
      </c>
      <c r="E814" s="2" t="inlineStr">
        <is>
          <t>976 Robert Harbor Suite 169, Christinaburgh, RI 59351</t>
        </is>
      </c>
      <c r="F814" s="2" t="inlineStr">
        <is>
          <t>Ortizborough</t>
        </is>
      </c>
      <c r="G814" s="2" t="inlineStr">
        <is>
          <t>Venezuela</t>
        </is>
      </c>
      <c r="H814" s="2" t="inlineStr">
        <is>
          <t>quickly</t>
        </is>
      </c>
      <c r="I814" t="inlineStr">
        <is>
          <t>star</t>
        </is>
      </c>
    </row>
    <row r="815">
      <c r="A815" s="2" t="inlineStr">
        <is>
          <t>C5014</t>
        </is>
      </c>
      <c r="B815" s="2" t="inlineStr">
        <is>
          <t>Andrew Nash</t>
        </is>
      </c>
      <c r="C815" s="2" t="inlineStr">
        <is>
          <t>lwood@green.com</t>
        </is>
      </c>
      <c r="D815" s="2" t="inlineStr">
        <is>
          <t>+1-870-257-6570x859</t>
        </is>
      </c>
      <c r="E815" s="2" t="inlineStr">
        <is>
          <t>0806 Jennifer Springs Suite 799, East Michaelville, VA 94003</t>
        </is>
      </c>
      <c r="F815" s="2" t="inlineStr">
        <is>
          <t>Samuelfurt</t>
        </is>
      </c>
      <c r="G815" s="2" t="inlineStr">
        <is>
          <t>New Zealand</t>
        </is>
      </c>
      <c r="H815" s="2" t="inlineStr">
        <is>
          <t>instead</t>
        </is>
      </c>
      <c r="I815" t="inlineStr">
        <is>
          <t>difference</t>
        </is>
      </c>
    </row>
    <row r="816">
      <c r="A816" s="2" t="inlineStr">
        <is>
          <t>C9525</t>
        </is>
      </c>
      <c r="B816" s="2" t="inlineStr">
        <is>
          <t>Amanda Daniels</t>
        </is>
      </c>
      <c r="C816" s="2" t="inlineStr">
        <is>
          <t>maria93@arias.com</t>
        </is>
      </c>
      <c r="D816" s="2" t="inlineStr">
        <is>
          <t>001-645-094-2110x36319</t>
        </is>
      </c>
      <c r="E816" s="2" t="inlineStr">
        <is>
          <t>118 Sarah Tunnel Suite 325, East Franklinstad, NE 74228</t>
        </is>
      </c>
      <c r="F816" s="2" t="inlineStr">
        <is>
          <t>Gregoryview</t>
        </is>
      </c>
      <c r="G816" s="2" t="inlineStr">
        <is>
          <t>Montenegro</t>
        </is>
      </c>
      <c r="H816" s="2" t="inlineStr">
        <is>
          <t>experience</t>
        </is>
      </c>
      <c r="I816" t="inlineStr">
        <is>
          <t>yet</t>
        </is>
      </c>
    </row>
    <row r="817">
      <c r="A817" s="2" t="inlineStr">
        <is>
          <t>C9072</t>
        </is>
      </c>
      <c r="B817" s="2" t="inlineStr">
        <is>
          <t>Brittany Patterson</t>
        </is>
      </c>
      <c r="C817" s="2" t="inlineStr">
        <is>
          <t>fedwards@yahoo.com</t>
        </is>
      </c>
      <c r="D817" s="2" t="inlineStr">
        <is>
          <t>+1-659-918-3571x83786</t>
        </is>
      </c>
      <c r="E817" s="2" t="inlineStr">
        <is>
          <t>65668 White Station Suite 837, East Mark, TX 91465</t>
        </is>
      </c>
      <c r="F817" s="2" t="inlineStr">
        <is>
          <t>East Mark</t>
        </is>
      </c>
      <c r="G817" s="2" t="inlineStr">
        <is>
          <t>Swaziland</t>
        </is>
      </c>
      <c r="H817" s="2" t="inlineStr">
        <is>
          <t>after</t>
        </is>
      </c>
      <c r="I817" t="inlineStr">
        <is>
          <t>as</t>
        </is>
      </c>
    </row>
    <row r="818">
      <c r="A818" s="2" t="inlineStr">
        <is>
          <t>C1368</t>
        </is>
      </c>
      <c r="B818" s="2" t="inlineStr">
        <is>
          <t>Elizabeth Johnson</t>
        </is>
      </c>
      <c r="C818" s="2" t="inlineStr">
        <is>
          <t>vjones@hotmail.com</t>
        </is>
      </c>
      <c r="D818" s="2" t="inlineStr">
        <is>
          <t>361-249-7237</t>
        </is>
      </c>
      <c r="E818" s="2" t="inlineStr">
        <is>
          <t>20011 Peters Pines Suite 935, New Amandamouth, NJ 46843</t>
        </is>
      </c>
      <c r="F818" s="2" t="inlineStr">
        <is>
          <t>Paulfort</t>
        </is>
      </c>
      <c r="G818" s="2" t="inlineStr">
        <is>
          <t>Bahamas</t>
        </is>
      </c>
      <c r="H818" s="2" t="inlineStr">
        <is>
          <t>according</t>
        </is>
      </c>
      <c r="I818" t="inlineStr">
        <is>
          <t>new</t>
        </is>
      </c>
    </row>
    <row r="819">
      <c r="A819" s="2" t="inlineStr">
        <is>
          <t>C1296</t>
        </is>
      </c>
      <c r="B819" s="2" t="inlineStr">
        <is>
          <t>Steven Graham</t>
        </is>
      </c>
      <c r="C819" s="2" t="inlineStr">
        <is>
          <t>matthew35@gmail.com</t>
        </is>
      </c>
      <c r="D819" s="2" t="inlineStr">
        <is>
          <t>579-982-0337</t>
        </is>
      </c>
      <c r="E819" s="2" t="inlineStr">
        <is>
          <t>1868 Angela Inlet Apt. 511, Lake Noahfort, IL 22179</t>
        </is>
      </c>
      <c r="F819" s="2" t="inlineStr">
        <is>
          <t>West Rebecca</t>
        </is>
      </c>
      <c r="G819" s="2" t="inlineStr">
        <is>
          <t>Sao Tome and Principe</t>
        </is>
      </c>
      <c r="H819" s="2" t="inlineStr">
        <is>
          <t>garden</t>
        </is>
      </c>
      <c r="I819" t="inlineStr">
        <is>
          <t>hair</t>
        </is>
      </c>
    </row>
    <row r="820">
      <c r="A820" s="2" t="inlineStr">
        <is>
          <t>C8395</t>
        </is>
      </c>
      <c r="B820" s="2" t="inlineStr">
        <is>
          <t>Mark Harris</t>
        </is>
      </c>
      <c r="C820" s="2" t="inlineStr">
        <is>
          <t>mark13@yahoo.com</t>
        </is>
      </c>
      <c r="D820" s="2" t="inlineStr">
        <is>
          <t>869-014-2554x33048</t>
        </is>
      </c>
      <c r="E820" s="2" t="inlineStr">
        <is>
          <t>89212 Ashley Lodge Apt. 390, Taraberg, NY 09717</t>
        </is>
      </c>
      <c r="F820" s="2" t="inlineStr">
        <is>
          <t>Kylehaven</t>
        </is>
      </c>
      <c r="G820" s="2" t="inlineStr">
        <is>
          <t>Luxembourg</t>
        </is>
      </c>
      <c r="H820" s="2" t="inlineStr">
        <is>
          <t>reason</t>
        </is>
      </c>
      <c r="I820" t="inlineStr">
        <is>
          <t>interest</t>
        </is>
      </c>
    </row>
    <row r="821">
      <c r="A821" s="2" t="inlineStr">
        <is>
          <t>C8219</t>
        </is>
      </c>
      <c r="B821" s="2" t="inlineStr">
        <is>
          <t>Willie Nunez</t>
        </is>
      </c>
      <c r="C821" s="2" t="inlineStr">
        <is>
          <t>jonesbrian@hotmail.com</t>
        </is>
      </c>
      <c r="D821" s="2" t="inlineStr">
        <is>
          <t>436.263.3428</t>
        </is>
      </c>
      <c r="E821" s="2" t="inlineStr">
        <is>
          <t>74902 Justin Orchard, East Destinyfurt, NC 99297</t>
        </is>
      </c>
      <c r="F821" s="2" t="inlineStr">
        <is>
          <t>North Nicole</t>
        </is>
      </c>
      <c r="G821" s="2" t="inlineStr">
        <is>
          <t>Romania</t>
        </is>
      </c>
      <c r="H821" s="2" t="inlineStr">
        <is>
          <t>work</t>
        </is>
      </c>
      <c r="I821" t="inlineStr">
        <is>
          <t>continue</t>
        </is>
      </c>
    </row>
    <row r="822">
      <c r="A822" s="2" t="inlineStr">
        <is>
          <t>C8157</t>
        </is>
      </c>
      <c r="B822" s="2" t="inlineStr">
        <is>
          <t>Elizabeth Orozco</t>
        </is>
      </c>
      <c r="C822" s="2" t="inlineStr">
        <is>
          <t>prichardson@gmail.com</t>
        </is>
      </c>
      <c r="D822" s="2" t="inlineStr">
        <is>
          <t>4592565804</t>
        </is>
      </c>
      <c r="E822" s="2" t="inlineStr">
        <is>
          <t>978 Steven Meadows, New Eric, OK 97663</t>
        </is>
      </c>
      <c r="F822" s="2" t="inlineStr">
        <is>
          <t>Baxtertown</t>
        </is>
      </c>
      <c r="G822" s="2" t="inlineStr">
        <is>
          <t>Bosnia and Herzegovina</t>
        </is>
      </c>
      <c r="H822" s="2" t="inlineStr">
        <is>
          <t>become</t>
        </is>
      </c>
      <c r="I822" t="inlineStr">
        <is>
          <t>they</t>
        </is>
      </c>
    </row>
    <row r="823">
      <c r="A823" s="2" t="inlineStr">
        <is>
          <t>C2741</t>
        </is>
      </c>
      <c r="B823" s="2" t="inlineStr">
        <is>
          <t>Sarah Woods</t>
        </is>
      </c>
      <c r="C823" s="2" t="inlineStr">
        <is>
          <t>adavis@sanders.com</t>
        </is>
      </c>
      <c r="D823" s="2" t="inlineStr">
        <is>
          <t>+1-002-416-6200x4138</t>
        </is>
      </c>
      <c r="E823" s="2" t="inlineStr">
        <is>
          <t>802 Gonzalez Inlet, New Stevenville, WY 95877</t>
        </is>
      </c>
      <c r="F823" s="2" t="inlineStr">
        <is>
          <t>North Amy</t>
        </is>
      </c>
      <c r="G823" s="2" t="inlineStr">
        <is>
          <t>Somalia</t>
        </is>
      </c>
      <c r="H823" s="2" t="inlineStr">
        <is>
          <t>person</t>
        </is>
      </c>
      <c r="I823" t="inlineStr">
        <is>
          <t>game</t>
        </is>
      </c>
    </row>
    <row r="824">
      <c r="A824" s="2" t="inlineStr">
        <is>
          <t>C9439</t>
        </is>
      </c>
      <c r="B824" s="2" t="inlineStr">
        <is>
          <t>Christopher Everett</t>
        </is>
      </c>
      <c r="C824" s="2" t="inlineStr">
        <is>
          <t>matthewsjustin@gmail.com</t>
        </is>
      </c>
      <c r="D824" s="2" t="inlineStr">
        <is>
          <t>(718)072-9916</t>
        </is>
      </c>
      <c r="E824" s="2" t="inlineStr">
        <is>
          <t>781 Smith Common, New Allenport, RI 89194</t>
        </is>
      </c>
      <c r="F824" s="2" t="inlineStr">
        <is>
          <t>Gutierrezberg</t>
        </is>
      </c>
      <c r="G824" s="2" t="inlineStr">
        <is>
          <t>Saudi Arabia</t>
        </is>
      </c>
      <c r="H824" s="2" t="inlineStr">
        <is>
          <t>walk</t>
        </is>
      </c>
      <c r="I824" t="inlineStr">
        <is>
          <t>participant</t>
        </is>
      </c>
    </row>
    <row r="825">
      <c r="A825" s="2" t="inlineStr">
        <is>
          <t>C5325</t>
        </is>
      </c>
      <c r="B825" s="2" t="inlineStr">
        <is>
          <t>Samantha Schneider</t>
        </is>
      </c>
      <c r="C825" s="2" t="inlineStr">
        <is>
          <t>christopher59@gmail.com</t>
        </is>
      </c>
      <c r="D825" s="2" t="inlineStr">
        <is>
          <t>215.043.8364x5122</t>
        </is>
      </c>
      <c r="E825" s="2" t="inlineStr">
        <is>
          <t>777 Martin Ports Apt. 936, Ericksonview, CA 38101</t>
        </is>
      </c>
      <c r="F825" s="2" t="inlineStr">
        <is>
          <t>South Tammyton</t>
        </is>
      </c>
      <c r="G825" s="2" t="inlineStr">
        <is>
          <t>New Caledonia</t>
        </is>
      </c>
      <c r="H825" s="2" t="inlineStr">
        <is>
          <t>decision</t>
        </is>
      </c>
      <c r="I825" t="inlineStr">
        <is>
          <t>them</t>
        </is>
      </c>
    </row>
    <row r="826">
      <c r="A826" s="2" t="inlineStr">
        <is>
          <t>C6845</t>
        </is>
      </c>
      <c r="B826" s="2" t="inlineStr">
        <is>
          <t>Angelica Lopez</t>
        </is>
      </c>
      <c r="C826" s="2" t="inlineStr">
        <is>
          <t>jonessara@gmail.com</t>
        </is>
      </c>
      <c r="D826" s="2" t="inlineStr">
        <is>
          <t>151-812-2895</t>
        </is>
      </c>
      <c r="E826" s="2" t="inlineStr">
        <is>
          <t>802 Mark Key, New Vanessastad, NE 78974</t>
        </is>
      </c>
      <c r="F826" s="2" t="inlineStr">
        <is>
          <t>West Melissamouth</t>
        </is>
      </c>
      <c r="G826" s="2" t="inlineStr">
        <is>
          <t>French Southern Territories</t>
        </is>
      </c>
      <c r="H826" s="2" t="inlineStr">
        <is>
          <t>personal</t>
        </is>
      </c>
      <c r="I826" t="inlineStr">
        <is>
          <t>whom</t>
        </is>
      </c>
    </row>
    <row r="827">
      <c r="A827" s="2" t="inlineStr">
        <is>
          <t>C1026</t>
        </is>
      </c>
      <c r="B827" s="2" t="inlineStr">
        <is>
          <t>Danny Riley</t>
        </is>
      </c>
      <c r="C827" s="2" t="inlineStr">
        <is>
          <t>melissawright@edwards.com</t>
        </is>
      </c>
      <c r="D827" s="2" t="inlineStr">
        <is>
          <t>824.838.5177</t>
        </is>
      </c>
      <c r="E827" s="2" t="inlineStr">
        <is>
          <t>827 Alejandro Estate, Westberg, VA 62217</t>
        </is>
      </c>
      <c r="F827" s="2" t="inlineStr">
        <is>
          <t>Jonesfurt</t>
        </is>
      </c>
      <c r="G827" s="2" t="inlineStr">
        <is>
          <t>United States Virgin Islands</t>
        </is>
      </c>
      <c r="H827" s="2" t="inlineStr">
        <is>
          <t>visit</t>
        </is>
      </c>
      <c r="I827" t="inlineStr">
        <is>
          <t>safe</t>
        </is>
      </c>
    </row>
    <row r="828">
      <c r="A828" s="2" t="inlineStr">
        <is>
          <t>C5730</t>
        </is>
      </c>
      <c r="B828" s="2" t="inlineStr">
        <is>
          <t>Erin Dawson</t>
        </is>
      </c>
      <c r="C828" s="2" t="inlineStr">
        <is>
          <t>andersondavid@brown.com</t>
        </is>
      </c>
      <c r="D828" s="2" t="inlineStr">
        <is>
          <t>5693681992</t>
        </is>
      </c>
      <c r="E828" s="2" t="inlineStr">
        <is>
          <t>57183 Powell Mill, Savageville, IA 04708</t>
        </is>
      </c>
      <c r="F828" s="2" t="inlineStr">
        <is>
          <t>Charlesmouth</t>
        </is>
      </c>
      <c r="G828" s="2" t="inlineStr">
        <is>
          <t>Lao People's Democratic Republic</t>
        </is>
      </c>
      <c r="H828" s="2" t="inlineStr">
        <is>
          <t>smile</t>
        </is>
      </c>
      <c r="I828" t="inlineStr">
        <is>
          <t>begin</t>
        </is>
      </c>
    </row>
    <row r="829">
      <c r="A829" s="2" t="inlineStr">
        <is>
          <t>C9713</t>
        </is>
      </c>
      <c r="B829" s="2" t="inlineStr">
        <is>
          <t>James Johnson</t>
        </is>
      </c>
      <c r="C829" s="2" t="inlineStr">
        <is>
          <t>cindymoses@gmail.com</t>
        </is>
      </c>
      <c r="D829" s="2" t="inlineStr">
        <is>
          <t>(716)858-5189x87685</t>
        </is>
      </c>
      <c r="E829" s="2" t="inlineStr">
        <is>
          <t>692 Thomas Light, Lake Williamville, CT 59836</t>
        </is>
      </c>
      <c r="F829" s="2" t="inlineStr">
        <is>
          <t>East Margaretport</t>
        </is>
      </c>
      <c r="G829" s="2" t="inlineStr">
        <is>
          <t>Holy See (Vatican City State)</t>
        </is>
      </c>
      <c r="H829" s="2" t="inlineStr">
        <is>
          <t>wrong</t>
        </is>
      </c>
      <c r="I829" t="inlineStr">
        <is>
          <t>response</t>
        </is>
      </c>
    </row>
    <row r="830">
      <c r="A830" s="2" t="inlineStr">
        <is>
          <t>C8437</t>
        </is>
      </c>
      <c r="B830" s="2" t="inlineStr">
        <is>
          <t>Amy Young</t>
        </is>
      </c>
      <c r="C830" s="2" t="inlineStr">
        <is>
          <t>ztaylor@hotmail.com</t>
        </is>
      </c>
      <c r="D830" s="2" t="inlineStr">
        <is>
          <t>(801)287-3541x61540</t>
        </is>
      </c>
      <c r="E830" s="2" t="inlineStr">
        <is>
          <t>840 David Heights Suite 433, Lake Justin, CA 34423</t>
        </is>
      </c>
      <c r="F830" s="2" t="inlineStr">
        <is>
          <t>Maysburgh</t>
        </is>
      </c>
      <c r="G830" s="2" t="inlineStr">
        <is>
          <t>Benin</t>
        </is>
      </c>
      <c r="H830" s="2" t="inlineStr">
        <is>
          <t>season</t>
        </is>
      </c>
      <c r="I830" t="inlineStr">
        <is>
          <t>staff</t>
        </is>
      </c>
    </row>
    <row r="831">
      <c r="A831" s="2" t="inlineStr">
        <is>
          <t>C7111</t>
        </is>
      </c>
      <c r="B831" s="2" t="inlineStr">
        <is>
          <t>Alan Sawyer</t>
        </is>
      </c>
      <c r="C831" s="2" t="inlineStr">
        <is>
          <t>maryreid@taylor.net</t>
        </is>
      </c>
      <c r="D831" s="2" t="inlineStr">
        <is>
          <t>(009)237-6014x68111</t>
        </is>
      </c>
      <c r="E831" s="2" t="inlineStr">
        <is>
          <t>0354 Marie Green Apt. 172, Traceyport, VA 32921</t>
        </is>
      </c>
      <c r="F831" s="2" t="inlineStr">
        <is>
          <t>Kathrynchester</t>
        </is>
      </c>
      <c r="G831" s="2" t="inlineStr">
        <is>
          <t>Czech Republic</t>
        </is>
      </c>
      <c r="H831" s="2" t="inlineStr">
        <is>
          <t>there</t>
        </is>
      </c>
      <c r="I831" t="inlineStr">
        <is>
          <t>less</t>
        </is>
      </c>
    </row>
    <row r="832">
      <c r="A832" s="2" t="inlineStr">
        <is>
          <t>C1102</t>
        </is>
      </c>
      <c r="B832" s="2" t="inlineStr">
        <is>
          <t>Anne Gregory</t>
        </is>
      </c>
      <c r="C832" s="2" t="inlineStr">
        <is>
          <t>lelliott@gomez.info</t>
        </is>
      </c>
      <c r="D832" s="2" t="inlineStr">
        <is>
          <t>612-721-0275x6119</t>
        </is>
      </c>
      <c r="E832" s="2" t="inlineStr">
        <is>
          <t>USCGC Dickson, FPO AE 20907</t>
        </is>
      </c>
      <c r="F832" s="2" t="inlineStr">
        <is>
          <t>North Brenda</t>
        </is>
      </c>
      <c r="G832" s="2" t="inlineStr">
        <is>
          <t>Svalbard &amp; Jan Mayen Islands</t>
        </is>
      </c>
      <c r="H832" s="2" t="inlineStr">
        <is>
          <t>woman</t>
        </is>
      </c>
      <c r="I832" t="inlineStr">
        <is>
          <t>benefit</t>
        </is>
      </c>
    </row>
    <row r="833">
      <c r="A833" s="2" t="inlineStr">
        <is>
          <t>C1744</t>
        </is>
      </c>
      <c r="B833" s="2" t="inlineStr">
        <is>
          <t>Joseph Sanders</t>
        </is>
      </c>
      <c r="C833" s="2" t="inlineStr">
        <is>
          <t>ggarcia@martin.com</t>
        </is>
      </c>
      <c r="D833" s="2" t="inlineStr">
        <is>
          <t>(866)666-9236x158</t>
        </is>
      </c>
      <c r="E833" s="2" t="inlineStr">
        <is>
          <t>9937 Cuevas Ranch, Jenniferville, DC 01494</t>
        </is>
      </c>
      <c r="F833" s="2" t="inlineStr">
        <is>
          <t>Port John</t>
        </is>
      </c>
      <c r="G833" s="2" t="inlineStr">
        <is>
          <t>Nepal</t>
        </is>
      </c>
      <c r="H833" s="2" t="inlineStr">
        <is>
          <t>reality</t>
        </is>
      </c>
      <c r="I833" t="inlineStr">
        <is>
          <t>hair</t>
        </is>
      </c>
    </row>
    <row r="834">
      <c r="A834" s="2" t="inlineStr">
        <is>
          <t>C5345</t>
        </is>
      </c>
      <c r="B834" s="2" t="inlineStr">
        <is>
          <t>Tanya Mejia</t>
        </is>
      </c>
      <c r="C834" s="2" t="inlineStr">
        <is>
          <t>ywallace@hotmail.com</t>
        </is>
      </c>
      <c r="D834" s="2" t="inlineStr">
        <is>
          <t>001-362-3577</t>
        </is>
      </c>
      <c r="E834" s="2" t="inlineStr">
        <is>
          <t>20642 Vincent Trafficway Suite 812, Lopezside, AK 10112</t>
        </is>
      </c>
      <c r="F834" s="2" t="inlineStr">
        <is>
          <t>Port Raven</t>
        </is>
      </c>
      <c r="G834" s="2" t="inlineStr">
        <is>
          <t>United States Virgin Islands</t>
        </is>
      </c>
      <c r="H834" s="2" t="inlineStr">
        <is>
          <t>statement</t>
        </is>
      </c>
      <c r="I834" t="inlineStr">
        <is>
          <t>economy</t>
        </is>
      </c>
    </row>
    <row r="835">
      <c r="A835" s="2" t="inlineStr">
        <is>
          <t>C3314</t>
        </is>
      </c>
      <c r="B835" s="2" t="inlineStr">
        <is>
          <t>Ryan Jones PhD</t>
        </is>
      </c>
      <c r="C835" s="2" t="inlineStr">
        <is>
          <t>grant53@black.info</t>
        </is>
      </c>
      <c r="D835" s="2" t="inlineStr">
        <is>
          <t>(693)190-0338</t>
        </is>
      </c>
      <c r="E835" s="2" t="inlineStr">
        <is>
          <t>05425 Jennifer Corner Apt. 157, Laurentown, MN 25113</t>
        </is>
      </c>
      <c r="F835" s="2" t="inlineStr">
        <is>
          <t>Lake Blake</t>
        </is>
      </c>
      <c r="G835" s="2" t="inlineStr">
        <is>
          <t>Hong Kong</t>
        </is>
      </c>
      <c r="H835" s="2" t="inlineStr">
        <is>
          <t>bring</t>
        </is>
      </c>
      <c r="I835" t="inlineStr">
        <is>
          <t>beat</t>
        </is>
      </c>
    </row>
    <row r="836">
      <c r="A836" s="2" t="inlineStr">
        <is>
          <t>C5512</t>
        </is>
      </c>
      <c r="B836" s="2" t="inlineStr">
        <is>
          <t>Trevor Ortiz</t>
        </is>
      </c>
      <c r="C836" s="2" t="inlineStr">
        <is>
          <t>smithsusan@yahoo.com</t>
        </is>
      </c>
      <c r="D836" s="2" t="inlineStr">
        <is>
          <t>339.492.1960x3321</t>
        </is>
      </c>
      <c r="E836" s="2" t="inlineStr">
        <is>
          <t>5849 Reese Ranch Apt. 451, Jacobburgh, NV 89526</t>
        </is>
      </c>
      <c r="F836" s="2" t="inlineStr">
        <is>
          <t>North Jason</t>
        </is>
      </c>
      <c r="G836" s="2" t="inlineStr">
        <is>
          <t>Cote d'Ivoire</t>
        </is>
      </c>
      <c r="H836" s="2" t="inlineStr">
        <is>
          <t>clearly</t>
        </is>
      </c>
      <c r="I836" t="inlineStr">
        <is>
          <t>yet</t>
        </is>
      </c>
    </row>
    <row r="837">
      <c r="A837" s="2" t="inlineStr">
        <is>
          <t>C1486</t>
        </is>
      </c>
      <c r="B837" s="2" t="inlineStr">
        <is>
          <t>Jason Clarke</t>
        </is>
      </c>
      <c r="C837" s="2" t="inlineStr">
        <is>
          <t>vjones@matthews.com</t>
        </is>
      </c>
      <c r="D837" s="2" t="inlineStr">
        <is>
          <t>001-219-316-4910x11810</t>
        </is>
      </c>
      <c r="E837" s="2" t="inlineStr">
        <is>
          <t>89610 Chavez Fall, Tinaland, RI 49344</t>
        </is>
      </c>
      <c r="F837" s="2" t="inlineStr">
        <is>
          <t>Jessicashire</t>
        </is>
      </c>
      <c r="G837" s="2" t="inlineStr">
        <is>
          <t>Nepal</t>
        </is>
      </c>
      <c r="H837" s="2" t="inlineStr">
        <is>
          <t>anything</t>
        </is>
      </c>
      <c r="I837" t="inlineStr">
        <is>
          <t>perhaps</t>
        </is>
      </c>
    </row>
    <row r="838">
      <c r="A838" s="2" t="inlineStr">
        <is>
          <t>C2841</t>
        </is>
      </c>
      <c r="B838" s="2" t="inlineStr">
        <is>
          <t>Kathleen Burns</t>
        </is>
      </c>
      <c r="C838" s="2" t="inlineStr">
        <is>
          <t>thompsonvictor@yahoo.com</t>
        </is>
      </c>
      <c r="D838" s="2" t="inlineStr">
        <is>
          <t>958.707.7303</t>
        </is>
      </c>
      <c r="E838" s="2" t="inlineStr">
        <is>
          <t>60644 Walls Dam, Bradleyshire, AK 58506</t>
        </is>
      </c>
      <c r="F838" s="2" t="inlineStr">
        <is>
          <t>Donaldshire</t>
        </is>
      </c>
      <c r="G838" s="2" t="inlineStr">
        <is>
          <t>Anguilla</t>
        </is>
      </c>
      <c r="H838" s="2" t="inlineStr">
        <is>
          <t>meet</t>
        </is>
      </c>
      <c r="I838" t="inlineStr">
        <is>
          <t>focus</t>
        </is>
      </c>
    </row>
    <row r="839">
      <c r="A839" s="2" t="inlineStr">
        <is>
          <t>C6267</t>
        </is>
      </c>
      <c r="B839" s="2" t="inlineStr">
        <is>
          <t>Carol Norris</t>
        </is>
      </c>
      <c r="C839" s="2" t="inlineStr">
        <is>
          <t>carmenshaw@miller.com</t>
        </is>
      </c>
      <c r="D839" s="2" t="inlineStr">
        <is>
          <t>001-355-559-5879x57402</t>
        </is>
      </c>
      <c r="E839" s="2" t="inlineStr">
        <is>
          <t>6134 Amanda Islands Suite 922, Lake Carol, ME 70376</t>
        </is>
      </c>
      <c r="F839" s="2" t="inlineStr">
        <is>
          <t>Port Danielle</t>
        </is>
      </c>
      <c r="G839" s="2" t="inlineStr">
        <is>
          <t>Uganda</t>
        </is>
      </c>
      <c r="H839" s="2" t="inlineStr">
        <is>
          <t>week</t>
        </is>
      </c>
      <c r="I839" t="inlineStr">
        <is>
          <t>girl</t>
        </is>
      </c>
    </row>
    <row r="840">
      <c r="A840" s="2" t="inlineStr">
        <is>
          <t>C3992</t>
        </is>
      </c>
      <c r="B840" s="2" t="inlineStr">
        <is>
          <t>Jonathan Vance</t>
        </is>
      </c>
      <c r="C840" s="2" t="inlineStr">
        <is>
          <t>steelejeremy@davis.com</t>
        </is>
      </c>
      <c r="D840" s="2" t="inlineStr">
        <is>
          <t>910-832-8816</t>
        </is>
      </c>
      <c r="E840" s="2" t="inlineStr">
        <is>
          <t>33632 Butler Cliff, Port Kaitlin, KY 92636</t>
        </is>
      </c>
      <c r="F840" s="2" t="inlineStr">
        <is>
          <t>Nealshire</t>
        </is>
      </c>
      <c r="G840" s="2" t="inlineStr">
        <is>
          <t>Norway</t>
        </is>
      </c>
      <c r="H840" s="2" t="inlineStr">
        <is>
          <t>maintain</t>
        </is>
      </c>
      <c r="I840" t="inlineStr">
        <is>
          <t>rule</t>
        </is>
      </c>
    </row>
    <row r="841">
      <c r="A841" s="2" t="inlineStr">
        <is>
          <t>C6483</t>
        </is>
      </c>
      <c r="B841" s="2" t="inlineStr">
        <is>
          <t>Willie Miranda</t>
        </is>
      </c>
      <c r="C841" s="2" t="inlineStr">
        <is>
          <t>jennifer75@yahoo.com</t>
        </is>
      </c>
      <c r="D841" s="2" t="inlineStr">
        <is>
          <t>001-640-110-5704</t>
        </is>
      </c>
      <c r="E841" s="2" t="inlineStr">
        <is>
          <t>PSC 8834, Box 2369, APO AA 66954</t>
        </is>
      </c>
      <c r="F841" s="2" t="inlineStr">
        <is>
          <t>Amandaville</t>
        </is>
      </c>
      <c r="G841" s="2" t="inlineStr">
        <is>
          <t>Timor-Leste</t>
        </is>
      </c>
      <c r="H841" s="2" t="inlineStr">
        <is>
          <t>drive</t>
        </is>
      </c>
      <c r="I841" t="inlineStr">
        <is>
          <t>difference</t>
        </is>
      </c>
    </row>
    <row r="842">
      <c r="A842" s="2" t="inlineStr">
        <is>
          <t>C3039</t>
        </is>
      </c>
      <c r="B842" s="2" t="inlineStr">
        <is>
          <t>Julie Fox</t>
        </is>
      </c>
      <c r="C842" s="2" t="inlineStr">
        <is>
          <t>smithcarolyn@hotmail.com</t>
        </is>
      </c>
      <c r="D842" s="2" t="inlineStr">
        <is>
          <t>220-789-2593</t>
        </is>
      </c>
      <c r="E842" s="2" t="inlineStr">
        <is>
          <t>7624 Callahan Turnpike, West Albert, VT 25494</t>
        </is>
      </c>
      <c r="F842" s="2" t="inlineStr">
        <is>
          <t>North Lisa</t>
        </is>
      </c>
      <c r="G842" s="2" t="inlineStr">
        <is>
          <t>Equatorial Guinea</t>
        </is>
      </c>
      <c r="H842" s="2" t="inlineStr">
        <is>
          <t>per</t>
        </is>
      </c>
      <c r="I842" t="inlineStr">
        <is>
          <t>full</t>
        </is>
      </c>
    </row>
    <row r="843">
      <c r="A843" s="2" t="inlineStr">
        <is>
          <t>C4719</t>
        </is>
      </c>
      <c r="B843" s="2" t="inlineStr">
        <is>
          <t>Karen Herrera</t>
        </is>
      </c>
      <c r="C843" s="2" t="inlineStr">
        <is>
          <t>dfitzgerald@yahoo.com</t>
        </is>
      </c>
      <c r="D843" s="2" t="inlineStr">
        <is>
          <t>(046)772-1870x64173</t>
        </is>
      </c>
      <c r="E843" s="2" t="inlineStr">
        <is>
          <t>PSC 6460, Box 5811, APO AA 93404</t>
        </is>
      </c>
      <c r="F843" s="2" t="inlineStr">
        <is>
          <t>Matthewton</t>
        </is>
      </c>
      <c r="G843" s="2" t="inlineStr">
        <is>
          <t>Nepal</t>
        </is>
      </c>
      <c r="H843" s="2" t="inlineStr">
        <is>
          <t>too</t>
        </is>
      </c>
      <c r="I843" t="inlineStr">
        <is>
          <t>pressure</t>
        </is>
      </c>
    </row>
    <row r="844">
      <c r="A844" s="2" t="inlineStr">
        <is>
          <t>C5591</t>
        </is>
      </c>
      <c r="B844" s="2" t="inlineStr">
        <is>
          <t>Christina Rowe</t>
        </is>
      </c>
      <c r="C844" s="2" t="inlineStr">
        <is>
          <t>edwardsheather@hotmail.com</t>
        </is>
      </c>
      <c r="D844" s="2" t="inlineStr">
        <is>
          <t>226-609-9665x9530</t>
        </is>
      </c>
      <c r="E844" s="2" t="inlineStr">
        <is>
          <t>84021 Green Springs, East Sheila, TN 34047</t>
        </is>
      </c>
      <c r="F844" s="2" t="inlineStr">
        <is>
          <t>Wardton</t>
        </is>
      </c>
      <c r="G844" s="2" t="inlineStr">
        <is>
          <t>Korea</t>
        </is>
      </c>
      <c r="H844" s="2" t="inlineStr">
        <is>
          <t>goal</t>
        </is>
      </c>
      <c r="I844" t="inlineStr">
        <is>
          <t>protect</t>
        </is>
      </c>
    </row>
    <row r="845">
      <c r="A845" s="2" t="inlineStr">
        <is>
          <t>C1420</t>
        </is>
      </c>
      <c r="B845" s="2" t="inlineStr">
        <is>
          <t>Richard Diaz</t>
        </is>
      </c>
      <c r="C845" s="2" t="inlineStr">
        <is>
          <t>elizabethfields@knight.info</t>
        </is>
      </c>
      <c r="D845" s="2" t="inlineStr">
        <is>
          <t>+1-692-321-0960x76595</t>
        </is>
      </c>
      <c r="E845" s="2" t="inlineStr">
        <is>
          <t>Unit 8312 Box 4867, DPO AA 02549</t>
        </is>
      </c>
      <c r="F845" s="2" t="inlineStr">
        <is>
          <t>Mckeechester</t>
        </is>
      </c>
      <c r="G845" s="2" t="inlineStr">
        <is>
          <t>Lebanon</t>
        </is>
      </c>
      <c r="H845" s="2" t="inlineStr">
        <is>
          <t>total</t>
        </is>
      </c>
      <c r="I845" t="inlineStr">
        <is>
          <t>Mrs</t>
        </is>
      </c>
    </row>
    <row r="846">
      <c r="A846" s="2" t="inlineStr">
        <is>
          <t>C2670</t>
        </is>
      </c>
      <c r="B846" s="2" t="inlineStr">
        <is>
          <t>Kenneth Allen</t>
        </is>
      </c>
      <c r="C846" s="2" t="inlineStr">
        <is>
          <t>khale@martinez.org</t>
        </is>
      </c>
      <c r="D846" s="2" t="inlineStr">
        <is>
          <t>661-734-6909x4601</t>
        </is>
      </c>
      <c r="E846" s="2" t="inlineStr">
        <is>
          <t>USCGC English, FPO AA 45732</t>
        </is>
      </c>
      <c r="F846" s="2" t="inlineStr">
        <is>
          <t>New Jeffrey</t>
        </is>
      </c>
      <c r="G846" s="2" t="inlineStr">
        <is>
          <t>Equatorial Guinea</t>
        </is>
      </c>
      <c r="H846" s="2" t="inlineStr">
        <is>
          <t>law</t>
        </is>
      </c>
      <c r="I846" t="inlineStr">
        <is>
          <t>there</t>
        </is>
      </c>
    </row>
    <row r="847">
      <c r="A847" s="2" t="inlineStr">
        <is>
          <t>C8642</t>
        </is>
      </c>
      <c r="B847" s="2" t="inlineStr">
        <is>
          <t>William Henderson</t>
        </is>
      </c>
      <c r="C847" s="2" t="inlineStr">
        <is>
          <t>patricia88@clark-gonzalez.com</t>
        </is>
      </c>
      <c r="D847" s="2" t="inlineStr">
        <is>
          <t>+1-273-358-0981x83140</t>
        </is>
      </c>
      <c r="E847" s="2" t="inlineStr">
        <is>
          <t>Unit 3387 Box 9887, DPO AP 05787</t>
        </is>
      </c>
      <c r="F847" s="2" t="inlineStr">
        <is>
          <t>Ramirezland</t>
        </is>
      </c>
      <c r="G847" s="2" t="inlineStr">
        <is>
          <t>French Southern Territories</t>
        </is>
      </c>
      <c r="H847" s="2" t="inlineStr">
        <is>
          <t>a</t>
        </is>
      </c>
      <c r="I847" t="inlineStr">
        <is>
          <t>step</t>
        </is>
      </c>
    </row>
    <row r="848">
      <c r="A848" s="2" t="inlineStr">
        <is>
          <t>C9985</t>
        </is>
      </c>
      <c r="B848" s="2" t="inlineStr">
        <is>
          <t>Maria Gilbert</t>
        </is>
      </c>
      <c r="C848" s="2" t="inlineStr">
        <is>
          <t>juliaramirez@sloan-adams.biz</t>
        </is>
      </c>
      <c r="D848" s="2" t="inlineStr">
        <is>
          <t>(602)902-2521x825</t>
        </is>
      </c>
      <c r="E848" s="2" t="inlineStr">
        <is>
          <t>77577 Mueller Skyway Apt. 461, Pollardport, NC 63111</t>
        </is>
      </c>
      <c r="F848" s="2" t="inlineStr">
        <is>
          <t>Churchside</t>
        </is>
      </c>
      <c r="G848" s="2" t="inlineStr">
        <is>
          <t>Mongolia</t>
        </is>
      </c>
      <c r="H848" s="2" t="inlineStr">
        <is>
          <t>guy</t>
        </is>
      </c>
      <c r="I848" t="inlineStr">
        <is>
          <t>kitchen</t>
        </is>
      </c>
    </row>
    <row r="849">
      <c r="A849" s="2" t="inlineStr">
        <is>
          <t>C1682</t>
        </is>
      </c>
      <c r="B849" s="2" t="inlineStr">
        <is>
          <t>Adam Gonzales</t>
        </is>
      </c>
      <c r="C849" s="2" t="inlineStr">
        <is>
          <t>jenniferkemp@king.org</t>
        </is>
      </c>
      <c r="D849" s="2" t="inlineStr">
        <is>
          <t>797.378.4569x81992</t>
        </is>
      </c>
      <c r="E849" s="2" t="inlineStr">
        <is>
          <t>761 Zachary Lakes Apt. 397, Campbellton, PA 95055</t>
        </is>
      </c>
      <c r="F849" s="2" t="inlineStr">
        <is>
          <t>Reginafort</t>
        </is>
      </c>
      <c r="G849" s="2" t="inlineStr">
        <is>
          <t>Svalbard &amp; Jan Mayen Islands</t>
        </is>
      </c>
      <c r="H849" s="2" t="inlineStr">
        <is>
          <t>student</t>
        </is>
      </c>
      <c r="I849" t="inlineStr">
        <is>
          <t>whether</t>
        </is>
      </c>
    </row>
    <row r="850">
      <c r="A850" s="2" t="inlineStr">
        <is>
          <t>C9447</t>
        </is>
      </c>
      <c r="B850" s="2" t="inlineStr">
        <is>
          <t>Wendy Brown</t>
        </is>
      </c>
      <c r="C850" s="2" t="inlineStr">
        <is>
          <t>stephaniegrant@hotmail.com</t>
        </is>
      </c>
      <c r="D850" s="2" t="inlineStr">
        <is>
          <t>1935735660</t>
        </is>
      </c>
      <c r="E850" s="2" t="inlineStr">
        <is>
          <t>8599 Sherman Ridges, Lake Aaron, UT 58702</t>
        </is>
      </c>
      <c r="F850" s="2" t="inlineStr">
        <is>
          <t>Estradastad</t>
        </is>
      </c>
      <c r="G850" s="2" t="inlineStr">
        <is>
          <t>Belgium</t>
        </is>
      </c>
      <c r="H850" s="2" t="inlineStr">
        <is>
          <t>identify</t>
        </is>
      </c>
      <c r="I850" t="inlineStr">
        <is>
          <t>at</t>
        </is>
      </c>
    </row>
    <row r="851">
      <c r="A851" s="2" t="inlineStr">
        <is>
          <t>C6980</t>
        </is>
      </c>
      <c r="B851" s="2" t="inlineStr">
        <is>
          <t>Alyssa Singh</t>
        </is>
      </c>
      <c r="C851" s="2" t="inlineStr">
        <is>
          <t>amandamorgan@hotmail.com</t>
        </is>
      </c>
      <c r="D851" s="2" t="inlineStr">
        <is>
          <t>(242)020-0611</t>
        </is>
      </c>
      <c r="E851" s="2" t="inlineStr">
        <is>
          <t>27629 Benjamin Crescent Suite 387, Hughesport, PA 27192</t>
        </is>
      </c>
      <c r="F851" s="2" t="inlineStr">
        <is>
          <t>Lake Rebekah</t>
        </is>
      </c>
      <c r="G851" s="2" t="inlineStr">
        <is>
          <t>Central African Republic</t>
        </is>
      </c>
      <c r="H851" s="2" t="inlineStr">
        <is>
          <t>group</t>
        </is>
      </c>
      <c r="I851" t="inlineStr">
        <is>
          <t>attention</t>
        </is>
      </c>
    </row>
    <row r="852">
      <c r="A852" s="2" t="inlineStr">
        <is>
          <t>C6340</t>
        </is>
      </c>
      <c r="B852" s="2" t="inlineStr">
        <is>
          <t>Dr. Michael Anderson</t>
        </is>
      </c>
      <c r="C852" s="2" t="inlineStr">
        <is>
          <t>melissa43@gmail.com</t>
        </is>
      </c>
      <c r="D852" s="2" t="inlineStr">
        <is>
          <t>067.750.9108x20242</t>
        </is>
      </c>
      <c r="E852" s="2" t="inlineStr">
        <is>
          <t>75783 Williamson Flats, Michaelton, TX 98193</t>
        </is>
      </c>
      <c r="F852" s="2" t="inlineStr">
        <is>
          <t>West Elijah</t>
        </is>
      </c>
      <c r="G852" s="2" t="inlineStr">
        <is>
          <t>Isle of Man</t>
        </is>
      </c>
      <c r="H852" s="2" t="inlineStr">
        <is>
          <t>car</t>
        </is>
      </c>
      <c r="I852" t="inlineStr">
        <is>
          <t>recently</t>
        </is>
      </c>
    </row>
    <row r="853">
      <c r="A853" s="2" t="inlineStr">
        <is>
          <t>C9445</t>
        </is>
      </c>
      <c r="B853" s="2" t="inlineStr">
        <is>
          <t>Jennifer Bowers</t>
        </is>
      </c>
      <c r="C853" s="2" t="inlineStr">
        <is>
          <t>carpenterdaniel@yahoo.com</t>
        </is>
      </c>
      <c r="D853" s="2" t="inlineStr">
        <is>
          <t>586-236-3129</t>
        </is>
      </c>
      <c r="E853" s="2" t="inlineStr">
        <is>
          <t>593 Conway Oval, Christensenchester, CA 44145</t>
        </is>
      </c>
      <c r="F853" s="2" t="inlineStr">
        <is>
          <t>Port David</t>
        </is>
      </c>
      <c r="G853" s="2" t="inlineStr">
        <is>
          <t>Liechtenstein</t>
        </is>
      </c>
      <c r="H853" s="2" t="inlineStr">
        <is>
          <t>none</t>
        </is>
      </c>
      <c r="I853" t="inlineStr">
        <is>
          <t>public</t>
        </is>
      </c>
    </row>
    <row r="854">
      <c r="A854" s="2" t="inlineStr">
        <is>
          <t>C4429</t>
        </is>
      </c>
      <c r="B854" s="2" t="inlineStr">
        <is>
          <t>Mrs. Sarah Oliver</t>
        </is>
      </c>
      <c r="C854" s="2" t="inlineStr">
        <is>
          <t>randolphleon@knox.biz</t>
        </is>
      </c>
      <c r="D854" s="2" t="inlineStr">
        <is>
          <t>9707934885</t>
        </is>
      </c>
      <c r="E854" s="2" t="inlineStr">
        <is>
          <t>295 Jordan Meadow Apt. 766, Port Jennifertown, MS 20315</t>
        </is>
      </c>
      <c r="F854" s="2" t="inlineStr">
        <is>
          <t>East Patrick</t>
        </is>
      </c>
      <c r="G854" s="2" t="inlineStr">
        <is>
          <t>Netherlands</t>
        </is>
      </c>
      <c r="H854" s="2" t="inlineStr">
        <is>
          <t>above</t>
        </is>
      </c>
      <c r="I854" t="inlineStr">
        <is>
          <t>industry</t>
        </is>
      </c>
    </row>
    <row r="855">
      <c r="A855" s="2" t="inlineStr">
        <is>
          <t>C6990</t>
        </is>
      </c>
      <c r="B855" s="2" t="inlineStr">
        <is>
          <t>Michele Martinez</t>
        </is>
      </c>
      <c r="C855" s="2" t="inlineStr">
        <is>
          <t>jacob97@hotmail.com</t>
        </is>
      </c>
      <c r="D855" s="2" t="inlineStr">
        <is>
          <t>518.762.9231x2983</t>
        </is>
      </c>
      <c r="E855" s="2" t="inlineStr">
        <is>
          <t>8615 Jeremy Lights, North Michellestad, IA 96859</t>
        </is>
      </c>
      <c r="F855" s="2" t="inlineStr">
        <is>
          <t>New Dalestad</t>
        </is>
      </c>
      <c r="G855" s="2" t="inlineStr">
        <is>
          <t>Jamaica</t>
        </is>
      </c>
      <c r="H855" s="2" t="inlineStr">
        <is>
          <t>popular</t>
        </is>
      </c>
      <c r="I855" t="inlineStr">
        <is>
          <t>improve</t>
        </is>
      </c>
    </row>
    <row r="856">
      <c r="A856" s="2" t="inlineStr">
        <is>
          <t>C9743</t>
        </is>
      </c>
      <c r="B856" s="2" t="inlineStr">
        <is>
          <t>Michael Kennedy</t>
        </is>
      </c>
      <c r="C856" s="2" t="inlineStr">
        <is>
          <t>ipatterson@gmail.com</t>
        </is>
      </c>
      <c r="D856" s="2" t="inlineStr">
        <is>
          <t>706-599-0770</t>
        </is>
      </c>
      <c r="E856" s="2" t="inlineStr">
        <is>
          <t>22104 Debra Tunnel, Port Penny, NY 83035</t>
        </is>
      </c>
      <c r="F856" s="2" t="inlineStr">
        <is>
          <t>North Brittany</t>
        </is>
      </c>
      <c r="G856" s="2" t="inlineStr">
        <is>
          <t>Gibraltar</t>
        </is>
      </c>
      <c r="H856" s="2" t="inlineStr">
        <is>
          <t>section</t>
        </is>
      </c>
      <c r="I856" t="inlineStr">
        <is>
          <t>which</t>
        </is>
      </c>
    </row>
    <row r="857">
      <c r="A857" s="2" t="inlineStr">
        <is>
          <t>C6785</t>
        </is>
      </c>
      <c r="B857" s="2" t="inlineStr">
        <is>
          <t>Joshua Allen</t>
        </is>
      </c>
      <c r="C857" s="2" t="inlineStr">
        <is>
          <t>spencerdixon@allen.org</t>
        </is>
      </c>
      <c r="D857" s="2" t="inlineStr">
        <is>
          <t>(496)081-3948</t>
        </is>
      </c>
      <c r="E857" s="2" t="inlineStr">
        <is>
          <t>6869 Ashley Court, West Kimberly, DC 12906</t>
        </is>
      </c>
      <c r="F857" s="2" t="inlineStr">
        <is>
          <t>Phillipsmouth</t>
        </is>
      </c>
      <c r="G857" s="2" t="inlineStr">
        <is>
          <t>Falkland Islands (Malvinas)</t>
        </is>
      </c>
      <c r="H857" s="2" t="inlineStr">
        <is>
          <t>sport</t>
        </is>
      </c>
      <c r="I857" t="inlineStr">
        <is>
          <t>something</t>
        </is>
      </c>
    </row>
    <row r="858">
      <c r="A858" s="2" t="inlineStr">
        <is>
          <t>C8126</t>
        </is>
      </c>
      <c r="B858" s="2" t="inlineStr">
        <is>
          <t>Jay Walker</t>
        </is>
      </c>
      <c r="C858" s="2" t="inlineStr">
        <is>
          <t>brian89@johnston.com</t>
        </is>
      </c>
      <c r="D858" s="2" t="inlineStr">
        <is>
          <t>147.296.8019</t>
        </is>
      </c>
      <c r="E858" s="2" t="inlineStr">
        <is>
          <t>84326 Shelby Mountains, East Kathleenton, KY 51428</t>
        </is>
      </c>
      <c r="F858" s="2" t="inlineStr">
        <is>
          <t>Ashleyshire</t>
        </is>
      </c>
      <c r="G858" s="2" t="inlineStr">
        <is>
          <t>Estonia</t>
        </is>
      </c>
      <c r="H858" s="2" t="inlineStr">
        <is>
          <t>audience</t>
        </is>
      </c>
      <c r="I858" t="inlineStr">
        <is>
          <t>practice</t>
        </is>
      </c>
    </row>
    <row r="859">
      <c r="A859" s="2" t="inlineStr">
        <is>
          <t>C1596</t>
        </is>
      </c>
      <c r="B859" s="2" t="inlineStr">
        <is>
          <t>Ryan Sanchez</t>
        </is>
      </c>
      <c r="C859" s="2" t="inlineStr">
        <is>
          <t>tracy31@hotmail.com</t>
        </is>
      </c>
      <c r="D859" s="2" t="inlineStr">
        <is>
          <t>(692)260-8440x14239</t>
        </is>
      </c>
      <c r="E859" s="2" t="inlineStr">
        <is>
          <t>045 Smith Route, Heathermouth, WI 07151</t>
        </is>
      </c>
      <c r="F859" s="2" t="inlineStr">
        <is>
          <t>Port Angelachester</t>
        </is>
      </c>
      <c r="G859" s="2" t="inlineStr">
        <is>
          <t>Angola</t>
        </is>
      </c>
      <c r="H859" s="2" t="inlineStr">
        <is>
          <t>PM</t>
        </is>
      </c>
      <c r="I859" t="inlineStr">
        <is>
          <t>value</t>
        </is>
      </c>
    </row>
    <row r="860">
      <c r="A860" s="2" t="inlineStr">
        <is>
          <t>C9861</t>
        </is>
      </c>
      <c r="B860" s="2" t="inlineStr">
        <is>
          <t>Karen Hernandez</t>
        </is>
      </c>
      <c r="C860" s="2" t="inlineStr">
        <is>
          <t>stephensingh@hotmail.com</t>
        </is>
      </c>
      <c r="D860" s="2" t="inlineStr">
        <is>
          <t>(076)720-0665</t>
        </is>
      </c>
      <c r="E860" s="2" t="inlineStr">
        <is>
          <t>179 Bell Burg Apt. 763, Cameronchester, TX 40952</t>
        </is>
      </c>
      <c r="F860" s="2" t="inlineStr">
        <is>
          <t>Karenstad</t>
        </is>
      </c>
      <c r="G860" s="2" t="inlineStr">
        <is>
          <t>Bangladesh</t>
        </is>
      </c>
      <c r="H860" s="2" t="inlineStr">
        <is>
          <t>program</t>
        </is>
      </c>
      <c r="I860" t="inlineStr">
        <is>
          <t>who</t>
        </is>
      </c>
    </row>
    <row r="861">
      <c r="A861" s="2" t="inlineStr">
        <is>
          <t>C1822</t>
        </is>
      </c>
      <c r="B861" s="2" t="inlineStr">
        <is>
          <t>Robert Anderson</t>
        </is>
      </c>
      <c r="C861" s="2" t="inlineStr">
        <is>
          <t>debragallagher@gmail.com</t>
        </is>
      </c>
      <c r="D861" s="2" t="inlineStr">
        <is>
          <t>001-229-199-1932</t>
        </is>
      </c>
      <c r="E861" s="2" t="inlineStr">
        <is>
          <t>1971 Sweeney Roads Apt. 534, Lake Jonathanberg, FL 20826</t>
        </is>
      </c>
      <c r="F861" s="2" t="inlineStr">
        <is>
          <t>Richardchester</t>
        </is>
      </c>
      <c r="G861" s="2" t="inlineStr">
        <is>
          <t>Libyan Arab Jamahiriya</t>
        </is>
      </c>
      <c r="H861" s="2" t="inlineStr">
        <is>
          <t>large</t>
        </is>
      </c>
      <c r="I861" t="inlineStr">
        <is>
          <t>gas</t>
        </is>
      </c>
    </row>
    <row r="862">
      <c r="A862" s="2" t="inlineStr">
        <is>
          <t>C5541</t>
        </is>
      </c>
      <c r="B862" s="2" t="inlineStr">
        <is>
          <t>Kristin Moody</t>
        </is>
      </c>
      <c r="C862" s="2" t="inlineStr">
        <is>
          <t>jjennings@aguirre.com</t>
        </is>
      </c>
      <c r="D862" s="2" t="inlineStr">
        <is>
          <t>737.024.2178</t>
        </is>
      </c>
      <c r="E862" s="2" t="inlineStr">
        <is>
          <t>515 Crystal Flats, West Kyle, AK 47675</t>
        </is>
      </c>
      <c r="F862" s="2" t="inlineStr">
        <is>
          <t>Davisshire</t>
        </is>
      </c>
      <c r="G862" s="2" t="inlineStr">
        <is>
          <t>Jersey</t>
        </is>
      </c>
      <c r="H862" s="2" t="inlineStr">
        <is>
          <t>woman</t>
        </is>
      </c>
      <c r="I862" t="inlineStr">
        <is>
          <t>hit</t>
        </is>
      </c>
    </row>
    <row r="863">
      <c r="A863" s="2" t="inlineStr">
        <is>
          <t>C4104</t>
        </is>
      </c>
      <c r="B863" s="2" t="inlineStr">
        <is>
          <t>Kimberly Hall</t>
        </is>
      </c>
      <c r="C863" s="2" t="inlineStr">
        <is>
          <t>foxdiana@hotmail.com</t>
        </is>
      </c>
      <c r="D863" s="2" t="inlineStr">
        <is>
          <t>+1-897-800-9511x740</t>
        </is>
      </c>
      <c r="E863" s="2" t="inlineStr">
        <is>
          <t>6704 James Heights, Lake Loganport, HI 45735</t>
        </is>
      </c>
      <c r="F863" s="2" t="inlineStr">
        <is>
          <t>Vanessashire</t>
        </is>
      </c>
      <c r="G863" s="2" t="inlineStr">
        <is>
          <t>Jersey</t>
        </is>
      </c>
      <c r="H863" s="2" t="inlineStr">
        <is>
          <t>rise</t>
        </is>
      </c>
      <c r="I863" t="inlineStr">
        <is>
          <t>cover</t>
        </is>
      </c>
    </row>
    <row r="864">
      <c r="A864" s="2" t="inlineStr">
        <is>
          <t>C2417</t>
        </is>
      </c>
      <c r="B864" s="2" t="inlineStr">
        <is>
          <t>Thomas Mccarthy</t>
        </is>
      </c>
      <c r="C864" s="2" t="inlineStr">
        <is>
          <t>smiller@gmail.com</t>
        </is>
      </c>
      <c r="D864" s="2" t="inlineStr">
        <is>
          <t>390-929-9509</t>
        </is>
      </c>
      <c r="E864" s="2" t="inlineStr">
        <is>
          <t>980 Melissa Alley Suite 669, Fisherberg, CA 47641</t>
        </is>
      </c>
      <c r="F864" s="2" t="inlineStr">
        <is>
          <t>East Lisaborough</t>
        </is>
      </c>
      <c r="G864" s="2" t="inlineStr">
        <is>
          <t>Guinea-Bissau</t>
        </is>
      </c>
      <c r="H864" s="2" t="inlineStr">
        <is>
          <t>key</t>
        </is>
      </c>
      <c r="I864" t="inlineStr">
        <is>
          <t>nice</t>
        </is>
      </c>
    </row>
    <row r="865">
      <c r="A865" s="2" t="inlineStr">
        <is>
          <t>C1521</t>
        </is>
      </c>
      <c r="B865" s="2" t="inlineStr">
        <is>
          <t>Jeffrey Lewis</t>
        </is>
      </c>
      <c r="C865" s="2" t="inlineStr">
        <is>
          <t>ehutchinson@bradley.org</t>
        </is>
      </c>
      <c r="D865" s="2" t="inlineStr">
        <is>
          <t>105-145-6408x8193</t>
        </is>
      </c>
      <c r="E865" s="2" t="inlineStr">
        <is>
          <t>91364 Cunningham River Suite 267, Lake Brandonhaven, SD 45767</t>
        </is>
      </c>
      <c r="F865" s="2" t="inlineStr">
        <is>
          <t>Smithtown</t>
        </is>
      </c>
      <c r="G865" s="2" t="inlineStr">
        <is>
          <t>Micronesia</t>
        </is>
      </c>
      <c r="H865" s="2" t="inlineStr">
        <is>
          <t>fight</t>
        </is>
      </c>
      <c r="I865" t="inlineStr">
        <is>
          <t>here</t>
        </is>
      </c>
    </row>
    <row r="866">
      <c r="A866" s="2" t="inlineStr">
        <is>
          <t>C7550</t>
        </is>
      </c>
      <c r="B866" s="2" t="inlineStr">
        <is>
          <t>Kim Hawkins</t>
        </is>
      </c>
      <c r="C866" s="2" t="inlineStr">
        <is>
          <t>glennlong@yahoo.com</t>
        </is>
      </c>
      <c r="D866" s="2" t="inlineStr">
        <is>
          <t>501-436-9532</t>
        </is>
      </c>
      <c r="E866" s="2" t="inlineStr">
        <is>
          <t>585 Adams Inlet, Cindystad, WA 11245</t>
        </is>
      </c>
      <c r="F866" s="2" t="inlineStr">
        <is>
          <t>Derrickbury</t>
        </is>
      </c>
      <c r="G866" s="2" t="inlineStr">
        <is>
          <t>Denmark</t>
        </is>
      </c>
      <c r="H866" s="2" t="inlineStr">
        <is>
          <t>buy</t>
        </is>
      </c>
      <c r="I866" t="inlineStr">
        <is>
          <t>no</t>
        </is>
      </c>
    </row>
    <row r="867">
      <c r="A867" s="2" t="inlineStr">
        <is>
          <t>C6198</t>
        </is>
      </c>
      <c r="B867" s="2" t="inlineStr">
        <is>
          <t>Elizabeth Mcmahon</t>
        </is>
      </c>
      <c r="C867" s="2" t="inlineStr">
        <is>
          <t>awilkins@sanchez.net</t>
        </is>
      </c>
      <c r="D867" s="2" t="inlineStr">
        <is>
          <t>8488124295</t>
        </is>
      </c>
      <c r="E867" s="2" t="inlineStr">
        <is>
          <t>6551 Dawn Plain, Lake Jacqueline, AZ 66952</t>
        </is>
      </c>
      <c r="F867" s="2" t="inlineStr">
        <is>
          <t>Arnoldview</t>
        </is>
      </c>
      <c r="G867" s="2" t="inlineStr">
        <is>
          <t>Serbia</t>
        </is>
      </c>
      <c r="H867" s="2" t="inlineStr">
        <is>
          <t>record</t>
        </is>
      </c>
      <c r="I867" t="inlineStr">
        <is>
          <t>full</t>
        </is>
      </c>
    </row>
    <row r="868">
      <c r="A868" s="2" t="inlineStr">
        <is>
          <t>C5398</t>
        </is>
      </c>
      <c r="B868" s="2" t="inlineStr">
        <is>
          <t>Katherine Jones</t>
        </is>
      </c>
      <c r="C868" s="2" t="inlineStr">
        <is>
          <t>timothy29@weaver-harris.com</t>
        </is>
      </c>
      <c r="D868" s="2" t="inlineStr">
        <is>
          <t>950.950.8713x44567</t>
        </is>
      </c>
      <c r="E868" s="2" t="inlineStr">
        <is>
          <t>83949 Moreno Ridges, Melendezberg, VA 20839</t>
        </is>
      </c>
      <c r="F868" s="2" t="inlineStr">
        <is>
          <t>Mitchellchester</t>
        </is>
      </c>
      <c r="G868" s="2" t="inlineStr">
        <is>
          <t>Guatemala</t>
        </is>
      </c>
      <c r="H868" s="2" t="inlineStr">
        <is>
          <t>woman</t>
        </is>
      </c>
      <c r="I868" t="inlineStr">
        <is>
          <t>section</t>
        </is>
      </c>
    </row>
    <row r="869">
      <c r="A869" s="2" t="inlineStr">
        <is>
          <t>C6574</t>
        </is>
      </c>
      <c r="B869" s="2" t="inlineStr">
        <is>
          <t>Heather Maynard</t>
        </is>
      </c>
      <c r="C869" s="2" t="inlineStr">
        <is>
          <t>terryjackson@hotmail.com</t>
        </is>
      </c>
      <c r="D869" s="2" t="inlineStr">
        <is>
          <t>001-272-565-4894</t>
        </is>
      </c>
      <c r="E869" s="2" t="inlineStr">
        <is>
          <t>89844 Paul Spur, Cruzfurt, MN 22067</t>
        </is>
      </c>
      <c r="F869" s="2" t="inlineStr">
        <is>
          <t>New James</t>
        </is>
      </c>
      <c r="G869" s="2" t="inlineStr">
        <is>
          <t>Liberia</t>
        </is>
      </c>
      <c r="H869" s="2" t="inlineStr">
        <is>
          <t>window</t>
        </is>
      </c>
      <c r="I869" t="inlineStr">
        <is>
          <t>type</t>
        </is>
      </c>
    </row>
    <row r="870">
      <c r="A870" s="2" t="inlineStr">
        <is>
          <t>C9861</t>
        </is>
      </c>
      <c r="B870" s="2" t="inlineStr">
        <is>
          <t>Joseph Burke</t>
        </is>
      </c>
      <c r="C870" s="2" t="inlineStr">
        <is>
          <t>rgarcia@gmail.com</t>
        </is>
      </c>
      <c r="D870" s="2" t="inlineStr">
        <is>
          <t>043-120-3993</t>
        </is>
      </c>
      <c r="E870" s="2" t="inlineStr">
        <is>
          <t>4117 Kelly Trafficway Suite 990, East Deborah, NV 48103</t>
        </is>
      </c>
      <c r="F870" s="2" t="inlineStr">
        <is>
          <t>Russellland</t>
        </is>
      </c>
      <c r="G870" s="2" t="inlineStr">
        <is>
          <t>United States of America</t>
        </is>
      </c>
      <c r="H870" s="2" t="inlineStr">
        <is>
          <t>door</t>
        </is>
      </c>
      <c r="I870" t="inlineStr">
        <is>
          <t>within</t>
        </is>
      </c>
    </row>
    <row r="871">
      <c r="A871" s="2" t="inlineStr">
        <is>
          <t>C8797</t>
        </is>
      </c>
      <c r="B871" s="2" t="inlineStr">
        <is>
          <t>Andrew Bowman</t>
        </is>
      </c>
      <c r="C871" s="2" t="inlineStr">
        <is>
          <t>kinggregory@phillips.org</t>
        </is>
      </c>
      <c r="D871" s="2" t="inlineStr">
        <is>
          <t>+1-947-257-0564x409</t>
        </is>
      </c>
      <c r="E871" s="2" t="inlineStr">
        <is>
          <t>262 Mary Summit Suite 476, Michelleland, NM 12558</t>
        </is>
      </c>
      <c r="F871" s="2" t="inlineStr">
        <is>
          <t>Port Stanley</t>
        </is>
      </c>
      <c r="G871" s="2" t="inlineStr">
        <is>
          <t>Saint Barthelemy</t>
        </is>
      </c>
      <c r="H871" s="2" t="inlineStr">
        <is>
          <t>in</t>
        </is>
      </c>
      <c r="I871" t="inlineStr">
        <is>
          <t>exactly</t>
        </is>
      </c>
    </row>
    <row r="872">
      <c r="A872" s="2" t="inlineStr">
        <is>
          <t>C5659</t>
        </is>
      </c>
      <c r="B872" s="2" t="inlineStr">
        <is>
          <t>Nicole Kirk</t>
        </is>
      </c>
      <c r="C872" s="2" t="inlineStr">
        <is>
          <t>mporter@roberson.net</t>
        </is>
      </c>
      <c r="D872" s="2" t="inlineStr">
        <is>
          <t>001-885-543-4621x002</t>
        </is>
      </c>
      <c r="E872" s="2" t="inlineStr">
        <is>
          <t>04754 Hoffman Oval, Lake Debbiemouth, MO 44475</t>
        </is>
      </c>
      <c r="F872" s="2" t="inlineStr">
        <is>
          <t>Lake Lisa</t>
        </is>
      </c>
      <c r="G872" s="2" t="inlineStr">
        <is>
          <t>Finland</t>
        </is>
      </c>
      <c r="H872" s="2" t="inlineStr">
        <is>
          <t>tonight</t>
        </is>
      </c>
      <c r="I872" t="inlineStr">
        <is>
          <t>likely</t>
        </is>
      </c>
    </row>
    <row r="873">
      <c r="A873" s="2" t="inlineStr">
        <is>
          <t>C3612</t>
        </is>
      </c>
      <c r="B873" s="2" t="inlineStr">
        <is>
          <t>David Stewart</t>
        </is>
      </c>
      <c r="C873" s="2" t="inlineStr">
        <is>
          <t>johnsontheresa@gmail.com</t>
        </is>
      </c>
      <c r="D873" s="2" t="inlineStr">
        <is>
          <t>(269)108-9028x8498</t>
        </is>
      </c>
      <c r="E873" s="2" t="inlineStr">
        <is>
          <t>5180 Lawrence Ford, East Anthony, SC 52344</t>
        </is>
      </c>
      <c r="F873" s="2" t="inlineStr">
        <is>
          <t>East Albert</t>
        </is>
      </c>
      <c r="G873" s="2" t="inlineStr">
        <is>
          <t>Sudan</t>
        </is>
      </c>
      <c r="H873" s="2" t="inlineStr">
        <is>
          <t>break</t>
        </is>
      </c>
      <c r="I873" t="inlineStr">
        <is>
          <t>degree</t>
        </is>
      </c>
    </row>
    <row r="874">
      <c r="A874" s="2" t="inlineStr">
        <is>
          <t>C6483</t>
        </is>
      </c>
      <c r="B874" s="2" t="inlineStr">
        <is>
          <t>Dana Robles</t>
        </is>
      </c>
      <c r="C874" s="2" t="inlineStr">
        <is>
          <t>bellmichael@gmail.com</t>
        </is>
      </c>
      <c r="D874" s="2" t="inlineStr">
        <is>
          <t>001-263-663-0856x679</t>
        </is>
      </c>
      <c r="E874" s="2" t="inlineStr">
        <is>
          <t>1627 Hernandez Grove Suite 698, Jasminefort, SC 59163</t>
        </is>
      </c>
      <c r="F874" s="2" t="inlineStr">
        <is>
          <t>West Pamelashire</t>
        </is>
      </c>
      <c r="G874" s="2" t="inlineStr">
        <is>
          <t>Japan</t>
        </is>
      </c>
      <c r="H874" s="2" t="inlineStr">
        <is>
          <t>by</t>
        </is>
      </c>
      <c r="I874" t="inlineStr">
        <is>
          <t>keep</t>
        </is>
      </c>
    </row>
    <row r="875">
      <c r="A875" s="2" t="inlineStr">
        <is>
          <t>C8740</t>
        </is>
      </c>
      <c r="B875" s="2" t="inlineStr">
        <is>
          <t>Kevin Thompson</t>
        </is>
      </c>
      <c r="C875" s="2" t="inlineStr">
        <is>
          <t>megan44@brown.com</t>
        </is>
      </c>
      <c r="D875" s="2" t="inlineStr">
        <is>
          <t>+1-630-943-5454x5434</t>
        </is>
      </c>
      <c r="E875" s="2" t="inlineStr">
        <is>
          <t>66212 Williams Divide, Port Timothychester, MA 43244</t>
        </is>
      </c>
      <c r="F875" s="2" t="inlineStr">
        <is>
          <t>Booneport</t>
        </is>
      </c>
      <c r="G875" s="2" t="inlineStr">
        <is>
          <t>United Arab Emirates</t>
        </is>
      </c>
      <c r="H875" s="2" t="inlineStr">
        <is>
          <t>sort</t>
        </is>
      </c>
      <c r="I875" t="inlineStr">
        <is>
          <t>year</t>
        </is>
      </c>
    </row>
    <row r="876">
      <c r="A876" s="2" t="inlineStr">
        <is>
          <t>C5251</t>
        </is>
      </c>
      <c r="B876" s="2" t="inlineStr">
        <is>
          <t>Daniel Walters</t>
        </is>
      </c>
      <c r="C876" s="2" t="inlineStr">
        <is>
          <t>bradley19@fernandez-perez.net</t>
        </is>
      </c>
      <c r="D876" s="2" t="inlineStr">
        <is>
          <t>817.575.9201x482</t>
        </is>
      </c>
      <c r="E876" s="2" t="inlineStr">
        <is>
          <t>5185 Laura Prairie, Crawfordchester, NV 70028</t>
        </is>
      </c>
      <c r="F876" s="2" t="inlineStr">
        <is>
          <t>West Anthony</t>
        </is>
      </c>
      <c r="G876" s="2" t="inlineStr">
        <is>
          <t>Sao Tome and Principe</t>
        </is>
      </c>
      <c r="H876" s="2" t="inlineStr">
        <is>
          <t>keep</t>
        </is>
      </c>
      <c r="I876" t="inlineStr">
        <is>
          <t>practice</t>
        </is>
      </c>
    </row>
    <row r="877">
      <c r="A877" s="2" t="inlineStr">
        <is>
          <t>C6739</t>
        </is>
      </c>
      <c r="B877" s="2" t="inlineStr">
        <is>
          <t>Bradley Roberts</t>
        </is>
      </c>
      <c r="C877" s="2" t="inlineStr">
        <is>
          <t>michael52@jones-ross.com</t>
        </is>
      </c>
      <c r="D877" s="2" t="inlineStr">
        <is>
          <t>001-468-270-8197x831</t>
        </is>
      </c>
      <c r="E877" s="2" t="inlineStr">
        <is>
          <t>30209 Reese Port Suite 515, Maryshire, CO 63956</t>
        </is>
      </c>
      <c r="F877" s="2" t="inlineStr">
        <is>
          <t>North Wayne</t>
        </is>
      </c>
      <c r="G877" s="2" t="inlineStr">
        <is>
          <t>Uruguay</t>
        </is>
      </c>
      <c r="H877" s="2" t="inlineStr">
        <is>
          <t>although</t>
        </is>
      </c>
      <c r="I877" t="inlineStr">
        <is>
          <t>method</t>
        </is>
      </c>
    </row>
    <row r="878">
      <c r="A878" s="2" t="inlineStr">
        <is>
          <t>C6486</t>
        </is>
      </c>
      <c r="B878" s="2" t="inlineStr">
        <is>
          <t>Kyle Keller</t>
        </is>
      </c>
      <c r="C878" s="2" t="inlineStr">
        <is>
          <t>jeremystark@smith-murphy.com</t>
        </is>
      </c>
      <c r="D878" s="2" t="inlineStr">
        <is>
          <t>001-010-393-4459x35059</t>
        </is>
      </c>
      <c r="E878" s="2" t="inlineStr">
        <is>
          <t>869 Rivera Rapid, Laurenfort, GA 01889</t>
        </is>
      </c>
      <c r="F878" s="2" t="inlineStr">
        <is>
          <t>New Morgan</t>
        </is>
      </c>
      <c r="G878" s="2" t="inlineStr">
        <is>
          <t>Solomon Islands</t>
        </is>
      </c>
      <c r="H878" s="2" t="inlineStr">
        <is>
          <t>democratic</t>
        </is>
      </c>
      <c r="I878" t="inlineStr">
        <is>
          <t>of</t>
        </is>
      </c>
    </row>
    <row r="879">
      <c r="A879" s="2" t="inlineStr">
        <is>
          <t>C7919</t>
        </is>
      </c>
      <c r="B879" s="2" t="inlineStr">
        <is>
          <t>Lindsey Harper</t>
        </is>
      </c>
      <c r="C879" s="2" t="inlineStr">
        <is>
          <t>cshort@salazar.com</t>
        </is>
      </c>
      <c r="D879" s="2" t="inlineStr">
        <is>
          <t>001-314-529-8254x63872</t>
        </is>
      </c>
      <c r="E879" s="2" t="inlineStr">
        <is>
          <t>6238 Carpenter Forge, Port Cynthiaport, KS 38664</t>
        </is>
      </c>
      <c r="F879" s="2" t="inlineStr">
        <is>
          <t>Wadeville</t>
        </is>
      </c>
      <c r="G879" s="2" t="inlineStr">
        <is>
          <t>Romania</t>
        </is>
      </c>
      <c r="H879" s="2" t="inlineStr">
        <is>
          <t>discuss</t>
        </is>
      </c>
      <c r="I879" t="inlineStr">
        <is>
          <t>drug</t>
        </is>
      </c>
    </row>
    <row r="880">
      <c r="A880" s="2" t="inlineStr">
        <is>
          <t>C5844</t>
        </is>
      </c>
      <c r="B880" s="2" t="inlineStr">
        <is>
          <t>Gary Clark</t>
        </is>
      </c>
      <c r="C880" s="2" t="inlineStr">
        <is>
          <t>jonathan39@gmail.com</t>
        </is>
      </c>
      <c r="D880" s="2" t="inlineStr">
        <is>
          <t>843-946-1835</t>
        </is>
      </c>
      <c r="E880" s="2" t="inlineStr">
        <is>
          <t>321 Lang Lake, Chadfort, TN 96298</t>
        </is>
      </c>
      <c r="F880" s="2" t="inlineStr">
        <is>
          <t>Davischester</t>
        </is>
      </c>
      <c r="G880" s="2" t="inlineStr">
        <is>
          <t>Poland</t>
        </is>
      </c>
      <c r="H880" s="2" t="inlineStr">
        <is>
          <t>party</t>
        </is>
      </c>
      <c r="I880" t="inlineStr">
        <is>
          <t>support</t>
        </is>
      </c>
    </row>
    <row r="881">
      <c r="A881" s="2" t="inlineStr">
        <is>
          <t>C3567</t>
        </is>
      </c>
      <c r="B881" s="2" t="inlineStr">
        <is>
          <t>Travis Zimmerman</t>
        </is>
      </c>
      <c r="C881" s="2" t="inlineStr">
        <is>
          <t>aaron07@hernandez.net</t>
        </is>
      </c>
      <c r="D881" s="2" t="inlineStr">
        <is>
          <t>170.462.4069x57047</t>
        </is>
      </c>
      <c r="E881" s="2" t="inlineStr">
        <is>
          <t>046 Alice Manor, Lake Amanda, TX 73723</t>
        </is>
      </c>
      <c r="F881" s="2" t="inlineStr">
        <is>
          <t>Chenburgh</t>
        </is>
      </c>
      <c r="G881" s="2" t="inlineStr">
        <is>
          <t>Papua New Guinea</t>
        </is>
      </c>
      <c r="H881" s="2" t="inlineStr">
        <is>
          <t>might</t>
        </is>
      </c>
      <c r="I881" t="inlineStr">
        <is>
          <t>case</t>
        </is>
      </c>
    </row>
    <row r="882">
      <c r="A882" s="2" t="inlineStr">
        <is>
          <t>C8195</t>
        </is>
      </c>
      <c r="B882" s="2" t="inlineStr">
        <is>
          <t>Molly Flores</t>
        </is>
      </c>
      <c r="C882" s="2" t="inlineStr">
        <is>
          <t>rcollins@frank.net</t>
        </is>
      </c>
      <c r="D882" s="2" t="inlineStr">
        <is>
          <t>252-736-0893x84965</t>
        </is>
      </c>
      <c r="E882" s="2" t="inlineStr">
        <is>
          <t>493 Marcus Parks Suite 561, Lopezmouth, MN 66962</t>
        </is>
      </c>
      <c r="F882" s="2" t="inlineStr">
        <is>
          <t>Callahanton</t>
        </is>
      </c>
      <c r="G882" s="2" t="inlineStr">
        <is>
          <t>Saint Pierre and Miquelon</t>
        </is>
      </c>
      <c r="H882" s="2" t="inlineStr">
        <is>
          <t>everyone</t>
        </is>
      </c>
      <c r="I882" t="inlineStr">
        <is>
          <t>rest</t>
        </is>
      </c>
    </row>
    <row r="883">
      <c r="A883" s="2" t="inlineStr">
        <is>
          <t>C3837</t>
        </is>
      </c>
      <c r="B883" s="2" t="inlineStr">
        <is>
          <t>Nancy Carter</t>
        </is>
      </c>
      <c r="C883" s="2" t="inlineStr">
        <is>
          <t>dylan43@johnson.com</t>
        </is>
      </c>
      <c r="D883" s="2" t="inlineStr">
        <is>
          <t>713.001.1848</t>
        </is>
      </c>
      <c r="E883" s="2" t="inlineStr">
        <is>
          <t>536 Monroe Fall, Hannahshire, OR 72178</t>
        </is>
      </c>
      <c r="F883" s="2" t="inlineStr">
        <is>
          <t>Michaelland</t>
        </is>
      </c>
      <c r="G883" s="2" t="inlineStr">
        <is>
          <t>Grenada</t>
        </is>
      </c>
      <c r="H883" s="2" t="inlineStr">
        <is>
          <t>issue</t>
        </is>
      </c>
      <c r="I883" t="inlineStr">
        <is>
          <t>move</t>
        </is>
      </c>
    </row>
    <row r="884">
      <c r="A884" s="2" t="inlineStr">
        <is>
          <t>C9863</t>
        </is>
      </c>
      <c r="B884" s="2" t="inlineStr">
        <is>
          <t>Daniel Anthony</t>
        </is>
      </c>
      <c r="C884" s="2" t="inlineStr">
        <is>
          <t>nicholas01@gmail.com</t>
        </is>
      </c>
      <c r="D884" s="2" t="inlineStr">
        <is>
          <t>+1-293-015-0151x112</t>
        </is>
      </c>
      <c r="E884" s="2" t="inlineStr">
        <is>
          <t>548 Smith Circles Suite 971, Lancebury, NC 92110</t>
        </is>
      </c>
      <c r="F884" s="2" t="inlineStr">
        <is>
          <t>Costaton</t>
        </is>
      </c>
      <c r="G884" s="2" t="inlineStr">
        <is>
          <t>Iceland</t>
        </is>
      </c>
      <c r="H884" s="2" t="inlineStr">
        <is>
          <t>order</t>
        </is>
      </c>
      <c r="I884" t="inlineStr">
        <is>
          <t>control</t>
        </is>
      </c>
    </row>
    <row r="885">
      <c r="A885" s="2" t="inlineStr">
        <is>
          <t>C2342</t>
        </is>
      </c>
      <c r="B885" s="2" t="inlineStr">
        <is>
          <t>Scott Crane</t>
        </is>
      </c>
      <c r="C885" s="2" t="inlineStr">
        <is>
          <t>nolson@yahoo.com</t>
        </is>
      </c>
      <c r="D885" s="2" t="inlineStr">
        <is>
          <t>765.251.3426x99338</t>
        </is>
      </c>
      <c r="E885" s="2" t="inlineStr">
        <is>
          <t>992 Jacob Forge, Jasonstad, WV 66047</t>
        </is>
      </c>
      <c r="F885" s="2" t="inlineStr">
        <is>
          <t>Johnsonport</t>
        </is>
      </c>
      <c r="G885" s="2" t="inlineStr">
        <is>
          <t>Kazakhstan</t>
        </is>
      </c>
      <c r="H885" s="2" t="inlineStr">
        <is>
          <t>increase</t>
        </is>
      </c>
      <c r="I885" t="inlineStr">
        <is>
          <t>note</t>
        </is>
      </c>
    </row>
    <row r="886">
      <c r="A886" s="2" t="inlineStr">
        <is>
          <t>C4625</t>
        </is>
      </c>
      <c r="B886" s="2" t="inlineStr">
        <is>
          <t>Justin Barber</t>
        </is>
      </c>
      <c r="C886" s="2" t="inlineStr">
        <is>
          <t>nicolecastillo@conner-king.com</t>
        </is>
      </c>
      <c r="D886" s="2" t="inlineStr">
        <is>
          <t>+1-388-830-3022</t>
        </is>
      </c>
      <c r="E886" s="2" t="inlineStr">
        <is>
          <t>236 Moore Burg, Moniqueberg, ND 98522</t>
        </is>
      </c>
      <c r="F886" s="2" t="inlineStr">
        <is>
          <t>West Kristyport</t>
        </is>
      </c>
      <c r="G886" s="2" t="inlineStr">
        <is>
          <t>Equatorial Guinea</t>
        </is>
      </c>
      <c r="H886" s="2" t="inlineStr">
        <is>
          <t>travel</t>
        </is>
      </c>
      <c r="I886" t="inlineStr">
        <is>
          <t>total</t>
        </is>
      </c>
    </row>
    <row r="887">
      <c r="A887" s="2" t="inlineStr">
        <is>
          <t>C8599</t>
        </is>
      </c>
      <c r="B887" s="2" t="inlineStr">
        <is>
          <t>Joseph Ross</t>
        </is>
      </c>
      <c r="C887" s="2" t="inlineStr">
        <is>
          <t>alexandraherman@buchanan-clark.org</t>
        </is>
      </c>
      <c r="D887" s="2" t="inlineStr">
        <is>
          <t>409.124.6429x54334</t>
        </is>
      </c>
      <c r="E887" s="2" t="inlineStr">
        <is>
          <t>8594 Salas Orchard, Port Noahshire, IN 48510</t>
        </is>
      </c>
      <c r="F887" s="2" t="inlineStr">
        <is>
          <t>Angelicafort</t>
        </is>
      </c>
      <c r="G887" s="2" t="inlineStr">
        <is>
          <t>Dominica</t>
        </is>
      </c>
      <c r="H887" s="2" t="inlineStr">
        <is>
          <t>bar</t>
        </is>
      </c>
      <c r="I887" t="inlineStr">
        <is>
          <t>present</t>
        </is>
      </c>
    </row>
    <row r="888">
      <c r="A888" s="2" t="inlineStr">
        <is>
          <t>C4333</t>
        </is>
      </c>
      <c r="B888" s="2" t="inlineStr">
        <is>
          <t>Carlos Romero</t>
        </is>
      </c>
      <c r="C888" s="2" t="inlineStr">
        <is>
          <t>aaronrobinson@gmail.com</t>
        </is>
      </c>
      <c r="D888" s="2" t="inlineStr">
        <is>
          <t>312-456-8378x207</t>
        </is>
      </c>
      <c r="E888" s="2" t="inlineStr">
        <is>
          <t>0062 Rose Brook Apt. 694, West Lisa, AR 29836</t>
        </is>
      </c>
      <c r="F888" s="2" t="inlineStr">
        <is>
          <t>Harrisfort</t>
        </is>
      </c>
      <c r="G888" s="2" t="inlineStr">
        <is>
          <t>Canada</t>
        </is>
      </c>
      <c r="H888" s="2" t="inlineStr">
        <is>
          <t>chair</t>
        </is>
      </c>
      <c r="I888" t="inlineStr">
        <is>
          <t>operation</t>
        </is>
      </c>
    </row>
    <row r="889">
      <c r="A889" s="2" t="inlineStr">
        <is>
          <t>C2097</t>
        </is>
      </c>
      <c r="B889" s="2" t="inlineStr">
        <is>
          <t>Lisa Davidson</t>
        </is>
      </c>
      <c r="C889" s="2" t="inlineStr">
        <is>
          <t>walkeramy@brown.net</t>
        </is>
      </c>
      <c r="D889" s="2" t="inlineStr">
        <is>
          <t>954.685.1307x450</t>
        </is>
      </c>
      <c r="E889" s="2" t="inlineStr">
        <is>
          <t>91624 Priscilla Viaduct, Patrickmouth, NV 14856</t>
        </is>
      </c>
      <c r="F889" s="2" t="inlineStr">
        <is>
          <t>Lake Jennifermouth</t>
        </is>
      </c>
      <c r="G889" s="2" t="inlineStr">
        <is>
          <t>Reunion</t>
        </is>
      </c>
      <c r="H889" s="2" t="inlineStr">
        <is>
          <t>participant</t>
        </is>
      </c>
      <c r="I889" t="inlineStr">
        <is>
          <t>crime</t>
        </is>
      </c>
    </row>
    <row r="890">
      <c r="A890" s="2" t="inlineStr">
        <is>
          <t>C1370</t>
        </is>
      </c>
      <c r="B890" s="2" t="inlineStr">
        <is>
          <t>Justin Tate</t>
        </is>
      </c>
      <c r="C890" s="2" t="inlineStr">
        <is>
          <t>ystrickland@brown.com</t>
        </is>
      </c>
      <c r="D890" s="2" t="inlineStr">
        <is>
          <t>+1-805-706-1389x201</t>
        </is>
      </c>
      <c r="E890" s="2" t="inlineStr">
        <is>
          <t>Unit 3047 Box 7768, DPO AA 01227</t>
        </is>
      </c>
      <c r="F890" s="2" t="inlineStr">
        <is>
          <t>Whiteberg</t>
        </is>
      </c>
      <c r="G890" s="2" t="inlineStr">
        <is>
          <t>French Guiana</t>
        </is>
      </c>
      <c r="H890" s="2" t="inlineStr">
        <is>
          <t>lot</t>
        </is>
      </c>
      <c r="I890" t="inlineStr">
        <is>
          <t>have</t>
        </is>
      </c>
    </row>
    <row r="891">
      <c r="A891" s="2" t="inlineStr">
        <is>
          <t>C5296</t>
        </is>
      </c>
      <c r="B891" s="2" t="inlineStr">
        <is>
          <t>James Woods</t>
        </is>
      </c>
      <c r="C891" s="2" t="inlineStr">
        <is>
          <t>leejohnson@williams-marquez.com</t>
        </is>
      </c>
      <c r="D891" s="2" t="inlineStr">
        <is>
          <t>349-688-1643</t>
        </is>
      </c>
      <c r="E891" s="2" t="inlineStr">
        <is>
          <t>PSC 0509, Box 1580, APO AP 68873</t>
        </is>
      </c>
      <c r="F891" s="2" t="inlineStr">
        <is>
          <t>Wilsonborough</t>
        </is>
      </c>
      <c r="G891" s="2" t="inlineStr">
        <is>
          <t>Venezuela</t>
        </is>
      </c>
      <c r="H891" s="2" t="inlineStr">
        <is>
          <t>sort</t>
        </is>
      </c>
      <c r="I891" t="inlineStr">
        <is>
          <t>trial</t>
        </is>
      </c>
    </row>
    <row r="892">
      <c r="A892" s="2" t="inlineStr">
        <is>
          <t>C1824</t>
        </is>
      </c>
      <c r="B892" s="2" t="inlineStr">
        <is>
          <t>Mary Yates</t>
        </is>
      </c>
      <c r="C892" s="2" t="inlineStr">
        <is>
          <t>ruth36@king-adams.com</t>
        </is>
      </c>
      <c r="D892" s="2" t="inlineStr">
        <is>
          <t>325-641-2650</t>
        </is>
      </c>
      <c r="E892" s="2" t="inlineStr">
        <is>
          <t>8553 James Track, New Williamville, TX 30521</t>
        </is>
      </c>
      <c r="F892" s="2" t="inlineStr">
        <is>
          <t>Gutierrezbury</t>
        </is>
      </c>
      <c r="G892" s="2" t="inlineStr">
        <is>
          <t>Guadeloupe</t>
        </is>
      </c>
      <c r="H892" s="2" t="inlineStr">
        <is>
          <t>care</t>
        </is>
      </c>
      <c r="I892" t="inlineStr">
        <is>
          <t>medical</t>
        </is>
      </c>
    </row>
    <row r="893">
      <c r="A893" s="2" t="inlineStr">
        <is>
          <t>C6846</t>
        </is>
      </c>
      <c r="B893" s="2" t="inlineStr">
        <is>
          <t>Heather Morales</t>
        </is>
      </c>
      <c r="C893" s="2" t="inlineStr">
        <is>
          <t>reidjames@yahoo.com</t>
        </is>
      </c>
      <c r="D893" s="2" t="inlineStr">
        <is>
          <t>8372477434</t>
        </is>
      </c>
      <c r="E893" s="2" t="inlineStr">
        <is>
          <t>1940 Brandon Camp Apt. 752, Port Cristian, NY 53476</t>
        </is>
      </c>
      <c r="F893" s="2" t="inlineStr">
        <is>
          <t>West Caseybury</t>
        </is>
      </c>
      <c r="G893" s="2" t="inlineStr">
        <is>
          <t>Malawi</t>
        </is>
      </c>
      <c r="H893" s="2" t="inlineStr">
        <is>
          <t>girl</t>
        </is>
      </c>
      <c r="I893" t="inlineStr">
        <is>
          <t>provide</t>
        </is>
      </c>
    </row>
    <row r="894">
      <c r="A894" s="2" t="inlineStr">
        <is>
          <t>C7104</t>
        </is>
      </c>
      <c r="B894" s="2" t="inlineStr">
        <is>
          <t>Denise Kerr</t>
        </is>
      </c>
      <c r="C894" s="2" t="inlineStr">
        <is>
          <t>lisa24@hotmail.com</t>
        </is>
      </c>
      <c r="D894" s="2" t="inlineStr">
        <is>
          <t>001-180-817-2759x201</t>
        </is>
      </c>
      <c r="E894" s="2" t="inlineStr">
        <is>
          <t>5874 Clark Club Suite 600, East Benjaminbury, TN 70083</t>
        </is>
      </c>
      <c r="F894" s="2" t="inlineStr">
        <is>
          <t>Port Anthonyshire</t>
        </is>
      </c>
      <c r="G894" s="2" t="inlineStr">
        <is>
          <t>Cambodia</t>
        </is>
      </c>
      <c r="H894" s="2" t="inlineStr">
        <is>
          <t>increase</t>
        </is>
      </c>
      <c r="I894" t="inlineStr">
        <is>
          <t>cell</t>
        </is>
      </c>
    </row>
    <row r="895">
      <c r="A895" s="2" t="inlineStr">
        <is>
          <t>C7248</t>
        </is>
      </c>
      <c r="B895" s="2" t="inlineStr">
        <is>
          <t>Paula Gray</t>
        </is>
      </c>
      <c r="C895" s="2" t="inlineStr">
        <is>
          <t>cstephens@garcia-payne.com</t>
        </is>
      </c>
      <c r="D895" s="2" t="inlineStr">
        <is>
          <t>(197)833-4367x84990</t>
        </is>
      </c>
      <c r="E895" s="2" t="inlineStr">
        <is>
          <t>873 Cody Club, West Jenniferland, SD 51673</t>
        </is>
      </c>
      <c r="F895" s="2" t="inlineStr">
        <is>
          <t>New Heatherfort</t>
        </is>
      </c>
      <c r="G895" s="2" t="inlineStr">
        <is>
          <t>Bolivia</t>
        </is>
      </c>
      <c r="H895" s="2" t="inlineStr">
        <is>
          <t>as</t>
        </is>
      </c>
      <c r="I895" t="inlineStr">
        <is>
          <t>short</t>
        </is>
      </c>
    </row>
    <row r="896">
      <c r="A896" s="2" t="inlineStr">
        <is>
          <t>C4450</t>
        </is>
      </c>
      <c r="B896" s="2" t="inlineStr">
        <is>
          <t>Andrea Brown</t>
        </is>
      </c>
      <c r="C896" s="2" t="inlineStr">
        <is>
          <t>hannah46@hotmail.com</t>
        </is>
      </c>
      <c r="D896" s="2" t="inlineStr">
        <is>
          <t>(847)902-3356x8897</t>
        </is>
      </c>
      <c r="E896" s="2" t="inlineStr">
        <is>
          <t>70822 Jennifer Viaduct Apt. 942, Samanthatown, NH 72078</t>
        </is>
      </c>
      <c r="F896" s="2" t="inlineStr">
        <is>
          <t>Rebeccaton</t>
        </is>
      </c>
      <c r="G896" s="2" t="inlineStr">
        <is>
          <t>Latvia</t>
        </is>
      </c>
      <c r="H896" s="2" t="inlineStr">
        <is>
          <t>structure</t>
        </is>
      </c>
      <c r="I896" t="inlineStr">
        <is>
          <t>gas</t>
        </is>
      </c>
    </row>
    <row r="897">
      <c r="A897" s="2" t="inlineStr">
        <is>
          <t>C5174</t>
        </is>
      </c>
      <c r="B897" s="2" t="inlineStr">
        <is>
          <t>Megan Rodriguez</t>
        </is>
      </c>
      <c r="C897" s="2" t="inlineStr">
        <is>
          <t>carlaharrington@campbell.com</t>
        </is>
      </c>
      <c r="D897" s="2" t="inlineStr">
        <is>
          <t>001-827-090-9241x71481</t>
        </is>
      </c>
      <c r="E897" s="2" t="inlineStr">
        <is>
          <t>98339 Carey Fall, Wandamouth, AR 39135</t>
        </is>
      </c>
      <c r="F897" s="2" t="inlineStr">
        <is>
          <t>East Emily</t>
        </is>
      </c>
      <c r="G897" s="2" t="inlineStr">
        <is>
          <t>Svalbard &amp; Jan Mayen Islands</t>
        </is>
      </c>
      <c r="H897" s="2" t="inlineStr">
        <is>
          <t>phone</t>
        </is>
      </c>
      <c r="I897" t="inlineStr">
        <is>
          <t>late</t>
        </is>
      </c>
    </row>
    <row r="898">
      <c r="A898" s="2" t="inlineStr">
        <is>
          <t>C5432</t>
        </is>
      </c>
      <c r="B898" s="2" t="inlineStr">
        <is>
          <t>Tiffany Cox</t>
        </is>
      </c>
      <c r="C898" s="2" t="inlineStr">
        <is>
          <t>hmccann@hotmail.com</t>
        </is>
      </c>
      <c r="D898" s="2" t="inlineStr">
        <is>
          <t>(163)806-2644</t>
        </is>
      </c>
      <c r="E898" s="2" t="inlineStr">
        <is>
          <t>49215 Jackson Pike, Port Virginia, IA 97185</t>
        </is>
      </c>
      <c r="F898" s="2" t="inlineStr">
        <is>
          <t>Timothyville</t>
        </is>
      </c>
      <c r="G898" s="2" t="inlineStr">
        <is>
          <t>Bolivia</t>
        </is>
      </c>
      <c r="H898" s="2" t="inlineStr">
        <is>
          <t>soldier</t>
        </is>
      </c>
      <c r="I898" t="inlineStr">
        <is>
          <t>mother</t>
        </is>
      </c>
    </row>
    <row r="899">
      <c r="A899" s="2" t="inlineStr">
        <is>
          <t>C5989</t>
        </is>
      </c>
      <c r="B899" s="2" t="inlineStr">
        <is>
          <t>Walter Rogers</t>
        </is>
      </c>
      <c r="C899" s="2" t="inlineStr">
        <is>
          <t>nathaniel63@hotmail.com</t>
        </is>
      </c>
      <c r="D899" s="2" t="inlineStr">
        <is>
          <t>001-400-672-7509x08262</t>
        </is>
      </c>
      <c r="E899" s="2" t="inlineStr">
        <is>
          <t>542 Marcus Drive, Susanville, VT 33366</t>
        </is>
      </c>
      <c r="F899" s="2" t="inlineStr">
        <is>
          <t>Port Jamesstad</t>
        </is>
      </c>
      <c r="G899" s="2" t="inlineStr">
        <is>
          <t>Jersey</t>
        </is>
      </c>
      <c r="H899" s="2" t="inlineStr">
        <is>
          <t>wait</t>
        </is>
      </c>
      <c r="I899" t="inlineStr">
        <is>
          <t>as</t>
        </is>
      </c>
    </row>
    <row r="900">
      <c r="A900" s="2" t="inlineStr">
        <is>
          <t>C8317</t>
        </is>
      </c>
      <c r="B900" s="2" t="inlineStr">
        <is>
          <t>Michelle Lindsey</t>
        </is>
      </c>
      <c r="C900" s="2" t="inlineStr">
        <is>
          <t>crystal30@gmail.com</t>
        </is>
      </c>
      <c r="D900" s="2" t="inlineStr">
        <is>
          <t>+1-750-008-2688x4024</t>
        </is>
      </c>
      <c r="E900" s="2" t="inlineStr">
        <is>
          <t>9023 Andrew Ports, Christopherport, NM 57846</t>
        </is>
      </c>
      <c r="F900" s="2" t="inlineStr">
        <is>
          <t>North Adrianborough</t>
        </is>
      </c>
      <c r="G900" s="2" t="inlineStr">
        <is>
          <t>Myanmar</t>
        </is>
      </c>
      <c r="H900" s="2" t="inlineStr">
        <is>
          <t>fact</t>
        </is>
      </c>
      <c r="I900" t="inlineStr">
        <is>
          <t>after</t>
        </is>
      </c>
    </row>
    <row r="901">
      <c r="A901" s="2" t="inlineStr">
        <is>
          <t>C7074</t>
        </is>
      </c>
      <c r="B901" s="2" t="inlineStr">
        <is>
          <t>Jennifer White</t>
        </is>
      </c>
      <c r="C901" s="2" t="inlineStr">
        <is>
          <t>uhughes@gmail.com</t>
        </is>
      </c>
      <c r="D901" s="2" t="inlineStr">
        <is>
          <t>2475837076</t>
        </is>
      </c>
      <c r="E901" s="2" t="inlineStr">
        <is>
          <t>27158 Philip Well, North Jamesborough, NV 22311</t>
        </is>
      </c>
      <c r="F901" s="2" t="inlineStr">
        <is>
          <t>Gambleshire</t>
        </is>
      </c>
      <c r="G901" s="2" t="inlineStr">
        <is>
          <t>Kyrgyz Republic</t>
        </is>
      </c>
      <c r="H901" s="2" t="inlineStr">
        <is>
          <t>focus</t>
        </is>
      </c>
      <c r="I901" t="inlineStr">
        <is>
          <t>rest</t>
        </is>
      </c>
    </row>
    <row r="902">
      <c r="A902" s="2" t="inlineStr">
        <is>
          <t>C2057</t>
        </is>
      </c>
      <c r="B902" s="2" t="inlineStr">
        <is>
          <t>Jeffrey Stevens</t>
        </is>
      </c>
      <c r="C902" s="2" t="inlineStr">
        <is>
          <t>kathleenbyrd@robinson-allen.com</t>
        </is>
      </c>
      <c r="D902" s="2" t="inlineStr">
        <is>
          <t>+1-820-861-9528</t>
        </is>
      </c>
      <c r="E902" s="2" t="inlineStr">
        <is>
          <t>6194 Riley Trail, Lake Robertfort, WA 61044</t>
        </is>
      </c>
      <c r="F902" s="2" t="inlineStr">
        <is>
          <t>Whitebury</t>
        </is>
      </c>
      <c r="G902" s="2" t="inlineStr">
        <is>
          <t>Belize</t>
        </is>
      </c>
      <c r="H902" s="2" t="inlineStr">
        <is>
          <t>thing</t>
        </is>
      </c>
      <c r="I902" t="inlineStr">
        <is>
          <t>three</t>
        </is>
      </c>
    </row>
    <row r="903">
      <c r="A903" s="2" t="inlineStr">
        <is>
          <t>C6827</t>
        </is>
      </c>
      <c r="B903" s="2" t="inlineStr">
        <is>
          <t>Jordan Graham</t>
        </is>
      </c>
      <c r="C903" s="2" t="inlineStr">
        <is>
          <t>kimberly77@wyatt.com</t>
        </is>
      </c>
      <c r="D903" s="2" t="inlineStr">
        <is>
          <t>(213)789-2682x086</t>
        </is>
      </c>
      <c r="E903" s="2" t="inlineStr">
        <is>
          <t>6747 Donald Terrace Suite 503, Lindsaystad, ID 28542</t>
        </is>
      </c>
      <c r="F903" s="2" t="inlineStr">
        <is>
          <t>Michaelport</t>
        </is>
      </c>
      <c r="G903" s="2" t="inlineStr">
        <is>
          <t>Western Sahara</t>
        </is>
      </c>
      <c r="H903" s="2" t="inlineStr">
        <is>
          <t>view</t>
        </is>
      </c>
      <c r="I903" t="inlineStr">
        <is>
          <t>pick</t>
        </is>
      </c>
    </row>
    <row r="904">
      <c r="A904" s="2" t="inlineStr">
        <is>
          <t>C5824</t>
        </is>
      </c>
      <c r="B904" s="2" t="inlineStr">
        <is>
          <t>James Marshall</t>
        </is>
      </c>
      <c r="C904" s="2" t="inlineStr">
        <is>
          <t>judyramos@yahoo.com</t>
        </is>
      </c>
      <c r="D904" s="2" t="inlineStr">
        <is>
          <t>095-589-4763x74218</t>
        </is>
      </c>
      <c r="E904" s="2" t="inlineStr">
        <is>
          <t>0547 Mitchell Square, East Cindy, IN 16926</t>
        </is>
      </c>
      <c r="F904" s="2" t="inlineStr">
        <is>
          <t>Michelleberg</t>
        </is>
      </c>
      <c r="G904" s="2" t="inlineStr">
        <is>
          <t>Palestinian Territory</t>
        </is>
      </c>
      <c r="H904" s="2" t="inlineStr">
        <is>
          <t>help</t>
        </is>
      </c>
      <c r="I904" t="inlineStr">
        <is>
          <t>sing</t>
        </is>
      </c>
    </row>
    <row r="905">
      <c r="A905" s="2" t="inlineStr">
        <is>
          <t>C8945</t>
        </is>
      </c>
      <c r="B905" s="2" t="inlineStr">
        <is>
          <t>Kimberly Bauer</t>
        </is>
      </c>
      <c r="C905" s="2" t="inlineStr">
        <is>
          <t>castrotimothy@gillespie.com</t>
        </is>
      </c>
      <c r="D905" s="2" t="inlineStr">
        <is>
          <t>+1-444-031-9004x4489</t>
        </is>
      </c>
      <c r="E905" s="2" t="inlineStr">
        <is>
          <t>5723 Harper Hollow, North Lauren, GA 37299</t>
        </is>
      </c>
      <c r="F905" s="2" t="inlineStr">
        <is>
          <t>West Victoria</t>
        </is>
      </c>
      <c r="G905" s="2" t="inlineStr">
        <is>
          <t>Iceland</t>
        </is>
      </c>
      <c r="H905" s="2" t="inlineStr">
        <is>
          <t>pay</t>
        </is>
      </c>
      <c r="I905" t="inlineStr">
        <is>
          <t>never</t>
        </is>
      </c>
    </row>
    <row r="906">
      <c r="A906" s="2" t="inlineStr">
        <is>
          <t>C5294</t>
        </is>
      </c>
      <c r="B906" s="2" t="inlineStr">
        <is>
          <t>Hannah Hernandez</t>
        </is>
      </c>
      <c r="C906" s="2" t="inlineStr">
        <is>
          <t>vmelton@wilson-tucker.info</t>
        </is>
      </c>
      <c r="D906" s="2" t="inlineStr">
        <is>
          <t>198.905.3138x453</t>
        </is>
      </c>
      <c r="E906" s="2" t="inlineStr">
        <is>
          <t>3106 Thomas Canyon Suite 140, Edwardchester, PA 99149</t>
        </is>
      </c>
      <c r="F906" s="2" t="inlineStr">
        <is>
          <t>Popemouth</t>
        </is>
      </c>
      <c r="G906" s="2" t="inlineStr">
        <is>
          <t>Kuwait</t>
        </is>
      </c>
      <c r="H906" s="2" t="inlineStr">
        <is>
          <t>face</t>
        </is>
      </c>
      <c r="I906" t="inlineStr">
        <is>
          <t>fine</t>
        </is>
      </c>
    </row>
    <row r="907">
      <c r="A907" s="2" t="inlineStr">
        <is>
          <t>C6728</t>
        </is>
      </c>
      <c r="B907" s="2" t="inlineStr">
        <is>
          <t>Ethan Thompson</t>
        </is>
      </c>
      <c r="C907" s="2" t="inlineStr">
        <is>
          <t>soniacox@hotmail.com</t>
        </is>
      </c>
      <c r="D907" s="2" t="inlineStr">
        <is>
          <t>+1-289-620-3761x392</t>
        </is>
      </c>
      <c r="E907" s="2" t="inlineStr">
        <is>
          <t>1743 Joseph Landing Suite 165, West Erica, AL 87252</t>
        </is>
      </c>
      <c r="F907" s="2" t="inlineStr">
        <is>
          <t>Josephstad</t>
        </is>
      </c>
      <c r="G907" s="2" t="inlineStr">
        <is>
          <t>Australia</t>
        </is>
      </c>
      <c r="H907" s="2" t="inlineStr">
        <is>
          <t>option</t>
        </is>
      </c>
      <c r="I907" t="inlineStr">
        <is>
          <t>something</t>
        </is>
      </c>
    </row>
    <row r="908">
      <c r="A908" s="2" t="inlineStr">
        <is>
          <t>C6671</t>
        </is>
      </c>
      <c r="B908" s="2" t="inlineStr">
        <is>
          <t>Angel Perez</t>
        </is>
      </c>
      <c r="C908" s="2" t="inlineStr">
        <is>
          <t>ashley08@miller-carter.com</t>
        </is>
      </c>
      <c r="D908" s="2" t="inlineStr">
        <is>
          <t>9070269292</t>
        </is>
      </c>
      <c r="E908" s="2" t="inlineStr">
        <is>
          <t>734 Marc Station, Christopherfort, MN 06036</t>
        </is>
      </c>
      <c r="F908" s="2" t="inlineStr">
        <is>
          <t>Lake Allisonburgh</t>
        </is>
      </c>
      <c r="G908" s="2" t="inlineStr">
        <is>
          <t>Qatar</t>
        </is>
      </c>
      <c r="H908" s="2" t="inlineStr">
        <is>
          <t>white</t>
        </is>
      </c>
      <c r="I908" t="inlineStr">
        <is>
          <t>yes</t>
        </is>
      </c>
    </row>
    <row r="909">
      <c r="A909" s="2" t="inlineStr">
        <is>
          <t>C9914</t>
        </is>
      </c>
      <c r="B909" s="2" t="inlineStr">
        <is>
          <t>Cassandra Burton</t>
        </is>
      </c>
      <c r="C909" s="2" t="inlineStr">
        <is>
          <t>shellyortiz@gmail.com</t>
        </is>
      </c>
      <c r="D909" s="2" t="inlineStr">
        <is>
          <t>3370392900</t>
        </is>
      </c>
      <c r="E909" s="2" t="inlineStr">
        <is>
          <t>16371 Brandon Springs, Brentburgh, WI 24596</t>
        </is>
      </c>
      <c r="F909" s="2" t="inlineStr">
        <is>
          <t>East Heather</t>
        </is>
      </c>
      <c r="G909" s="2" t="inlineStr">
        <is>
          <t>Dominica</t>
        </is>
      </c>
      <c r="H909" s="2" t="inlineStr">
        <is>
          <t>democratic</t>
        </is>
      </c>
      <c r="I909" t="inlineStr">
        <is>
          <t>teacher</t>
        </is>
      </c>
    </row>
    <row r="910">
      <c r="A910" s="2" t="inlineStr">
        <is>
          <t>C5073</t>
        </is>
      </c>
      <c r="B910" s="2" t="inlineStr">
        <is>
          <t>William Wade</t>
        </is>
      </c>
      <c r="C910" s="2" t="inlineStr">
        <is>
          <t>stephenlee@yahoo.com</t>
        </is>
      </c>
      <c r="D910" s="2" t="inlineStr">
        <is>
          <t>(642)501-4828</t>
        </is>
      </c>
      <c r="E910" s="2" t="inlineStr">
        <is>
          <t>958 Rodriguez Turnpike, Port Gregory, MS 16628</t>
        </is>
      </c>
      <c r="F910" s="2" t="inlineStr">
        <is>
          <t>Lake Jenniferborough</t>
        </is>
      </c>
      <c r="G910" s="2" t="inlineStr">
        <is>
          <t>Faroe Islands</t>
        </is>
      </c>
      <c r="H910" s="2" t="inlineStr">
        <is>
          <t>responsibility</t>
        </is>
      </c>
      <c r="I910" t="inlineStr">
        <is>
          <t>partner</t>
        </is>
      </c>
    </row>
    <row r="911">
      <c r="A911" s="2" t="inlineStr">
        <is>
          <t>C2158</t>
        </is>
      </c>
      <c r="B911" s="2" t="inlineStr">
        <is>
          <t>Amber Mcdaniel</t>
        </is>
      </c>
      <c r="C911" s="2" t="inlineStr">
        <is>
          <t>toddmartin@hotmail.com</t>
        </is>
      </c>
      <c r="D911" s="2" t="inlineStr">
        <is>
          <t>013-008-1703x949</t>
        </is>
      </c>
      <c r="E911" s="2" t="inlineStr">
        <is>
          <t>USNV Hernandez, FPO AE 52834</t>
        </is>
      </c>
      <c r="F911" s="2" t="inlineStr">
        <is>
          <t>Taylorport</t>
        </is>
      </c>
      <c r="G911" s="2" t="inlineStr">
        <is>
          <t>Afghanistan</t>
        </is>
      </c>
      <c r="H911" s="2" t="inlineStr">
        <is>
          <t>federal</t>
        </is>
      </c>
      <c r="I911" t="inlineStr">
        <is>
          <t>bad</t>
        </is>
      </c>
    </row>
    <row r="912">
      <c r="A912" s="2" t="inlineStr">
        <is>
          <t>C3371</t>
        </is>
      </c>
      <c r="B912" s="2" t="inlineStr">
        <is>
          <t>Dr. Debra Maldonado</t>
        </is>
      </c>
      <c r="C912" s="2" t="inlineStr">
        <is>
          <t>jweaver@cisneros.info</t>
        </is>
      </c>
      <c r="D912" s="2" t="inlineStr">
        <is>
          <t>436.355.3299</t>
        </is>
      </c>
      <c r="E912" s="2" t="inlineStr">
        <is>
          <t>62129 Spears Green Suite 917, New Thomas, KS 41710</t>
        </is>
      </c>
      <c r="F912" s="2" t="inlineStr">
        <is>
          <t>South Robertshire</t>
        </is>
      </c>
      <c r="G912" s="2" t="inlineStr">
        <is>
          <t>Sierra Leone</t>
        </is>
      </c>
      <c r="H912" s="2" t="inlineStr">
        <is>
          <t>medical</t>
        </is>
      </c>
      <c r="I912" t="inlineStr">
        <is>
          <t>century</t>
        </is>
      </c>
    </row>
    <row r="913">
      <c r="A913" s="2" t="inlineStr">
        <is>
          <t>C3886</t>
        </is>
      </c>
      <c r="B913" s="2" t="inlineStr">
        <is>
          <t>Brandon Wu</t>
        </is>
      </c>
      <c r="C913" s="2" t="inlineStr">
        <is>
          <t>sarahlewis@yahoo.com</t>
        </is>
      </c>
      <c r="D913" s="2" t="inlineStr">
        <is>
          <t>001-199-311-2691x748</t>
        </is>
      </c>
      <c r="E913" s="2" t="inlineStr">
        <is>
          <t>88746 Doris Station Suite 270, Simpsonmouth, WY 03655</t>
        </is>
      </c>
      <c r="F913" s="2" t="inlineStr">
        <is>
          <t>Lake Ashleyborough</t>
        </is>
      </c>
      <c r="G913" s="2" t="inlineStr">
        <is>
          <t>Marshall Islands</t>
        </is>
      </c>
      <c r="H913" s="2" t="inlineStr">
        <is>
          <t>baby</t>
        </is>
      </c>
      <c r="I913" t="inlineStr">
        <is>
          <t>model</t>
        </is>
      </c>
    </row>
    <row r="914">
      <c r="A914" s="2" t="inlineStr">
        <is>
          <t>C5558</t>
        </is>
      </c>
      <c r="B914" s="2" t="inlineStr">
        <is>
          <t>Jason Edwards</t>
        </is>
      </c>
      <c r="C914" s="2" t="inlineStr">
        <is>
          <t>thomasjohnson@hotmail.com</t>
        </is>
      </c>
      <c r="D914" s="2" t="inlineStr">
        <is>
          <t>001-414-062-8423x3499</t>
        </is>
      </c>
      <c r="E914" s="2" t="inlineStr">
        <is>
          <t>07861 Davis Squares, Thomastown, AZ 08891</t>
        </is>
      </c>
      <c r="F914" s="2" t="inlineStr">
        <is>
          <t>Lopezberg</t>
        </is>
      </c>
      <c r="G914" s="2" t="inlineStr">
        <is>
          <t>Saint Barthelemy</t>
        </is>
      </c>
      <c r="H914" s="2" t="inlineStr">
        <is>
          <t>build</t>
        </is>
      </c>
      <c r="I914" t="inlineStr">
        <is>
          <t>performance</t>
        </is>
      </c>
    </row>
    <row r="915">
      <c r="A915" s="2" t="inlineStr">
        <is>
          <t>C4180</t>
        </is>
      </c>
      <c r="B915" s="2" t="inlineStr">
        <is>
          <t>Sarah King</t>
        </is>
      </c>
      <c r="C915" s="2" t="inlineStr">
        <is>
          <t>heather86@ingram.com</t>
        </is>
      </c>
      <c r="D915" s="2" t="inlineStr">
        <is>
          <t>+1-413-250-4509x9824</t>
        </is>
      </c>
      <c r="E915" s="2" t="inlineStr">
        <is>
          <t>127 Amanda Causeway, Dannyberg, VA 20730</t>
        </is>
      </c>
      <c r="F915" s="2" t="inlineStr">
        <is>
          <t>North Anthony</t>
        </is>
      </c>
      <c r="G915" s="2" t="inlineStr">
        <is>
          <t>Burkina Faso</t>
        </is>
      </c>
      <c r="H915" s="2" t="inlineStr">
        <is>
          <t>various</t>
        </is>
      </c>
      <c r="I915" t="inlineStr">
        <is>
          <t>whether</t>
        </is>
      </c>
    </row>
    <row r="916">
      <c r="A916" s="2" t="inlineStr">
        <is>
          <t>C1895</t>
        </is>
      </c>
      <c r="B916" s="2" t="inlineStr">
        <is>
          <t>Cesar Hamilton</t>
        </is>
      </c>
      <c r="C916" s="2" t="inlineStr">
        <is>
          <t>pruittmarvin@lopez.biz</t>
        </is>
      </c>
      <c r="D916" s="2" t="inlineStr">
        <is>
          <t>678-768-5817x61096</t>
        </is>
      </c>
      <c r="E916" s="2" t="inlineStr">
        <is>
          <t>5669 Wayne Stravenue Suite 157, North Richard, ID 84713</t>
        </is>
      </c>
      <c r="F916" s="2" t="inlineStr">
        <is>
          <t>Shirleyton</t>
        </is>
      </c>
      <c r="G916" s="2" t="inlineStr">
        <is>
          <t>Switzerland</t>
        </is>
      </c>
      <c r="H916" s="2" t="inlineStr">
        <is>
          <t>science</t>
        </is>
      </c>
      <c r="I916" t="inlineStr">
        <is>
          <t>rather</t>
        </is>
      </c>
    </row>
    <row r="917">
      <c r="A917" s="2" t="inlineStr">
        <is>
          <t>C2030</t>
        </is>
      </c>
      <c r="B917" s="2" t="inlineStr">
        <is>
          <t>David Chavez</t>
        </is>
      </c>
      <c r="C917" s="2" t="inlineStr">
        <is>
          <t>phall@gmail.com</t>
        </is>
      </c>
      <c r="D917" s="2" t="inlineStr">
        <is>
          <t>+1-365-505-7638</t>
        </is>
      </c>
      <c r="E917" s="2" t="inlineStr">
        <is>
          <t>967 Sheila View Suite 594, North Joseph, NV 54570</t>
        </is>
      </c>
      <c r="F917" s="2" t="inlineStr">
        <is>
          <t>Port Debra</t>
        </is>
      </c>
      <c r="G917" s="2" t="inlineStr">
        <is>
          <t>Mongolia</t>
        </is>
      </c>
      <c r="H917" s="2" t="inlineStr">
        <is>
          <t>maybe</t>
        </is>
      </c>
      <c r="I917" t="inlineStr">
        <is>
          <t>family</t>
        </is>
      </c>
    </row>
    <row r="918">
      <c r="A918" s="2" t="inlineStr">
        <is>
          <t>C9511</t>
        </is>
      </c>
      <c r="B918" s="2" t="inlineStr">
        <is>
          <t>Joshua Anderson IV</t>
        </is>
      </c>
      <c r="C918" s="2" t="inlineStr">
        <is>
          <t>brian90@yahoo.com</t>
        </is>
      </c>
      <c r="D918" s="2" t="inlineStr">
        <is>
          <t>(360)825-2486</t>
        </is>
      </c>
      <c r="E918" s="2" t="inlineStr">
        <is>
          <t>USCGC Curtis, FPO AP 48561</t>
        </is>
      </c>
      <c r="F918" s="2" t="inlineStr">
        <is>
          <t>North Mark</t>
        </is>
      </c>
      <c r="G918" s="2" t="inlineStr">
        <is>
          <t>Germany</t>
        </is>
      </c>
      <c r="H918" s="2" t="inlineStr">
        <is>
          <t>start</t>
        </is>
      </c>
      <c r="I918" t="inlineStr">
        <is>
          <t>art</t>
        </is>
      </c>
    </row>
    <row r="919">
      <c r="A919" s="2" t="inlineStr">
        <is>
          <t>C7629</t>
        </is>
      </c>
      <c r="B919" s="2" t="inlineStr">
        <is>
          <t>Randall May</t>
        </is>
      </c>
      <c r="C919" s="2" t="inlineStr">
        <is>
          <t>nicolemcclure@navarro-allen.biz</t>
        </is>
      </c>
      <c r="D919" s="2" t="inlineStr">
        <is>
          <t>(715)522-8748</t>
        </is>
      </c>
      <c r="E919" s="2" t="inlineStr">
        <is>
          <t>59099 Osborn Turnpike Suite 598, Arthurton, OK 68044</t>
        </is>
      </c>
      <c r="F919" s="2" t="inlineStr">
        <is>
          <t>Port Brittany</t>
        </is>
      </c>
      <c r="G919" s="2" t="inlineStr">
        <is>
          <t>Croatia</t>
        </is>
      </c>
      <c r="H919" s="2" t="inlineStr">
        <is>
          <t>save</t>
        </is>
      </c>
      <c r="I919" t="inlineStr">
        <is>
          <t>little</t>
        </is>
      </c>
    </row>
    <row r="920">
      <c r="A920" s="2" t="inlineStr">
        <is>
          <t>C2804</t>
        </is>
      </c>
      <c r="B920" s="2" t="inlineStr">
        <is>
          <t>John Bender</t>
        </is>
      </c>
      <c r="C920" s="2" t="inlineStr">
        <is>
          <t>vmurphy@arellano.com</t>
        </is>
      </c>
      <c r="D920" s="2" t="inlineStr">
        <is>
          <t>085-556-6925x51937</t>
        </is>
      </c>
      <c r="E920" s="2" t="inlineStr">
        <is>
          <t>3237 Ashley Knolls Suite 821, North James, MN 69990</t>
        </is>
      </c>
      <c r="F920" s="2" t="inlineStr">
        <is>
          <t>Stanleybury</t>
        </is>
      </c>
      <c r="G920" s="2" t="inlineStr">
        <is>
          <t>Mongolia</t>
        </is>
      </c>
      <c r="H920" s="2" t="inlineStr">
        <is>
          <t>name</t>
        </is>
      </c>
      <c r="I920" t="inlineStr">
        <is>
          <t>course</t>
        </is>
      </c>
    </row>
    <row r="921">
      <c r="A921" s="2" t="inlineStr">
        <is>
          <t>C4488</t>
        </is>
      </c>
      <c r="B921" s="2" t="inlineStr">
        <is>
          <t>Paul Ford</t>
        </is>
      </c>
      <c r="C921" s="2" t="inlineStr">
        <is>
          <t>michaelramirez@hayden-james.biz</t>
        </is>
      </c>
      <c r="D921" s="2" t="inlineStr">
        <is>
          <t>473.145.7107x136</t>
        </is>
      </c>
      <c r="E921" s="2" t="inlineStr">
        <is>
          <t>167 Deleon Unions Suite 791, East Tyler, PA 13087</t>
        </is>
      </c>
      <c r="F921" s="2" t="inlineStr">
        <is>
          <t>Port David</t>
        </is>
      </c>
      <c r="G921" s="2" t="inlineStr">
        <is>
          <t>Liechtenstein</t>
        </is>
      </c>
      <c r="H921" s="2" t="inlineStr">
        <is>
          <t>oil</t>
        </is>
      </c>
      <c r="I921" t="inlineStr">
        <is>
          <t>article</t>
        </is>
      </c>
    </row>
    <row r="922">
      <c r="A922" s="2" t="inlineStr">
        <is>
          <t>C4625</t>
        </is>
      </c>
      <c r="B922" s="2" t="inlineStr">
        <is>
          <t>Frederick Mitchell</t>
        </is>
      </c>
      <c r="C922" s="2" t="inlineStr">
        <is>
          <t>kfrancis@duncan.com</t>
        </is>
      </c>
      <c r="D922" s="2" t="inlineStr">
        <is>
          <t>588-921-7522x92168</t>
        </is>
      </c>
      <c r="E922" s="2" t="inlineStr">
        <is>
          <t>94751 Christian Circles, Edwardsfort, CA 59646</t>
        </is>
      </c>
      <c r="F922" s="2" t="inlineStr">
        <is>
          <t>North Rachel</t>
        </is>
      </c>
      <c r="G922" s="2" t="inlineStr">
        <is>
          <t>Seychelles</t>
        </is>
      </c>
      <c r="H922" s="2" t="inlineStr">
        <is>
          <t>bar</t>
        </is>
      </c>
      <c r="I922" t="inlineStr">
        <is>
          <t>people</t>
        </is>
      </c>
    </row>
    <row r="923">
      <c r="A923" s="2" t="inlineStr">
        <is>
          <t>C9817</t>
        </is>
      </c>
      <c r="B923" s="2" t="inlineStr">
        <is>
          <t>Jeanette Lambert</t>
        </is>
      </c>
      <c r="C923" s="2" t="inlineStr">
        <is>
          <t>stevensmith@jackson.com</t>
        </is>
      </c>
      <c r="D923" s="2" t="inlineStr">
        <is>
          <t>(838)651-2294x8325</t>
        </is>
      </c>
      <c r="E923" s="2" t="inlineStr">
        <is>
          <t>884 Hernandez Burgs, North Derekchester, NJ 82295</t>
        </is>
      </c>
      <c r="F923" s="2" t="inlineStr">
        <is>
          <t>Lake Kathymouth</t>
        </is>
      </c>
      <c r="G923" s="2" t="inlineStr">
        <is>
          <t>Tanzania</t>
        </is>
      </c>
      <c r="H923" s="2" t="inlineStr">
        <is>
          <t>smile</t>
        </is>
      </c>
      <c r="I923" t="inlineStr">
        <is>
          <t>red</t>
        </is>
      </c>
    </row>
    <row r="924">
      <c r="A924" s="2" t="inlineStr">
        <is>
          <t>C3884</t>
        </is>
      </c>
      <c r="B924" s="2" t="inlineStr">
        <is>
          <t>Martin Guerrero</t>
        </is>
      </c>
      <c r="C924" s="2" t="inlineStr">
        <is>
          <t>susan68@gmail.com</t>
        </is>
      </c>
      <c r="D924" s="2" t="inlineStr">
        <is>
          <t>001-976-879-0247x681</t>
        </is>
      </c>
      <c r="E924" s="2" t="inlineStr">
        <is>
          <t>Unit 9540 Box 2099, DPO AA 16589</t>
        </is>
      </c>
      <c r="F924" s="2" t="inlineStr">
        <is>
          <t>Port Lisaville</t>
        </is>
      </c>
      <c r="G924" s="2" t="inlineStr">
        <is>
          <t>Lao People's Democratic Republic</t>
        </is>
      </c>
      <c r="H924" s="2" t="inlineStr">
        <is>
          <t>level</t>
        </is>
      </c>
      <c r="I924" t="inlineStr">
        <is>
          <t>short</t>
        </is>
      </c>
    </row>
    <row r="925">
      <c r="A925" s="2" t="inlineStr">
        <is>
          <t>C5386</t>
        </is>
      </c>
      <c r="B925" s="2" t="inlineStr">
        <is>
          <t>Tanya Powers</t>
        </is>
      </c>
      <c r="C925" s="2" t="inlineStr">
        <is>
          <t>craigwilliams@gmail.com</t>
        </is>
      </c>
      <c r="D925" s="2" t="inlineStr">
        <is>
          <t>+1-124-048-8572x4453</t>
        </is>
      </c>
      <c r="E925" s="2" t="inlineStr">
        <is>
          <t>75176 Stein Radial Apt. 221, Martinview, WV 36839</t>
        </is>
      </c>
      <c r="F925" s="2" t="inlineStr">
        <is>
          <t>West Megan</t>
        </is>
      </c>
      <c r="G925" s="2" t="inlineStr">
        <is>
          <t>Samoa</t>
        </is>
      </c>
      <c r="H925" s="2" t="inlineStr">
        <is>
          <t>fund</t>
        </is>
      </c>
      <c r="I925" t="inlineStr">
        <is>
          <t>believe</t>
        </is>
      </c>
    </row>
    <row r="926">
      <c r="A926" s="2" t="inlineStr">
        <is>
          <t>C6718</t>
        </is>
      </c>
      <c r="B926" s="2" t="inlineStr">
        <is>
          <t>Ernest Murphy</t>
        </is>
      </c>
      <c r="C926" s="2" t="inlineStr">
        <is>
          <t>davidyoung@yahoo.com</t>
        </is>
      </c>
      <c r="D926" s="2" t="inlineStr">
        <is>
          <t>001-190-657-6356x73849</t>
        </is>
      </c>
      <c r="E926" s="2" t="inlineStr">
        <is>
          <t>498 Steven Stravenue, Melissatown, VA 63872</t>
        </is>
      </c>
      <c r="F926" s="2" t="inlineStr">
        <is>
          <t>Schmidtbury</t>
        </is>
      </c>
      <c r="G926" s="2" t="inlineStr">
        <is>
          <t>Tunisia</t>
        </is>
      </c>
      <c r="H926" s="2" t="inlineStr">
        <is>
          <t>may</t>
        </is>
      </c>
      <c r="I926" t="inlineStr">
        <is>
          <t>white</t>
        </is>
      </c>
    </row>
    <row r="927">
      <c r="A927" s="2" t="inlineStr">
        <is>
          <t>C6498</t>
        </is>
      </c>
      <c r="B927" s="2" t="inlineStr">
        <is>
          <t>Julie Johnson</t>
        </is>
      </c>
      <c r="C927" s="2" t="inlineStr">
        <is>
          <t>fredericknicole@hotmail.com</t>
        </is>
      </c>
      <c r="D927" s="2" t="inlineStr">
        <is>
          <t>001-121-929-0213</t>
        </is>
      </c>
      <c r="E927" s="2" t="inlineStr">
        <is>
          <t>PSC 2304, Box 8637, APO AE 35227</t>
        </is>
      </c>
      <c r="F927" s="2" t="inlineStr">
        <is>
          <t>Lopezhaven</t>
        </is>
      </c>
      <c r="G927" s="2" t="inlineStr">
        <is>
          <t>Honduras</t>
        </is>
      </c>
      <c r="H927" s="2" t="inlineStr">
        <is>
          <t>road</t>
        </is>
      </c>
      <c r="I927" t="inlineStr">
        <is>
          <t>answer</t>
        </is>
      </c>
    </row>
    <row r="928">
      <c r="A928" s="2" t="inlineStr">
        <is>
          <t>C5948</t>
        </is>
      </c>
      <c r="B928" s="2" t="inlineStr">
        <is>
          <t>Nancy Hunter</t>
        </is>
      </c>
      <c r="C928" s="2" t="inlineStr">
        <is>
          <t>katherine03@rush.com</t>
        </is>
      </c>
      <c r="D928" s="2" t="inlineStr">
        <is>
          <t>094.347.8292</t>
        </is>
      </c>
      <c r="E928" s="2" t="inlineStr">
        <is>
          <t>7481 Smith Course Suite 904, East Joshua, NM 40894</t>
        </is>
      </c>
      <c r="F928" s="2" t="inlineStr">
        <is>
          <t>East Sherrimouth</t>
        </is>
      </c>
      <c r="G928" s="2" t="inlineStr">
        <is>
          <t>Marshall Islands</t>
        </is>
      </c>
      <c r="H928" s="2" t="inlineStr">
        <is>
          <t>along</t>
        </is>
      </c>
      <c r="I928" t="inlineStr">
        <is>
          <t>remember</t>
        </is>
      </c>
    </row>
    <row r="929">
      <c r="A929" s="2" t="inlineStr">
        <is>
          <t>C6208</t>
        </is>
      </c>
      <c r="B929" s="2" t="inlineStr">
        <is>
          <t>Dennis Jones</t>
        </is>
      </c>
      <c r="C929" s="2" t="inlineStr">
        <is>
          <t>maynardcraig@yahoo.com</t>
        </is>
      </c>
      <c r="D929" s="2" t="inlineStr">
        <is>
          <t>820.153.9897x67086</t>
        </is>
      </c>
      <c r="E929" s="2" t="inlineStr">
        <is>
          <t>3993 Amber Mills, Madisonland, NV 25304</t>
        </is>
      </c>
      <c r="F929" s="2" t="inlineStr">
        <is>
          <t>Courtneystad</t>
        </is>
      </c>
      <c r="G929" s="2" t="inlineStr">
        <is>
          <t>British Virgin Islands</t>
        </is>
      </c>
      <c r="H929" s="2" t="inlineStr">
        <is>
          <t>offer</t>
        </is>
      </c>
      <c r="I929" t="inlineStr">
        <is>
          <t>radio</t>
        </is>
      </c>
    </row>
    <row r="930">
      <c r="A930" s="2" t="inlineStr">
        <is>
          <t>C1710</t>
        </is>
      </c>
      <c r="B930" s="2" t="inlineStr">
        <is>
          <t>Austin Davenport</t>
        </is>
      </c>
      <c r="C930" s="2" t="inlineStr">
        <is>
          <t>hdyer@yahoo.com</t>
        </is>
      </c>
      <c r="D930" s="2" t="inlineStr">
        <is>
          <t>(744)832-3798x73215</t>
        </is>
      </c>
      <c r="E930" s="2" t="inlineStr">
        <is>
          <t>7868 Little Inlet, East Tonyshire, MI 84674</t>
        </is>
      </c>
      <c r="F930" s="2" t="inlineStr">
        <is>
          <t>New Jamie</t>
        </is>
      </c>
      <c r="G930" s="2" t="inlineStr">
        <is>
          <t>Maldives</t>
        </is>
      </c>
      <c r="H930" s="2" t="inlineStr">
        <is>
          <t>economic</t>
        </is>
      </c>
      <c r="I930" t="inlineStr">
        <is>
          <t>thousand</t>
        </is>
      </c>
    </row>
    <row r="931">
      <c r="A931" s="2" t="inlineStr">
        <is>
          <t>C8059</t>
        </is>
      </c>
      <c r="B931" s="2" t="inlineStr">
        <is>
          <t>Kevin Marshall</t>
        </is>
      </c>
      <c r="C931" s="2" t="inlineStr">
        <is>
          <t>brownkevin@pierce.org</t>
        </is>
      </c>
      <c r="D931" s="2" t="inlineStr">
        <is>
          <t>706-223-7322x31070</t>
        </is>
      </c>
      <c r="E931" s="2" t="inlineStr">
        <is>
          <t>783 Glen Roads, Carrillomouth, OH 68515</t>
        </is>
      </c>
      <c r="F931" s="2" t="inlineStr">
        <is>
          <t>Watsonchester</t>
        </is>
      </c>
      <c r="G931" s="2" t="inlineStr">
        <is>
          <t>Brazil</t>
        </is>
      </c>
      <c r="H931" s="2" t="inlineStr">
        <is>
          <t>quickly</t>
        </is>
      </c>
      <c r="I931" t="inlineStr">
        <is>
          <t>middle</t>
        </is>
      </c>
    </row>
    <row r="932">
      <c r="A932" s="2" t="inlineStr">
        <is>
          <t>C5350</t>
        </is>
      </c>
      <c r="B932" s="2" t="inlineStr">
        <is>
          <t>John Hanson</t>
        </is>
      </c>
      <c r="C932" s="2" t="inlineStr">
        <is>
          <t>lance47@hotmail.com</t>
        </is>
      </c>
      <c r="D932" s="2" t="inlineStr">
        <is>
          <t>001-359-666-0763x3209</t>
        </is>
      </c>
      <c r="E932" s="2" t="inlineStr">
        <is>
          <t>8014 Freeman Land, Gabrielberg, NJ 87118</t>
        </is>
      </c>
      <c r="F932" s="2" t="inlineStr">
        <is>
          <t>Wallaceborough</t>
        </is>
      </c>
      <c r="G932" s="2" t="inlineStr">
        <is>
          <t>Montserrat</t>
        </is>
      </c>
      <c r="H932" s="2" t="inlineStr">
        <is>
          <t>skin</t>
        </is>
      </c>
      <c r="I932" t="inlineStr">
        <is>
          <t>less</t>
        </is>
      </c>
    </row>
    <row r="933">
      <c r="A933" s="2" t="inlineStr">
        <is>
          <t>C8656</t>
        </is>
      </c>
      <c r="B933" s="2" t="inlineStr">
        <is>
          <t>Julie Ellis</t>
        </is>
      </c>
      <c r="C933" s="2" t="inlineStr">
        <is>
          <t>sstone@bryant.com</t>
        </is>
      </c>
      <c r="D933" s="2" t="inlineStr">
        <is>
          <t>041.635.7969x8659</t>
        </is>
      </c>
      <c r="E933" s="2" t="inlineStr">
        <is>
          <t>7515 John Forks, West Amandashire, HI 25557</t>
        </is>
      </c>
      <c r="F933" s="2" t="inlineStr">
        <is>
          <t>Samuelland</t>
        </is>
      </c>
      <c r="G933" s="2" t="inlineStr">
        <is>
          <t>Eritrea</t>
        </is>
      </c>
      <c r="H933" s="2" t="inlineStr">
        <is>
          <t>still</t>
        </is>
      </c>
      <c r="I933" t="inlineStr">
        <is>
          <t>word</t>
        </is>
      </c>
    </row>
    <row r="934">
      <c r="A934" s="2" t="inlineStr">
        <is>
          <t>C4486</t>
        </is>
      </c>
      <c r="B934" s="2" t="inlineStr">
        <is>
          <t>Brittney Owen</t>
        </is>
      </c>
      <c r="C934" s="2" t="inlineStr">
        <is>
          <t>jackson59@hodge-reilly.com</t>
        </is>
      </c>
      <c r="D934" s="2" t="inlineStr">
        <is>
          <t>145.300.4892</t>
        </is>
      </c>
      <c r="E934" s="2" t="inlineStr">
        <is>
          <t>977 Weiss Lakes Apt. 238, Tylerstad, MI 61543</t>
        </is>
      </c>
      <c r="F934" s="2" t="inlineStr">
        <is>
          <t>East Bethany</t>
        </is>
      </c>
      <c r="G934" s="2" t="inlineStr">
        <is>
          <t>United States Virgin Islands</t>
        </is>
      </c>
      <c r="H934" s="2" t="inlineStr">
        <is>
          <t>cause</t>
        </is>
      </c>
      <c r="I934" t="inlineStr">
        <is>
          <t>pattern</t>
        </is>
      </c>
    </row>
    <row r="935">
      <c r="A935" s="2" t="inlineStr">
        <is>
          <t>C9566</t>
        </is>
      </c>
      <c r="B935" s="2" t="inlineStr">
        <is>
          <t>Terri Peterson</t>
        </is>
      </c>
      <c r="C935" s="2" t="inlineStr">
        <is>
          <t>kent85@hotmail.com</t>
        </is>
      </c>
      <c r="D935" s="2" t="inlineStr">
        <is>
          <t>001-601-967-5889x59624</t>
        </is>
      </c>
      <c r="E935" s="2" t="inlineStr">
        <is>
          <t>3904 Nelson Oval Suite 392, Port Christian, NH 23995</t>
        </is>
      </c>
      <c r="F935" s="2" t="inlineStr">
        <is>
          <t>Port Williamland</t>
        </is>
      </c>
      <c r="G935" s="2" t="inlineStr">
        <is>
          <t>Djibouti</t>
        </is>
      </c>
      <c r="H935" s="2" t="inlineStr">
        <is>
          <t>line</t>
        </is>
      </c>
      <c r="I935" t="inlineStr">
        <is>
          <t>on</t>
        </is>
      </c>
    </row>
    <row r="936">
      <c r="A936" s="2" t="inlineStr">
        <is>
          <t>C9890</t>
        </is>
      </c>
      <c r="B936" s="2" t="inlineStr">
        <is>
          <t>Cynthia Gray</t>
        </is>
      </c>
      <c r="C936" s="2" t="inlineStr">
        <is>
          <t>hjohnson@gmail.com</t>
        </is>
      </c>
      <c r="D936" s="2" t="inlineStr">
        <is>
          <t>835-159-5923</t>
        </is>
      </c>
      <c r="E936" s="2" t="inlineStr">
        <is>
          <t>517 Caleb Road Suite 402, New Debbie, MA 14432</t>
        </is>
      </c>
      <c r="F936" s="2" t="inlineStr">
        <is>
          <t>Shawport</t>
        </is>
      </c>
      <c r="G936" s="2" t="inlineStr">
        <is>
          <t>Sudan</t>
        </is>
      </c>
      <c r="H936" s="2" t="inlineStr">
        <is>
          <t>leader</t>
        </is>
      </c>
      <c r="I936" t="inlineStr">
        <is>
          <t>sense</t>
        </is>
      </c>
    </row>
    <row r="937">
      <c r="A937" s="2" t="inlineStr">
        <is>
          <t>C1733</t>
        </is>
      </c>
      <c r="B937" s="2" t="inlineStr">
        <is>
          <t>Dwayne Ferguson</t>
        </is>
      </c>
      <c r="C937" s="2" t="inlineStr">
        <is>
          <t>anthony81@anderson-gomez.org</t>
        </is>
      </c>
      <c r="D937" s="2" t="inlineStr">
        <is>
          <t>8348225694</t>
        </is>
      </c>
      <c r="E937" s="2" t="inlineStr">
        <is>
          <t>3547 Leslie Vista Suite 943, Marissaside, NY 85647</t>
        </is>
      </c>
      <c r="F937" s="2" t="inlineStr">
        <is>
          <t>Lake Dennisfurt</t>
        </is>
      </c>
      <c r="G937" s="2" t="inlineStr">
        <is>
          <t>France</t>
        </is>
      </c>
      <c r="H937" s="2" t="inlineStr">
        <is>
          <t>once</t>
        </is>
      </c>
      <c r="I937" t="inlineStr">
        <is>
          <t>military</t>
        </is>
      </c>
    </row>
    <row r="938">
      <c r="A938" s="2" t="inlineStr">
        <is>
          <t>C7545</t>
        </is>
      </c>
      <c r="B938" s="2" t="inlineStr">
        <is>
          <t>Trevor Holt</t>
        </is>
      </c>
      <c r="C938" s="2" t="inlineStr">
        <is>
          <t>uayala@richardson.com</t>
        </is>
      </c>
      <c r="D938" s="2" t="inlineStr">
        <is>
          <t>271.986.0669x579</t>
        </is>
      </c>
      <c r="E938" s="2" t="inlineStr">
        <is>
          <t>308 Krista Stravenue, East Sonyaton, WA 19692</t>
        </is>
      </c>
      <c r="F938" s="2" t="inlineStr">
        <is>
          <t>Riveraside</t>
        </is>
      </c>
      <c r="G938" s="2" t="inlineStr">
        <is>
          <t>Latvia</t>
        </is>
      </c>
      <c r="H938" s="2" t="inlineStr">
        <is>
          <t>whom</t>
        </is>
      </c>
      <c r="I938" t="inlineStr">
        <is>
          <t>bag</t>
        </is>
      </c>
    </row>
    <row r="939">
      <c r="A939" s="2" t="inlineStr">
        <is>
          <t>C4734</t>
        </is>
      </c>
      <c r="B939" s="2" t="inlineStr">
        <is>
          <t>Brenda Anderson</t>
        </is>
      </c>
      <c r="C939" s="2" t="inlineStr">
        <is>
          <t>matthewbowers@hotmail.com</t>
        </is>
      </c>
      <c r="D939" s="2" t="inlineStr">
        <is>
          <t>489-398-8599</t>
        </is>
      </c>
      <c r="E939" s="2" t="inlineStr">
        <is>
          <t>Unit 0394 Box 6302, DPO AE 70186</t>
        </is>
      </c>
      <c r="F939" s="2" t="inlineStr">
        <is>
          <t>New James</t>
        </is>
      </c>
      <c r="G939" s="2" t="inlineStr">
        <is>
          <t>Papua New Guinea</t>
        </is>
      </c>
      <c r="H939" s="2" t="inlineStr">
        <is>
          <t>protect</t>
        </is>
      </c>
      <c r="I939" t="inlineStr">
        <is>
          <t>home</t>
        </is>
      </c>
    </row>
    <row r="940">
      <c r="A940" s="2" t="inlineStr">
        <is>
          <t>C6584</t>
        </is>
      </c>
      <c r="B940" s="2" t="inlineStr">
        <is>
          <t>Tyler Spears</t>
        </is>
      </c>
      <c r="C940" s="2" t="inlineStr">
        <is>
          <t>jerickson@hotmail.com</t>
        </is>
      </c>
      <c r="D940" s="2" t="inlineStr">
        <is>
          <t>001-287-173-6512x54283</t>
        </is>
      </c>
      <c r="E940" s="2" t="inlineStr">
        <is>
          <t>24563 Dougherty Circles, Bradleytown, WV 57369</t>
        </is>
      </c>
      <c r="F940" s="2" t="inlineStr">
        <is>
          <t>Josephmouth</t>
        </is>
      </c>
      <c r="G940" s="2" t="inlineStr">
        <is>
          <t>Oman</t>
        </is>
      </c>
      <c r="H940" s="2" t="inlineStr">
        <is>
          <t>by</t>
        </is>
      </c>
      <c r="I940" t="inlineStr">
        <is>
          <t>trade</t>
        </is>
      </c>
    </row>
    <row r="941">
      <c r="A941" s="2" t="inlineStr">
        <is>
          <t>C6104</t>
        </is>
      </c>
      <c r="B941" s="2" t="inlineStr">
        <is>
          <t>Rebecca Holloway</t>
        </is>
      </c>
      <c r="C941" s="2" t="inlineStr">
        <is>
          <t>joshua52@yahoo.com</t>
        </is>
      </c>
      <c r="D941" s="2" t="inlineStr">
        <is>
          <t>331.263.1044x00936</t>
        </is>
      </c>
      <c r="E941" s="2" t="inlineStr">
        <is>
          <t>2154 Jarvis Ford Suite 576, South Krystalville, AK 36121</t>
        </is>
      </c>
      <c r="F941" s="2" t="inlineStr">
        <is>
          <t>Lake Joeville</t>
        </is>
      </c>
      <c r="G941" s="2" t="inlineStr">
        <is>
          <t>Anguilla</t>
        </is>
      </c>
      <c r="H941" s="2" t="inlineStr">
        <is>
          <t>without</t>
        </is>
      </c>
      <c r="I941" t="inlineStr">
        <is>
          <t>cultural</t>
        </is>
      </c>
    </row>
    <row r="942">
      <c r="A942" s="2" t="inlineStr">
        <is>
          <t>C9622</t>
        </is>
      </c>
      <c r="B942" s="2" t="inlineStr">
        <is>
          <t>Lori Harrison</t>
        </is>
      </c>
      <c r="C942" s="2" t="inlineStr">
        <is>
          <t>david20@martinez-clark.biz</t>
        </is>
      </c>
      <c r="D942" s="2" t="inlineStr">
        <is>
          <t>928-411-6665x311</t>
        </is>
      </c>
      <c r="E942" s="2" t="inlineStr">
        <is>
          <t>8315 Kevin Port Apt. 864, West Thomas, OR 90198</t>
        </is>
      </c>
      <c r="F942" s="2" t="inlineStr">
        <is>
          <t>Tannermouth</t>
        </is>
      </c>
      <c r="G942" s="2" t="inlineStr">
        <is>
          <t>Ecuador</t>
        </is>
      </c>
      <c r="H942" s="2" t="inlineStr">
        <is>
          <t>continue</t>
        </is>
      </c>
      <c r="I942" t="inlineStr">
        <is>
          <t>owner</t>
        </is>
      </c>
    </row>
    <row r="943">
      <c r="A943" s="2" t="inlineStr">
        <is>
          <t>C9921</t>
        </is>
      </c>
      <c r="B943" s="2" t="inlineStr">
        <is>
          <t>David Smith</t>
        </is>
      </c>
      <c r="C943" s="2" t="inlineStr">
        <is>
          <t>vallen@gregory-bates.net</t>
        </is>
      </c>
      <c r="D943" s="2" t="inlineStr">
        <is>
          <t>7256210442</t>
        </is>
      </c>
      <c r="E943" s="2" t="inlineStr">
        <is>
          <t>51487 Rodriguez Rest, New Kimberly, WI 63375</t>
        </is>
      </c>
      <c r="F943" s="2" t="inlineStr">
        <is>
          <t>Lake Eric</t>
        </is>
      </c>
      <c r="G943" s="2" t="inlineStr">
        <is>
          <t>Slovakia (Slovak Republic)</t>
        </is>
      </c>
      <c r="H943" s="2" t="inlineStr">
        <is>
          <t>whom</t>
        </is>
      </c>
      <c r="I943" t="inlineStr">
        <is>
          <t>development</t>
        </is>
      </c>
    </row>
    <row r="944">
      <c r="A944" s="2" t="inlineStr">
        <is>
          <t>C5638</t>
        </is>
      </c>
      <c r="B944" s="2" t="inlineStr">
        <is>
          <t>Michael Graham</t>
        </is>
      </c>
      <c r="C944" s="2" t="inlineStr">
        <is>
          <t>blakedodson@gmail.com</t>
        </is>
      </c>
      <c r="D944" s="2" t="inlineStr">
        <is>
          <t>+1-870-014-2391x54732</t>
        </is>
      </c>
      <c r="E944" s="2" t="inlineStr">
        <is>
          <t>227 Charles Turnpike Suite 294, Williamside, DC 76550</t>
        </is>
      </c>
      <c r="F944" s="2" t="inlineStr">
        <is>
          <t>Joannfort</t>
        </is>
      </c>
      <c r="G944" s="2" t="inlineStr">
        <is>
          <t>Mozambique</t>
        </is>
      </c>
      <c r="H944" s="2" t="inlineStr">
        <is>
          <t>clearly</t>
        </is>
      </c>
      <c r="I944" t="inlineStr">
        <is>
          <t>product</t>
        </is>
      </c>
    </row>
    <row r="945">
      <c r="A945" s="2" t="inlineStr">
        <is>
          <t>C1952</t>
        </is>
      </c>
      <c r="B945" s="2" t="inlineStr">
        <is>
          <t>Heather Kelley</t>
        </is>
      </c>
      <c r="C945" s="2" t="inlineStr">
        <is>
          <t>oyoung@freeman.com</t>
        </is>
      </c>
      <c r="D945" s="2" t="inlineStr">
        <is>
          <t>001-734-612-3239x408</t>
        </is>
      </c>
      <c r="E945" s="2" t="inlineStr">
        <is>
          <t>96309 Bailey Cape, South Kristimouth, CT 12181</t>
        </is>
      </c>
      <c r="F945" s="2" t="inlineStr">
        <is>
          <t>West Gregoryview</t>
        </is>
      </c>
      <c r="G945" s="2" t="inlineStr">
        <is>
          <t>Greenland</t>
        </is>
      </c>
      <c r="H945" s="2" t="inlineStr">
        <is>
          <t>well</t>
        </is>
      </c>
      <c r="I945" t="inlineStr">
        <is>
          <t>attention</t>
        </is>
      </c>
    </row>
    <row r="946">
      <c r="A946" s="2" t="inlineStr">
        <is>
          <t>C2428</t>
        </is>
      </c>
      <c r="B946" s="2" t="inlineStr">
        <is>
          <t>Leah Martinez</t>
        </is>
      </c>
      <c r="C946" s="2" t="inlineStr">
        <is>
          <t>lopezdonald@marquez.com</t>
        </is>
      </c>
      <c r="D946" s="2" t="inlineStr">
        <is>
          <t>+1-841-707-9149</t>
        </is>
      </c>
      <c r="E946" s="2" t="inlineStr">
        <is>
          <t>Unit 0437 Box 8936, DPO AE 56701</t>
        </is>
      </c>
      <c r="F946" s="2" t="inlineStr">
        <is>
          <t>West Jeremytown</t>
        </is>
      </c>
      <c r="G946" s="2" t="inlineStr">
        <is>
          <t>Micronesia</t>
        </is>
      </c>
      <c r="H946" s="2" t="inlineStr">
        <is>
          <t>health</t>
        </is>
      </c>
      <c r="I946" t="inlineStr">
        <is>
          <t>western</t>
        </is>
      </c>
    </row>
    <row r="947">
      <c r="A947" s="2" t="inlineStr">
        <is>
          <t>C8095</t>
        </is>
      </c>
      <c r="B947" s="2" t="inlineStr">
        <is>
          <t>Shannon Rodriguez</t>
        </is>
      </c>
      <c r="C947" s="2" t="inlineStr">
        <is>
          <t>nancy43@gmail.com</t>
        </is>
      </c>
      <c r="D947" s="2" t="inlineStr">
        <is>
          <t>(459)819-6775</t>
        </is>
      </c>
      <c r="E947" s="2" t="inlineStr">
        <is>
          <t>916 Bennett Knoll Suite 105, East Tylerville, CT 11695</t>
        </is>
      </c>
      <c r="F947" s="2" t="inlineStr">
        <is>
          <t>Mathisberg</t>
        </is>
      </c>
      <c r="G947" s="2" t="inlineStr">
        <is>
          <t>Vanuatu</t>
        </is>
      </c>
      <c r="H947" s="2" t="inlineStr">
        <is>
          <t>study</t>
        </is>
      </c>
      <c r="I947" t="inlineStr">
        <is>
          <t>nature</t>
        </is>
      </c>
    </row>
    <row r="948">
      <c r="A948" s="2" t="inlineStr">
        <is>
          <t>C6315</t>
        </is>
      </c>
      <c r="B948" s="2" t="inlineStr">
        <is>
          <t>Kurt Mack</t>
        </is>
      </c>
      <c r="C948" s="2" t="inlineStr">
        <is>
          <t>yestrada@rasmussen.com</t>
        </is>
      </c>
      <c r="D948" s="2" t="inlineStr">
        <is>
          <t>429.904.4889</t>
        </is>
      </c>
      <c r="E948" s="2" t="inlineStr">
        <is>
          <t>2467 Marcus Overpass Suite 572, North Elizabeth, NC 50690</t>
        </is>
      </c>
      <c r="F948" s="2" t="inlineStr">
        <is>
          <t>West Matthew</t>
        </is>
      </c>
      <c r="G948" s="2" t="inlineStr">
        <is>
          <t>American Samoa</t>
        </is>
      </c>
      <c r="H948" s="2" t="inlineStr">
        <is>
          <t>my</t>
        </is>
      </c>
      <c r="I948" t="inlineStr">
        <is>
          <t>their</t>
        </is>
      </c>
    </row>
    <row r="949">
      <c r="A949" s="2" t="inlineStr">
        <is>
          <t>C1016</t>
        </is>
      </c>
      <c r="B949" s="2" t="inlineStr">
        <is>
          <t>Beth Lewis</t>
        </is>
      </c>
      <c r="C949" s="2" t="inlineStr">
        <is>
          <t>matthew84@henry.org</t>
        </is>
      </c>
      <c r="D949" s="2" t="inlineStr">
        <is>
          <t>452-235-9879</t>
        </is>
      </c>
      <c r="E949" s="2" t="inlineStr">
        <is>
          <t>755 Pena Spurs Suite 439, Harrisonchester, IL 48932</t>
        </is>
      </c>
      <c r="F949" s="2" t="inlineStr">
        <is>
          <t>Scotthaven</t>
        </is>
      </c>
      <c r="G949" s="2" t="inlineStr">
        <is>
          <t>Cote d'Ivoire</t>
        </is>
      </c>
      <c r="H949" s="2" t="inlineStr">
        <is>
          <t>green</t>
        </is>
      </c>
      <c r="I949" t="inlineStr">
        <is>
          <t>store</t>
        </is>
      </c>
    </row>
    <row r="950">
      <c r="A950" s="2" t="inlineStr">
        <is>
          <t>C9154</t>
        </is>
      </c>
      <c r="B950" s="2" t="inlineStr">
        <is>
          <t>Mark Walker</t>
        </is>
      </c>
      <c r="C950" s="2" t="inlineStr">
        <is>
          <t>murrayhayden@yahoo.com</t>
        </is>
      </c>
      <c r="D950" s="2" t="inlineStr">
        <is>
          <t>178.175.8317x8169</t>
        </is>
      </c>
      <c r="E950" s="2" t="inlineStr">
        <is>
          <t>49542 Maldonado Stravenue Apt. 313, West Robertport, CO 08707</t>
        </is>
      </c>
      <c r="F950" s="2" t="inlineStr">
        <is>
          <t>Robertomouth</t>
        </is>
      </c>
      <c r="G950" s="2" t="inlineStr">
        <is>
          <t>Mauritius</t>
        </is>
      </c>
      <c r="H950" s="2" t="inlineStr">
        <is>
          <t>charge</t>
        </is>
      </c>
      <c r="I950" t="inlineStr">
        <is>
          <t>discussion</t>
        </is>
      </c>
    </row>
    <row r="951">
      <c r="A951" s="2" t="inlineStr">
        <is>
          <t>C8762</t>
        </is>
      </c>
      <c r="B951" s="2" t="inlineStr">
        <is>
          <t>Elizabeth Gonzalez</t>
        </is>
      </c>
      <c r="C951" s="2" t="inlineStr">
        <is>
          <t>greenwilliam@yahoo.com</t>
        </is>
      </c>
      <c r="D951" s="2" t="inlineStr">
        <is>
          <t>861-207-4791x3788</t>
        </is>
      </c>
      <c r="E951" s="2" t="inlineStr">
        <is>
          <t>6776 Griffin Springs, Dennisbury, VT 83185</t>
        </is>
      </c>
      <c r="F951" s="2" t="inlineStr">
        <is>
          <t>Christinestad</t>
        </is>
      </c>
      <c r="G951" s="2" t="inlineStr">
        <is>
          <t>Moldova</t>
        </is>
      </c>
      <c r="H951" s="2" t="inlineStr">
        <is>
          <t>traditional</t>
        </is>
      </c>
      <c r="I951" t="inlineStr">
        <is>
          <t>easy</t>
        </is>
      </c>
    </row>
    <row r="952">
      <c r="A952" s="2" t="inlineStr">
        <is>
          <t>C2089</t>
        </is>
      </c>
      <c r="B952" s="2" t="inlineStr">
        <is>
          <t>Joel Smith</t>
        </is>
      </c>
      <c r="C952" s="2" t="inlineStr">
        <is>
          <t>sarahlevine@gmail.com</t>
        </is>
      </c>
      <c r="D952" s="2" t="inlineStr">
        <is>
          <t>145.699.5703</t>
        </is>
      </c>
      <c r="E952" s="2" t="inlineStr">
        <is>
          <t>852 Oscar Crossroad, New Jessicastad, AL 78028</t>
        </is>
      </c>
      <c r="F952" s="2" t="inlineStr">
        <is>
          <t>East Ericfurt</t>
        </is>
      </c>
      <c r="G952" s="2" t="inlineStr">
        <is>
          <t>Guyana</t>
        </is>
      </c>
      <c r="H952" s="2" t="inlineStr">
        <is>
          <t>something</t>
        </is>
      </c>
      <c r="I952" t="inlineStr">
        <is>
          <t>hear</t>
        </is>
      </c>
    </row>
    <row r="953">
      <c r="A953" s="2" t="inlineStr">
        <is>
          <t>C7845</t>
        </is>
      </c>
      <c r="B953" s="2" t="inlineStr">
        <is>
          <t>Christopher Hebert</t>
        </is>
      </c>
      <c r="C953" s="2" t="inlineStr">
        <is>
          <t>timothybarnes@brady.info</t>
        </is>
      </c>
      <c r="D953" s="2" t="inlineStr">
        <is>
          <t>485-726-2228x3318</t>
        </is>
      </c>
      <c r="E953" s="2" t="inlineStr">
        <is>
          <t>88777 Patterson Track Suite 759, Gomezmouth, UT 43078</t>
        </is>
      </c>
      <c r="F953" s="2" t="inlineStr">
        <is>
          <t>Schmidtmouth</t>
        </is>
      </c>
      <c r="G953" s="2" t="inlineStr">
        <is>
          <t>Canada</t>
        </is>
      </c>
      <c r="H953" s="2" t="inlineStr">
        <is>
          <t>country</t>
        </is>
      </c>
      <c r="I953" t="inlineStr">
        <is>
          <t>together</t>
        </is>
      </c>
    </row>
    <row r="954">
      <c r="A954" s="2" t="inlineStr">
        <is>
          <t>C9945</t>
        </is>
      </c>
      <c r="B954" s="2" t="inlineStr">
        <is>
          <t>Manuel Scott</t>
        </is>
      </c>
      <c r="C954" s="2" t="inlineStr">
        <is>
          <t>leemcmillan@ramirez-clark.com</t>
        </is>
      </c>
      <c r="D954" s="2" t="inlineStr">
        <is>
          <t>3307222533</t>
        </is>
      </c>
      <c r="E954" s="2" t="inlineStr">
        <is>
          <t>7074 Rachel Knoll, New Christophermouth, NY 12134</t>
        </is>
      </c>
      <c r="F954" s="2" t="inlineStr">
        <is>
          <t>Michelleside</t>
        </is>
      </c>
      <c r="G954" s="2" t="inlineStr">
        <is>
          <t>Canada</t>
        </is>
      </c>
      <c r="H954" s="2" t="inlineStr">
        <is>
          <t>begin</t>
        </is>
      </c>
      <c r="I954" t="inlineStr">
        <is>
          <t>feeling</t>
        </is>
      </c>
    </row>
    <row r="955">
      <c r="A955" s="2" t="inlineStr">
        <is>
          <t>C3834</t>
        </is>
      </c>
      <c r="B955" s="2" t="inlineStr">
        <is>
          <t>Jonathan Simmons</t>
        </is>
      </c>
      <c r="C955" s="2" t="inlineStr">
        <is>
          <t>aaron70@coleman.com</t>
        </is>
      </c>
      <c r="D955" s="2" t="inlineStr">
        <is>
          <t>744-459-5995</t>
        </is>
      </c>
      <c r="E955" s="2" t="inlineStr">
        <is>
          <t>1201 Debbie Bridge, South Michaeltown, DC 47894</t>
        </is>
      </c>
      <c r="F955" s="2" t="inlineStr">
        <is>
          <t>Cookchester</t>
        </is>
      </c>
      <c r="G955" s="2" t="inlineStr">
        <is>
          <t>Peru</t>
        </is>
      </c>
      <c r="H955" s="2" t="inlineStr">
        <is>
          <t>understand</t>
        </is>
      </c>
      <c r="I955" t="inlineStr">
        <is>
          <t>of</t>
        </is>
      </c>
    </row>
    <row r="956">
      <c r="A956" s="2" t="inlineStr">
        <is>
          <t>C4524</t>
        </is>
      </c>
      <c r="B956" s="2" t="inlineStr">
        <is>
          <t>Manuel Lopez</t>
        </is>
      </c>
      <c r="C956" s="2" t="inlineStr">
        <is>
          <t>jenniferscott@gmail.com</t>
        </is>
      </c>
      <c r="D956" s="2" t="inlineStr">
        <is>
          <t>+1-659-630-7544x3081</t>
        </is>
      </c>
      <c r="E956" s="2" t="inlineStr">
        <is>
          <t>94512 Gibson Mission Apt. 777, Petersonhaven, ME 05833</t>
        </is>
      </c>
      <c r="F956" s="2" t="inlineStr">
        <is>
          <t>East Brian</t>
        </is>
      </c>
      <c r="G956" s="2" t="inlineStr">
        <is>
          <t>Russian Federation</t>
        </is>
      </c>
      <c r="H956" s="2" t="inlineStr">
        <is>
          <t>even</t>
        </is>
      </c>
      <c r="I956" t="inlineStr">
        <is>
          <t>involve</t>
        </is>
      </c>
    </row>
    <row r="957">
      <c r="A957" s="2" t="inlineStr">
        <is>
          <t>C3648</t>
        </is>
      </c>
      <c r="B957" s="2" t="inlineStr">
        <is>
          <t>Tina Nielsen</t>
        </is>
      </c>
      <c r="C957" s="2" t="inlineStr">
        <is>
          <t>kathryn27@jones.biz</t>
        </is>
      </c>
      <c r="D957" s="2" t="inlineStr">
        <is>
          <t>001-409-417-7946x4376</t>
        </is>
      </c>
      <c r="E957" s="2" t="inlineStr">
        <is>
          <t>8012 Johnny Fords Suite 653, New Chadton, ME 93954</t>
        </is>
      </c>
      <c r="F957" s="2" t="inlineStr">
        <is>
          <t>Jimmyhaven</t>
        </is>
      </c>
      <c r="G957" s="2" t="inlineStr">
        <is>
          <t>Grenada</t>
        </is>
      </c>
      <c r="H957" s="2" t="inlineStr">
        <is>
          <t>clear</t>
        </is>
      </c>
      <c r="I957" t="inlineStr">
        <is>
          <t>product</t>
        </is>
      </c>
    </row>
    <row r="958">
      <c r="A958" s="2" t="inlineStr">
        <is>
          <t>C3353</t>
        </is>
      </c>
      <c r="B958" s="2" t="inlineStr">
        <is>
          <t>Rhonda Mendoza</t>
        </is>
      </c>
      <c r="C958" s="2" t="inlineStr">
        <is>
          <t>dnguyen@hotmail.com</t>
        </is>
      </c>
      <c r="D958" s="2" t="inlineStr">
        <is>
          <t>4232683834</t>
        </is>
      </c>
      <c r="E958" s="2" t="inlineStr">
        <is>
          <t>3852 Lori Knolls Suite 624, Scottstad, NM 16548</t>
        </is>
      </c>
      <c r="F958" s="2" t="inlineStr">
        <is>
          <t>East Jason</t>
        </is>
      </c>
      <c r="G958" s="2" t="inlineStr">
        <is>
          <t>Niger</t>
        </is>
      </c>
      <c r="H958" s="2" t="inlineStr">
        <is>
          <t>local</t>
        </is>
      </c>
      <c r="I958" t="inlineStr">
        <is>
          <t>art</t>
        </is>
      </c>
    </row>
    <row r="959">
      <c r="A959" s="2" t="inlineStr">
        <is>
          <t>C2291</t>
        </is>
      </c>
      <c r="B959" s="2" t="inlineStr">
        <is>
          <t>Patricia Campbell</t>
        </is>
      </c>
      <c r="C959" s="2" t="inlineStr">
        <is>
          <t>anthony37@jacobs.com</t>
        </is>
      </c>
      <c r="D959" s="2" t="inlineStr">
        <is>
          <t>105.948.7288</t>
        </is>
      </c>
      <c r="E959" s="2" t="inlineStr">
        <is>
          <t>PSC 3991, Box 8218, APO AP 62677</t>
        </is>
      </c>
      <c r="F959" s="2" t="inlineStr">
        <is>
          <t>Torresstad</t>
        </is>
      </c>
      <c r="G959" s="2" t="inlineStr">
        <is>
          <t>Trinidad and Tobago</t>
        </is>
      </c>
      <c r="H959" s="2" t="inlineStr">
        <is>
          <t>important</t>
        </is>
      </c>
      <c r="I959" t="inlineStr">
        <is>
          <t>material</t>
        </is>
      </c>
    </row>
    <row r="960">
      <c r="A960" s="2" t="inlineStr">
        <is>
          <t>C7602</t>
        </is>
      </c>
      <c r="B960" s="2" t="inlineStr">
        <is>
          <t>Jade Jefferson</t>
        </is>
      </c>
      <c r="C960" s="2" t="inlineStr">
        <is>
          <t>lcastro@cherry.com</t>
        </is>
      </c>
      <c r="D960" s="2" t="inlineStr">
        <is>
          <t>620-031-5798x37962</t>
        </is>
      </c>
      <c r="E960" s="2" t="inlineStr">
        <is>
          <t>PSC 8702, Box 8389, APO AE 68917</t>
        </is>
      </c>
      <c r="F960" s="2" t="inlineStr">
        <is>
          <t>East Zachary</t>
        </is>
      </c>
      <c r="G960" s="2" t="inlineStr">
        <is>
          <t>Angola</t>
        </is>
      </c>
      <c r="H960" s="2" t="inlineStr">
        <is>
          <t>exactly</t>
        </is>
      </c>
      <c r="I960" t="inlineStr">
        <is>
          <t>safe</t>
        </is>
      </c>
    </row>
    <row r="961">
      <c r="A961" s="2" t="inlineStr">
        <is>
          <t>C4996</t>
        </is>
      </c>
      <c r="B961" s="2" t="inlineStr">
        <is>
          <t>George Lopez</t>
        </is>
      </c>
      <c r="C961" s="2" t="inlineStr">
        <is>
          <t>morenoclaudia@gmail.com</t>
        </is>
      </c>
      <c r="D961" s="2" t="inlineStr">
        <is>
          <t>(097)771-0465</t>
        </is>
      </c>
      <c r="E961" s="2" t="inlineStr">
        <is>
          <t>550 Mark Turnpike Apt. 914, New Cynthiamouth, MO 76597</t>
        </is>
      </c>
      <c r="F961" s="2" t="inlineStr">
        <is>
          <t>Brianfurt</t>
        </is>
      </c>
      <c r="G961" s="2" t="inlineStr">
        <is>
          <t>Lebanon</t>
        </is>
      </c>
      <c r="H961" s="2" t="inlineStr">
        <is>
          <t>guy</t>
        </is>
      </c>
      <c r="I961" t="inlineStr">
        <is>
          <t>Congress</t>
        </is>
      </c>
    </row>
    <row r="962">
      <c r="A962" s="2" t="inlineStr">
        <is>
          <t>C4121</t>
        </is>
      </c>
      <c r="B962" s="2" t="inlineStr">
        <is>
          <t>Tracy Price</t>
        </is>
      </c>
      <c r="C962" s="2" t="inlineStr">
        <is>
          <t>rothkaren@adams.com</t>
        </is>
      </c>
      <c r="D962" s="2" t="inlineStr">
        <is>
          <t>(885)536-9544</t>
        </is>
      </c>
      <c r="E962" s="2" t="inlineStr">
        <is>
          <t>90515 Mclean Light, West Stephenstad, WI 24787</t>
        </is>
      </c>
      <c r="F962" s="2" t="inlineStr">
        <is>
          <t>East Jade</t>
        </is>
      </c>
      <c r="G962" s="2" t="inlineStr">
        <is>
          <t>Liechtenstein</t>
        </is>
      </c>
      <c r="H962" s="2" t="inlineStr">
        <is>
          <t>brother</t>
        </is>
      </c>
      <c r="I962" t="inlineStr">
        <is>
          <t>various</t>
        </is>
      </c>
    </row>
    <row r="963">
      <c r="A963" s="2" t="inlineStr">
        <is>
          <t>C4750</t>
        </is>
      </c>
      <c r="B963" s="2" t="inlineStr">
        <is>
          <t>Tina Macias</t>
        </is>
      </c>
      <c r="C963" s="2" t="inlineStr">
        <is>
          <t>dylan22@yahoo.com</t>
        </is>
      </c>
      <c r="D963" s="2" t="inlineStr">
        <is>
          <t>(377)025-0174x35442</t>
        </is>
      </c>
      <c r="E963" s="2" t="inlineStr">
        <is>
          <t>6288 Barker Courts, South Shanefurt, NM 09732</t>
        </is>
      </c>
      <c r="F963" s="2" t="inlineStr">
        <is>
          <t>Port James</t>
        </is>
      </c>
      <c r="G963" s="2" t="inlineStr">
        <is>
          <t>Svalbard &amp; Jan Mayen Islands</t>
        </is>
      </c>
      <c r="H963" s="2" t="inlineStr">
        <is>
          <t>treatment</t>
        </is>
      </c>
      <c r="I963" t="inlineStr">
        <is>
          <t>traditional</t>
        </is>
      </c>
    </row>
    <row r="964">
      <c r="A964" s="2" t="inlineStr">
        <is>
          <t>C9809</t>
        </is>
      </c>
      <c r="B964" s="2" t="inlineStr">
        <is>
          <t>Fernando Fitzgerald</t>
        </is>
      </c>
      <c r="C964" s="2" t="inlineStr">
        <is>
          <t>elizabethgonzalez@hawkins.biz</t>
        </is>
      </c>
      <c r="D964" s="2" t="inlineStr">
        <is>
          <t>(135)461-9032x73822</t>
        </is>
      </c>
      <c r="E964" s="2" t="inlineStr">
        <is>
          <t>5615 Moore Grove, East Matthewburgh, SC 89120</t>
        </is>
      </c>
      <c r="F964" s="2" t="inlineStr">
        <is>
          <t>Robertafurt</t>
        </is>
      </c>
      <c r="G964" s="2" t="inlineStr">
        <is>
          <t>French Southern Territories</t>
        </is>
      </c>
      <c r="H964" s="2" t="inlineStr">
        <is>
          <t>best</t>
        </is>
      </c>
      <c r="I964" t="inlineStr">
        <is>
          <t>explain</t>
        </is>
      </c>
    </row>
    <row r="965">
      <c r="A965" s="2" t="inlineStr">
        <is>
          <t>C7350</t>
        </is>
      </c>
      <c r="B965" s="2" t="inlineStr">
        <is>
          <t>Adriana Baird DDS</t>
        </is>
      </c>
      <c r="C965" s="2" t="inlineStr">
        <is>
          <t>smithkatelyn@ross.org</t>
        </is>
      </c>
      <c r="D965" s="2" t="inlineStr">
        <is>
          <t>236.192.2168x3280</t>
        </is>
      </c>
      <c r="E965" s="2" t="inlineStr">
        <is>
          <t>01989 Whitney Ports, Johnmouth, FL 38200</t>
        </is>
      </c>
      <c r="F965" s="2" t="inlineStr">
        <is>
          <t>Catherineborough</t>
        </is>
      </c>
      <c r="G965" s="2" t="inlineStr">
        <is>
          <t>Yemen</t>
        </is>
      </c>
      <c r="H965" s="2" t="inlineStr">
        <is>
          <t>our</t>
        </is>
      </c>
      <c r="I965" t="inlineStr">
        <is>
          <t>husband</t>
        </is>
      </c>
    </row>
    <row r="966">
      <c r="A966" s="2" t="inlineStr">
        <is>
          <t>C8315</t>
        </is>
      </c>
      <c r="B966" s="2" t="inlineStr">
        <is>
          <t>Aaron Davis</t>
        </is>
      </c>
      <c r="C966" s="2" t="inlineStr">
        <is>
          <t>gmoore@gomez.biz</t>
        </is>
      </c>
      <c r="D966" s="2" t="inlineStr">
        <is>
          <t>001-011-909-6219x2786</t>
        </is>
      </c>
      <c r="E966" s="2" t="inlineStr">
        <is>
          <t>90907 Anthony Field, East Debra, AL 74506</t>
        </is>
      </c>
      <c r="F966" s="2" t="inlineStr">
        <is>
          <t>New Lauraton</t>
        </is>
      </c>
      <c r="G966" s="2" t="inlineStr">
        <is>
          <t>Gambia</t>
        </is>
      </c>
      <c r="H966" s="2" t="inlineStr">
        <is>
          <t>mention</t>
        </is>
      </c>
      <c r="I966" t="inlineStr">
        <is>
          <t>raise</t>
        </is>
      </c>
    </row>
    <row r="967">
      <c r="A967" s="2" t="inlineStr">
        <is>
          <t>C9767</t>
        </is>
      </c>
      <c r="B967" s="2" t="inlineStr">
        <is>
          <t>Carrie Rodriguez</t>
        </is>
      </c>
      <c r="C967" s="2" t="inlineStr">
        <is>
          <t>julianbaker@osborn.com</t>
        </is>
      </c>
      <c r="D967" s="2" t="inlineStr">
        <is>
          <t>001-515-392-9483x137</t>
        </is>
      </c>
      <c r="E967" s="2" t="inlineStr">
        <is>
          <t>99779 Huffman Street, Dwayneborough, KS 39416</t>
        </is>
      </c>
      <c r="F967" s="2" t="inlineStr">
        <is>
          <t>Osbornemouth</t>
        </is>
      </c>
      <c r="G967" s="2" t="inlineStr">
        <is>
          <t>Belgium</t>
        </is>
      </c>
      <c r="H967" s="2" t="inlineStr">
        <is>
          <t>son</t>
        </is>
      </c>
      <c r="I967" t="inlineStr">
        <is>
          <t>house</t>
        </is>
      </c>
    </row>
    <row r="968">
      <c r="A968" s="2" t="inlineStr">
        <is>
          <t>C1059</t>
        </is>
      </c>
      <c r="B968" s="2" t="inlineStr">
        <is>
          <t>Scott Reeves</t>
        </is>
      </c>
      <c r="C968" s="2" t="inlineStr">
        <is>
          <t>collinstracy@gmail.com</t>
        </is>
      </c>
      <c r="D968" s="2" t="inlineStr">
        <is>
          <t>525.050.7912x35643</t>
        </is>
      </c>
      <c r="E968" s="2" t="inlineStr">
        <is>
          <t>54017 Justin Ford Suite 335, Garzaview, VA 54739</t>
        </is>
      </c>
      <c r="F968" s="2" t="inlineStr">
        <is>
          <t>South Michelle</t>
        </is>
      </c>
      <c r="G968" s="2" t="inlineStr">
        <is>
          <t>Burkina Faso</t>
        </is>
      </c>
      <c r="H968" s="2" t="inlineStr">
        <is>
          <t>detail</t>
        </is>
      </c>
      <c r="I968" t="inlineStr">
        <is>
          <t>affect</t>
        </is>
      </c>
    </row>
    <row r="969">
      <c r="A969" s="2" t="inlineStr">
        <is>
          <t>C5433</t>
        </is>
      </c>
      <c r="B969" s="2" t="inlineStr">
        <is>
          <t>Alisha Baird</t>
        </is>
      </c>
      <c r="C969" s="2" t="inlineStr">
        <is>
          <t>mitchell02@porter-hughes.info</t>
        </is>
      </c>
      <c r="D969" s="2" t="inlineStr">
        <is>
          <t>+1-286-634-3677</t>
        </is>
      </c>
      <c r="E969" s="2" t="inlineStr">
        <is>
          <t>7438 Robles Prairie, Thomasland, FL 51696</t>
        </is>
      </c>
      <c r="F969" s="2" t="inlineStr">
        <is>
          <t>Rhodesborough</t>
        </is>
      </c>
      <c r="G969" s="2" t="inlineStr">
        <is>
          <t>Myanmar</t>
        </is>
      </c>
      <c r="H969" s="2" t="inlineStr">
        <is>
          <t>forward</t>
        </is>
      </c>
      <c r="I969" t="inlineStr">
        <is>
          <t>make</t>
        </is>
      </c>
    </row>
    <row r="970">
      <c r="A970" s="2" t="inlineStr">
        <is>
          <t>C7823</t>
        </is>
      </c>
      <c r="B970" s="2" t="inlineStr">
        <is>
          <t>Joseph Stevens</t>
        </is>
      </c>
      <c r="C970" s="2" t="inlineStr">
        <is>
          <t>cynthia09@nicholson-maxwell.com</t>
        </is>
      </c>
      <c r="D970" s="2" t="inlineStr">
        <is>
          <t>+1-000-968-2240</t>
        </is>
      </c>
      <c r="E970" s="2" t="inlineStr">
        <is>
          <t>9442 Jessica Locks, Patriciaside, PA 40895</t>
        </is>
      </c>
      <c r="F970" s="2" t="inlineStr">
        <is>
          <t>North William</t>
        </is>
      </c>
      <c r="G970" s="2" t="inlineStr">
        <is>
          <t>Oman</t>
        </is>
      </c>
      <c r="H970" s="2" t="inlineStr">
        <is>
          <t>Mrs</t>
        </is>
      </c>
      <c r="I970" t="inlineStr">
        <is>
          <t>consumer</t>
        </is>
      </c>
    </row>
    <row r="971">
      <c r="A971" s="2" t="inlineStr">
        <is>
          <t>C3871</t>
        </is>
      </c>
      <c r="B971" s="2" t="inlineStr">
        <is>
          <t>Connor Holmes</t>
        </is>
      </c>
      <c r="C971" s="2" t="inlineStr">
        <is>
          <t>christina42@richards.com</t>
        </is>
      </c>
      <c r="D971" s="2" t="inlineStr">
        <is>
          <t>001-882-481-3730x91300</t>
        </is>
      </c>
      <c r="E971" s="2" t="inlineStr">
        <is>
          <t>508 Kendra Isle, Lake Brianstad, CA 94378</t>
        </is>
      </c>
      <c r="F971" s="2" t="inlineStr">
        <is>
          <t>Corychester</t>
        </is>
      </c>
      <c r="G971" s="2" t="inlineStr">
        <is>
          <t>Norfolk Island</t>
        </is>
      </c>
      <c r="H971" s="2" t="inlineStr">
        <is>
          <t>might</t>
        </is>
      </c>
      <c r="I971" t="inlineStr">
        <is>
          <t>mission</t>
        </is>
      </c>
    </row>
    <row r="972">
      <c r="A972" s="2" t="inlineStr">
        <is>
          <t>C4356</t>
        </is>
      </c>
      <c r="B972" s="2" t="inlineStr">
        <is>
          <t>Mark Martin</t>
        </is>
      </c>
      <c r="C972" s="2" t="inlineStr">
        <is>
          <t>rachellester@yahoo.com</t>
        </is>
      </c>
      <c r="D972" s="2" t="inlineStr">
        <is>
          <t>889-800-3010</t>
        </is>
      </c>
      <c r="E972" s="2" t="inlineStr">
        <is>
          <t>130 Russell Creek Suite 752, Port Georgeside, NM 92081</t>
        </is>
      </c>
      <c r="F972" s="2" t="inlineStr">
        <is>
          <t>Palmerview</t>
        </is>
      </c>
      <c r="G972" s="2" t="inlineStr">
        <is>
          <t>Pakistan</t>
        </is>
      </c>
      <c r="H972" s="2" t="inlineStr">
        <is>
          <t>some</t>
        </is>
      </c>
      <c r="I972" t="inlineStr">
        <is>
          <t>woman</t>
        </is>
      </c>
    </row>
    <row r="973">
      <c r="A973" s="2" t="inlineStr">
        <is>
          <t>C6044</t>
        </is>
      </c>
      <c r="B973" s="2" t="inlineStr">
        <is>
          <t>Francisco Ballard</t>
        </is>
      </c>
      <c r="C973" s="2" t="inlineStr">
        <is>
          <t>markdavis@gonzalez-evans.com</t>
        </is>
      </c>
      <c r="D973" s="2" t="inlineStr">
        <is>
          <t>(035)888-3235x899</t>
        </is>
      </c>
      <c r="E973" s="2" t="inlineStr">
        <is>
          <t>53403 Taylor Lock, Patrickmouth, AR 00639</t>
        </is>
      </c>
      <c r="F973" s="2" t="inlineStr">
        <is>
          <t>Port Amandaview</t>
        </is>
      </c>
      <c r="G973" s="2" t="inlineStr">
        <is>
          <t>Ethiopia</t>
        </is>
      </c>
      <c r="H973" s="2" t="inlineStr">
        <is>
          <t>fear</t>
        </is>
      </c>
      <c r="I973" t="inlineStr">
        <is>
          <t>note</t>
        </is>
      </c>
    </row>
    <row r="974">
      <c r="A974" s="2" t="inlineStr">
        <is>
          <t>C1797</t>
        </is>
      </c>
      <c r="B974" s="2" t="inlineStr">
        <is>
          <t>Yolanda Ryan DVM</t>
        </is>
      </c>
      <c r="C974" s="2" t="inlineStr">
        <is>
          <t>deborah60@hotmail.com</t>
        </is>
      </c>
      <c r="D974" s="2" t="inlineStr">
        <is>
          <t>001-254-170-5715</t>
        </is>
      </c>
      <c r="E974" s="2" t="inlineStr">
        <is>
          <t>Unit 4060 Box 4248, DPO AA 45149</t>
        </is>
      </c>
      <c r="F974" s="2" t="inlineStr">
        <is>
          <t>Andreburgh</t>
        </is>
      </c>
      <c r="G974" s="2" t="inlineStr">
        <is>
          <t>Cape Verde</t>
        </is>
      </c>
      <c r="H974" s="2" t="inlineStr">
        <is>
          <t>film</t>
        </is>
      </c>
      <c r="I974" t="inlineStr">
        <is>
          <t>heart</t>
        </is>
      </c>
    </row>
    <row r="975">
      <c r="A975" s="2" t="inlineStr">
        <is>
          <t>C7251</t>
        </is>
      </c>
      <c r="B975" s="2" t="inlineStr">
        <is>
          <t>Morgan Ramirez</t>
        </is>
      </c>
      <c r="C975" s="2" t="inlineStr">
        <is>
          <t>petersendenise@hotmail.com</t>
        </is>
      </c>
      <c r="D975" s="2" t="inlineStr">
        <is>
          <t>001-123-622-7899x4503</t>
        </is>
      </c>
      <c r="E975" s="2" t="inlineStr">
        <is>
          <t>21968 Jose Hill, Courtneymouth, TX 69750</t>
        </is>
      </c>
      <c r="F975" s="2" t="inlineStr">
        <is>
          <t>West Shawn</t>
        </is>
      </c>
      <c r="G975" s="2" t="inlineStr">
        <is>
          <t>Uganda</t>
        </is>
      </c>
      <c r="H975" s="2" t="inlineStr">
        <is>
          <t>girl</t>
        </is>
      </c>
      <c r="I975" t="inlineStr">
        <is>
          <t>cost</t>
        </is>
      </c>
    </row>
    <row r="976">
      <c r="A976" s="2" t="inlineStr">
        <is>
          <t>C3952</t>
        </is>
      </c>
      <c r="B976" s="2" t="inlineStr">
        <is>
          <t>Jennifer Garcia</t>
        </is>
      </c>
      <c r="C976" s="2" t="inlineStr">
        <is>
          <t>qchristensen@yahoo.com</t>
        </is>
      </c>
      <c r="D976" s="2" t="inlineStr">
        <is>
          <t>163-171-7811x098</t>
        </is>
      </c>
      <c r="E976" s="2" t="inlineStr">
        <is>
          <t>102 Charles Run, North Molly, GA 86965</t>
        </is>
      </c>
      <c r="F976" s="2" t="inlineStr">
        <is>
          <t>Derekborough</t>
        </is>
      </c>
      <c r="G976" s="2" t="inlineStr">
        <is>
          <t>Cambodia</t>
        </is>
      </c>
      <c r="H976" s="2" t="inlineStr">
        <is>
          <t>three</t>
        </is>
      </c>
      <c r="I976" t="inlineStr">
        <is>
          <t>resource</t>
        </is>
      </c>
    </row>
    <row r="977">
      <c r="A977" s="2" t="inlineStr">
        <is>
          <t>C4824</t>
        </is>
      </c>
      <c r="B977" s="2" t="inlineStr">
        <is>
          <t>Frances Aguirre</t>
        </is>
      </c>
      <c r="C977" s="2" t="inlineStr">
        <is>
          <t>bryanmendez@michael-gonzalez.com</t>
        </is>
      </c>
      <c r="D977" s="2" t="inlineStr">
        <is>
          <t>922-515-6946x45606</t>
        </is>
      </c>
      <c r="E977" s="2" t="inlineStr">
        <is>
          <t>89724 Price Plains Apt. 735, North Karen, GA 55072</t>
        </is>
      </c>
      <c r="F977" s="2" t="inlineStr">
        <is>
          <t>Janethaven</t>
        </is>
      </c>
      <c r="G977" s="2" t="inlineStr">
        <is>
          <t>Ethiopia</t>
        </is>
      </c>
      <c r="H977" s="2" t="inlineStr">
        <is>
          <t>happy</t>
        </is>
      </c>
      <c r="I977" t="inlineStr">
        <is>
          <t>center</t>
        </is>
      </c>
    </row>
    <row r="978">
      <c r="A978" s="2" t="inlineStr">
        <is>
          <t>C2808</t>
        </is>
      </c>
      <c r="B978" s="2" t="inlineStr">
        <is>
          <t>Donald Cain</t>
        </is>
      </c>
      <c r="C978" s="2" t="inlineStr">
        <is>
          <t>rkelley@yahoo.com</t>
        </is>
      </c>
      <c r="D978" s="2" t="inlineStr">
        <is>
          <t>001-736-468-3206x837</t>
        </is>
      </c>
      <c r="E978" s="2" t="inlineStr">
        <is>
          <t>133 Zachary Branch, North Christopher, DC 23248</t>
        </is>
      </c>
      <c r="F978" s="2" t="inlineStr">
        <is>
          <t>West Jonathanland</t>
        </is>
      </c>
      <c r="G978" s="2" t="inlineStr">
        <is>
          <t>Yemen</t>
        </is>
      </c>
      <c r="H978" s="2" t="inlineStr">
        <is>
          <t>white</t>
        </is>
      </c>
      <c r="I978" t="inlineStr">
        <is>
          <t>better</t>
        </is>
      </c>
    </row>
    <row r="979">
      <c r="A979" s="2" t="inlineStr">
        <is>
          <t>C5590</t>
        </is>
      </c>
      <c r="B979" s="2" t="inlineStr">
        <is>
          <t>Peter Hansen</t>
        </is>
      </c>
      <c r="C979" s="2" t="inlineStr">
        <is>
          <t>fsnyder@hotmail.com</t>
        </is>
      </c>
      <c r="D979" s="2" t="inlineStr">
        <is>
          <t>001-239-838-7110x98970</t>
        </is>
      </c>
      <c r="E979" s="2" t="inlineStr">
        <is>
          <t>900 Edwards Freeway, Leebury, OH 80639</t>
        </is>
      </c>
      <c r="F979" s="2" t="inlineStr">
        <is>
          <t>Osborneville</t>
        </is>
      </c>
      <c r="G979" s="2" t="inlineStr">
        <is>
          <t>Micronesia</t>
        </is>
      </c>
      <c r="H979" s="2" t="inlineStr">
        <is>
          <t>perform</t>
        </is>
      </c>
      <c r="I979" t="inlineStr">
        <is>
          <t>rather</t>
        </is>
      </c>
    </row>
    <row r="980">
      <c r="A980" s="2" t="inlineStr">
        <is>
          <t>C4962</t>
        </is>
      </c>
      <c r="B980" s="2" t="inlineStr">
        <is>
          <t>Andres Ramos</t>
        </is>
      </c>
      <c r="C980" s="2" t="inlineStr">
        <is>
          <t>michele10@martin-hernandez.com</t>
        </is>
      </c>
      <c r="D980" s="2" t="inlineStr">
        <is>
          <t>118.825.9976</t>
        </is>
      </c>
      <c r="E980" s="2" t="inlineStr">
        <is>
          <t>6931 Ortega Oval, East Joseph, VT 46558</t>
        </is>
      </c>
      <c r="F980" s="2" t="inlineStr">
        <is>
          <t>Hendrixhaven</t>
        </is>
      </c>
      <c r="G980" s="2" t="inlineStr">
        <is>
          <t>Montserrat</t>
        </is>
      </c>
      <c r="H980" s="2" t="inlineStr">
        <is>
          <t>strong</t>
        </is>
      </c>
      <c r="I980" t="inlineStr">
        <is>
          <t>short</t>
        </is>
      </c>
    </row>
    <row r="981">
      <c r="A981" s="2" t="inlineStr">
        <is>
          <t>C6630</t>
        </is>
      </c>
      <c r="B981" s="2" t="inlineStr">
        <is>
          <t>Patrick Wade</t>
        </is>
      </c>
      <c r="C981" s="2" t="inlineStr">
        <is>
          <t>larsonpatricia@douglas.com</t>
        </is>
      </c>
      <c r="D981" s="2" t="inlineStr">
        <is>
          <t>001-774-047-1589x96995</t>
        </is>
      </c>
      <c r="E981" s="2" t="inlineStr">
        <is>
          <t>573 Frederick Springs, New Maryburgh, ME 31258</t>
        </is>
      </c>
      <c r="F981" s="2" t="inlineStr">
        <is>
          <t>Lake Douglas</t>
        </is>
      </c>
      <c r="G981" s="2" t="inlineStr">
        <is>
          <t>Denmark</t>
        </is>
      </c>
      <c r="H981" s="2" t="inlineStr">
        <is>
          <t>body</t>
        </is>
      </c>
      <c r="I981" t="inlineStr">
        <is>
          <t>most</t>
        </is>
      </c>
    </row>
    <row r="982">
      <c r="A982" s="2" t="inlineStr">
        <is>
          <t>C5524</t>
        </is>
      </c>
      <c r="B982" s="2" t="inlineStr">
        <is>
          <t>Colleen King</t>
        </is>
      </c>
      <c r="C982" s="2" t="inlineStr">
        <is>
          <t>wstrong@wilson.biz</t>
        </is>
      </c>
      <c r="D982" s="2" t="inlineStr">
        <is>
          <t>(342)618-8926</t>
        </is>
      </c>
      <c r="E982" s="2" t="inlineStr">
        <is>
          <t>15004 Peterson Track Apt. 234, New Ashleestad, WV 25316</t>
        </is>
      </c>
      <c r="F982" s="2" t="inlineStr">
        <is>
          <t>Lorifort</t>
        </is>
      </c>
      <c r="G982" s="2" t="inlineStr">
        <is>
          <t>Pakistan</t>
        </is>
      </c>
      <c r="H982" s="2" t="inlineStr">
        <is>
          <t>tend</t>
        </is>
      </c>
      <c r="I982" t="inlineStr">
        <is>
          <t>skin</t>
        </is>
      </c>
    </row>
    <row r="983">
      <c r="A983" s="2" t="inlineStr">
        <is>
          <t>C8432</t>
        </is>
      </c>
      <c r="B983" s="2" t="inlineStr">
        <is>
          <t>Michael Harris</t>
        </is>
      </c>
      <c r="C983" s="2" t="inlineStr">
        <is>
          <t>markhenderson@gmail.com</t>
        </is>
      </c>
      <c r="D983" s="2" t="inlineStr">
        <is>
          <t>068-702-6095</t>
        </is>
      </c>
      <c r="E983" s="2" t="inlineStr">
        <is>
          <t>4928 Patterson Ville Suite 168, North Jeannechester, IN 89272</t>
        </is>
      </c>
      <c r="F983" s="2" t="inlineStr">
        <is>
          <t>North Lisa</t>
        </is>
      </c>
      <c r="G983" s="2" t="inlineStr">
        <is>
          <t>Mongolia</t>
        </is>
      </c>
      <c r="H983" s="2" t="inlineStr">
        <is>
          <t>improve</t>
        </is>
      </c>
      <c r="I983" t="inlineStr">
        <is>
          <t>eat</t>
        </is>
      </c>
    </row>
    <row r="984">
      <c r="A984" s="2" t="inlineStr">
        <is>
          <t>C6650</t>
        </is>
      </c>
      <c r="B984" s="2" t="inlineStr">
        <is>
          <t>Cindy Hart</t>
        </is>
      </c>
      <c r="C984" s="2" t="inlineStr">
        <is>
          <t>daniellesimpson@villanueva.com</t>
        </is>
      </c>
      <c r="D984" s="2" t="inlineStr">
        <is>
          <t>+1-177-651-7987x879</t>
        </is>
      </c>
      <c r="E984" s="2" t="inlineStr">
        <is>
          <t>90544 Jennifer Flats, East Danielle, WV 28581</t>
        </is>
      </c>
      <c r="F984" s="2" t="inlineStr">
        <is>
          <t>Port Tammy</t>
        </is>
      </c>
      <c r="G984" s="2" t="inlineStr">
        <is>
          <t>Romania</t>
        </is>
      </c>
      <c r="H984" s="2" t="inlineStr">
        <is>
          <t>point</t>
        </is>
      </c>
      <c r="I984" t="inlineStr">
        <is>
          <t>look</t>
        </is>
      </c>
    </row>
    <row r="985">
      <c r="A985" s="2" t="inlineStr">
        <is>
          <t>C5169</t>
        </is>
      </c>
      <c r="B985" s="2" t="inlineStr">
        <is>
          <t>Amy Cooper</t>
        </is>
      </c>
      <c r="C985" s="2" t="inlineStr">
        <is>
          <t>julie47@gmail.com</t>
        </is>
      </c>
      <c r="D985" s="2" t="inlineStr">
        <is>
          <t>+1-292-010-6904x88771</t>
        </is>
      </c>
      <c r="E985" s="2" t="inlineStr">
        <is>
          <t>5345 Miller Rue Apt. 100, Cobbberg, MD 12056</t>
        </is>
      </c>
      <c r="F985" s="2" t="inlineStr">
        <is>
          <t>Richardside</t>
        </is>
      </c>
      <c r="G985" s="2" t="inlineStr">
        <is>
          <t>Estonia</t>
        </is>
      </c>
      <c r="H985" s="2" t="inlineStr">
        <is>
          <t>one</t>
        </is>
      </c>
      <c r="I985" t="inlineStr">
        <is>
          <t>factor</t>
        </is>
      </c>
    </row>
    <row r="986">
      <c r="A986" s="2" t="inlineStr">
        <is>
          <t>C1697</t>
        </is>
      </c>
      <c r="B986" s="2" t="inlineStr">
        <is>
          <t>Noah Allen</t>
        </is>
      </c>
      <c r="C986" s="2" t="inlineStr">
        <is>
          <t>jeremybell@hotmail.com</t>
        </is>
      </c>
      <c r="D986" s="2" t="inlineStr">
        <is>
          <t>176-363-6744x99105</t>
        </is>
      </c>
      <c r="E986" s="2" t="inlineStr">
        <is>
          <t>6761 Diana Square Apt. 651, Port Nicole, MO 79212</t>
        </is>
      </c>
      <c r="F986" s="2" t="inlineStr">
        <is>
          <t>Port Brenthaven</t>
        </is>
      </c>
      <c r="G986" s="2" t="inlineStr">
        <is>
          <t>Central African Republic</t>
        </is>
      </c>
      <c r="H986" s="2" t="inlineStr">
        <is>
          <t>time</t>
        </is>
      </c>
      <c r="I986" t="inlineStr">
        <is>
          <t>fire</t>
        </is>
      </c>
    </row>
    <row r="987">
      <c r="A987" s="2" t="inlineStr">
        <is>
          <t>C1270</t>
        </is>
      </c>
      <c r="B987" s="2" t="inlineStr">
        <is>
          <t>Trevor Gill</t>
        </is>
      </c>
      <c r="C987" s="2" t="inlineStr">
        <is>
          <t>destinyshort@henry.biz</t>
        </is>
      </c>
      <c r="D987" s="2" t="inlineStr">
        <is>
          <t>042-138-0792</t>
        </is>
      </c>
      <c r="E987" s="2" t="inlineStr">
        <is>
          <t>USNS Peters, FPO AE 21545</t>
        </is>
      </c>
      <c r="F987" s="2" t="inlineStr">
        <is>
          <t>North Alexaton</t>
        </is>
      </c>
      <c r="G987" s="2" t="inlineStr">
        <is>
          <t>Guadeloupe</t>
        </is>
      </c>
      <c r="H987" s="2" t="inlineStr">
        <is>
          <t>child</t>
        </is>
      </c>
      <c r="I987" t="inlineStr">
        <is>
          <t>know</t>
        </is>
      </c>
    </row>
    <row r="988">
      <c r="A988" s="2" t="inlineStr">
        <is>
          <t>C7405</t>
        </is>
      </c>
      <c r="B988" s="2" t="inlineStr">
        <is>
          <t>Eddie Jones</t>
        </is>
      </c>
      <c r="C988" s="2" t="inlineStr">
        <is>
          <t>susandelacruz@gmail.com</t>
        </is>
      </c>
      <c r="D988" s="2" t="inlineStr">
        <is>
          <t>133-923-6655x4280</t>
        </is>
      </c>
      <c r="E988" s="2" t="inlineStr">
        <is>
          <t>5074 Christopher Villages, Lake Joshua, NY 22706</t>
        </is>
      </c>
      <c r="F988" s="2" t="inlineStr">
        <is>
          <t>New Raymondmouth</t>
        </is>
      </c>
      <c r="G988" s="2" t="inlineStr">
        <is>
          <t>Namibia</t>
        </is>
      </c>
      <c r="H988" s="2" t="inlineStr">
        <is>
          <t>hot</t>
        </is>
      </c>
      <c r="I988" t="inlineStr">
        <is>
          <t>sort</t>
        </is>
      </c>
    </row>
    <row r="989">
      <c r="A989" s="2" t="inlineStr">
        <is>
          <t>C7638</t>
        </is>
      </c>
      <c r="B989" s="2" t="inlineStr">
        <is>
          <t>Jamie Hoffman</t>
        </is>
      </c>
      <c r="C989" s="2" t="inlineStr">
        <is>
          <t>tylerperry@hotmail.com</t>
        </is>
      </c>
      <c r="D989" s="2" t="inlineStr">
        <is>
          <t>001-592-648-8112x4690</t>
        </is>
      </c>
      <c r="E989" s="2" t="inlineStr">
        <is>
          <t>2074 Mary Overpass Suite 458, Deniseside, NJ 82024</t>
        </is>
      </c>
      <c r="F989" s="2" t="inlineStr">
        <is>
          <t>Lake Sarahstad</t>
        </is>
      </c>
      <c r="G989" s="2" t="inlineStr">
        <is>
          <t>Thailand</t>
        </is>
      </c>
      <c r="H989" s="2" t="inlineStr">
        <is>
          <t>someone</t>
        </is>
      </c>
      <c r="I989" t="inlineStr">
        <is>
          <t>live</t>
        </is>
      </c>
    </row>
    <row r="990">
      <c r="A990" s="2" t="inlineStr">
        <is>
          <t>C5520</t>
        </is>
      </c>
      <c r="B990" s="2" t="inlineStr">
        <is>
          <t>Miss Crystal Griffin</t>
        </is>
      </c>
      <c r="C990" s="2" t="inlineStr">
        <is>
          <t>brittanyharris@gmail.com</t>
        </is>
      </c>
      <c r="D990" s="2" t="inlineStr">
        <is>
          <t>+1-712-869-2953x27956</t>
        </is>
      </c>
      <c r="E990" s="2" t="inlineStr">
        <is>
          <t>545 Stephen Prairie Suite 194, Port Zachary, NC 44987</t>
        </is>
      </c>
      <c r="F990" s="2" t="inlineStr">
        <is>
          <t>Coxmouth</t>
        </is>
      </c>
      <c r="G990" s="2" t="inlineStr">
        <is>
          <t>Niger</t>
        </is>
      </c>
      <c r="H990" s="2" t="inlineStr">
        <is>
          <t>in</t>
        </is>
      </c>
      <c r="I990" t="inlineStr">
        <is>
          <t>claim</t>
        </is>
      </c>
    </row>
    <row r="991">
      <c r="A991" s="2" t="inlineStr">
        <is>
          <t>C2391</t>
        </is>
      </c>
      <c r="B991" s="2" t="inlineStr">
        <is>
          <t>John Parker</t>
        </is>
      </c>
      <c r="C991" s="2" t="inlineStr">
        <is>
          <t>parkercrystal@robinson.com</t>
        </is>
      </c>
      <c r="D991" s="2" t="inlineStr">
        <is>
          <t>001-075-011-5881x05029</t>
        </is>
      </c>
      <c r="E991" s="2" t="inlineStr">
        <is>
          <t>9367 John Meadows, Christinemouth, SC 32406</t>
        </is>
      </c>
      <c r="F991" s="2" t="inlineStr">
        <is>
          <t>East Christopher</t>
        </is>
      </c>
      <c r="G991" s="2" t="inlineStr">
        <is>
          <t>Vietnam</t>
        </is>
      </c>
      <c r="H991" s="2" t="inlineStr">
        <is>
          <t>break</t>
        </is>
      </c>
      <c r="I991" t="inlineStr">
        <is>
          <t>student</t>
        </is>
      </c>
    </row>
    <row r="992">
      <c r="A992" s="2" t="inlineStr">
        <is>
          <t>C4930</t>
        </is>
      </c>
      <c r="B992" s="2" t="inlineStr">
        <is>
          <t>Theresa Clements</t>
        </is>
      </c>
      <c r="C992" s="2" t="inlineStr">
        <is>
          <t>angeladecker@patel.com</t>
        </is>
      </c>
      <c r="D992" s="2" t="inlineStr">
        <is>
          <t>261.095.9465x72755</t>
        </is>
      </c>
      <c r="E992" s="2" t="inlineStr">
        <is>
          <t>72789 Olivia Pass Apt. 606, Sandrafurt, IL 89088</t>
        </is>
      </c>
      <c r="F992" s="2" t="inlineStr">
        <is>
          <t>Port Michael</t>
        </is>
      </c>
      <c r="G992" s="2" t="inlineStr">
        <is>
          <t>Saint Vincent and the Grenadines</t>
        </is>
      </c>
      <c r="H992" s="2" t="inlineStr">
        <is>
          <t>above</t>
        </is>
      </c>
      <c r="I992" t="inlineStr">
        <is>
          <t>reach</t>
        </is>
      </c>
    </row>
    <row r="993">
      <c r="A993" s="2" t="inlineStr">
        <is>
          <t>C9135</t>
        </is>
      </c>
      <c r="B993" s="2" t="inlineStr">
        <is>
          <t>Kevin Garcia</t>
        </is>
      </c>
      <c r="C993" s="2" t="inlineStr">
        <is>
          <t>michael62@reyes.org</t>
        </is>
      </c>
      <c r="D993" s="2" t="inlineStr">
        <is>
          <t>875-353-0981x63320</t>
        </is>
      </c>
      <c r="E993" s="2" t="inlineStr">
        <is>
          <t>1548 Sherri Trafficway Apt. 291, Smithview, MD 87034</t>
        </is>
      </c>
      <c r="F993" s="2" t="inlineStr">
        <is>
          <t>South Sandra</t>
        </is>
      </c>
      <c r="G993" s="2" t="inlineStr">
        <is>
          <t>Holy See (Vatican City State)</t>
        </is>
      </c>
      <c r="H993" s="2" t="inlineStr">
        <is>
          <t>together</t>
        </is>
      </c>
      <c r="I993" t="inlineStr">
        <is>
          <t>none</t>
        </is>
      </c>
    </row>
    <row r="994">
      <c r="A994" s="2" t="inlineStr">
        <is>
          <t>C3175</t>
        </is>
      </c>
      <c r="B994" s="2" t="inlineStr">
        <is>
          <t>Felicia Pineda</t>
        </is>
      </c>
      <c r="C994" s="2" t="inlineStr">
        <is>
          <t>billyduncan@ford.com</t>
        </is>
      </c>
      <c r="D994" s="2" t="inlineStr">
        <is>
          <t>+1-779-943-6880x47099</t>
        </is>
      </c>
      <c r="E994" s="2" t="inlineStr">
        <is>
          <t>169 Adam Prairie Suite 526, Lake Richard, IN 54735</t>
        </is>
      </c>
      <c r="F994" s="2" t="inlineStr">
        <is>
          <t>West Susan</t>
        </is>
      </c>
      <c r="G994" s="2" t="inlineStr">
        <is>
          <t>Togo</t>
        </is>
      </c>
      <c r="H994" s="2" t="inlineStr">
        <is>
          <t>start</t>
        </is>
      </c>
      <c r="I994" t="inlineStr">
        <is>
          <t>pressure</t>
        </is>
      </c>
    </row>
    <row r="995">
      <c r="A995" s="2" t="inlineStr">
        <is>
          <t>C6693</t>
        </is>
      </c>
      <c r="B995" s="2" t="inlineStr">
        <is>
          <t>Luis Henderson</t>
        </is>
      </c>
      <c r="C995" s="2" t="inlineStr">
        <is>
          <t>elizabeth40@yahoo.com</t>
        </is>
      </c>
      <c r="D995" s="2" t="inlineStr">
        <is>
          <t>001-833-770-9368x138</t>
        </is>
      </c>
      <c r="E995" s="2" t="inlineStr">
        <is>
          <t>Unit 9346 Box 3027, DPO AA 59064</t>
        </is>
      </c>
      <c r="F995" s="2" t="inlineStr">
        <is>
          <t>Lake Courtneyview</t>
        </is>
      </c>
      <c r="G995" s="2" t="inlineStr">
        <is>
          <t>Uruguay</t>
        </is>
      </c>
      <c r="H995" s="2" t="inlineStr">
        <is>
          <t>might</t>
        </is>
      </c>
      <c r="I995" t="inlineStr">
        <is>
          <t>one</t>
        </is>
      </c>
    </row>
    <row r="996">
      <c r="A996" s="2" t="inlineStr">
        <is>
          <t>C2531</t>
        </is>
      </c>
      <c r="B996" s="2" t="inlineStr">
        <is>
          <t>Larry Williams</t>
        </is>
      </c>
      <c r="C996" s="2" t="inlineStr">
        <is>
          <t>hawkinssandra@davis.net</t>
        </is>
      </c>
      <c r="D996" s="2" t="inlineStr">
        <is>
          <t>001-028-072-2369</t>
        </is>
      </c>
      <c r="E996" s="2" t="inlineStr">
        <is>
          <t>52169 Smith Flat Suite 889, New Gregoryhaven, AZ 94832</t>
        </is>
      </c>
      <c r="F996" s="2" t="inlineStr">
        <is>
          <t>East Debra</t>
        </is>
      </c>
      <c r="G996" s="2" t="inlineStr">
        <is>
          <t>Kazakhstan</t>
        </is>
      </c>
      <c r="H996" s="2" t="inlineStr">
        <is>
          <t>spring</t>
        </is>
      </c>
      <c r="I996" t="inlineStr">
        <is>
          <t>baby</t>
        </is>
      </c>
    </row>
    <row r="997">
      <c r="A997" s="2" t="inlineStr">
        <is>
          <t>C2568</t>
        </is>
      </c>
      <c r="B997" s="2" t="inlineStr">
        <is>
          <t>Lori Mccann</t>
        </is>
      </c>
      <c r="C997" s="2" t="inlineStr">
        <is>
          <t>xsullivan@gmail.com</t>
        </is>
      </c>
      <c r="D997" s="2" t="inlineStr">
        <is>
          <t>764-057-1905x660</t>
        </is>
      </c>
      <c r="E997" s="2" t="inlineStr">
        <is>
          <t>PSC 7383, Box 5285, APO AA 34779</t>
        </is>
      </c>
      <c r="F997" s="2" t="inlineStr">
        <is>
          <t>Pacemouth</t>
        </is>
      </c>
      <c r="G997" s="2" t="inlineStr">
        <is>
          <t>Angola</t>
        </is>
      </c>
      <c r="H997" s="2" t="inlineStr">
        <is>
          <t>perhaps</t>
        </is>
      </c>
      <c r="I997" t="inlineStr">
        <is>
          <t>discussion</t>
        </is>
      </c>
    </row>
    <row r="998">
      <c r="A998" s="2" t="inlineStr">
        <is>
          <t>C4604</t>
        </is>
      </c>
      <c r="B998" s="2" t="inlineStr">
        <is>
          <t>Brian Smith</t>
        </is>
      </c>
      <c r="C998" s="2" t="inlineStr">
        <is>
          <t>jconrad@yahoo.com</t>
        </is>
      </c>
      <c r="D998" s="2" t="inlineStr">
        <is>
          <t>(051)876-1135x821</t>
        </is>
      </c>
      <c r="E998" s="2" t="inlineStr">
        <is>
          <t>4666 Jennifer Valley Apt. 313, Port Paulafort, TX 38892</t>
        </is>
      </c>
      <c r="F998" s="2" t="inlineStr">
        <is>
          <t>Amyville</t>
        </is>
      </c>
      <c r="G998" s="2" t="inlineStr">
        <is>
          <t>Bolivia</t>
        </is>
      </c>
      <c r="H998" s="2" t="inlineStr">
        <is>
          <t>order</t>
        </is>
      </c>
      <c r="I998" t="inlineStr">
        <is>
          <t>success</t>
        </is>
      </c>
    </row>
    <row r="999">
      <c r="A999" s="2" t="inlineStr">
        <is>
          <t>C1586</t>
        </is>
      </c>
      <c r="B999" s="2" t="inlineStr">
        <is>
          <t>Monica Mcdonald</t>
        </is>
      </c>
      <c r="C999" s="2" t="inlineStr">
        <is>
          <t>hahnsheila@ingram-hall.net</t>
        </is>
      </c>
      <c r="D999" s="2" t="inlineStr">
        <is>
          <t>+1-310-046-6752x9932</t>
        </is>
      </c>
      <c r="E999" s="2" t="inlineStr">
        <is>
          <t>44182 Jonathan Garden, South Ginachester, ND 11844</t>
        </is>
      </c>
      <c r="F999" s="2" t="inlineStr">
        <is>
          <t>Ashleyfort</t>
        </is>
      </c>
      <c r="G999" s="2" t="inlineStr">
        <is>
          <t>Singapore</t>
        </is>
      </c>
      <c r="H999" s="2" t="inlineStr">
        <is>
          <t>imagine</t>
        </is>
      </c>
      <c r="I999" t="inlineStr">
        <is>
          <t>ask</t>
        </is>
      </c>
    </row>
    <row r="1000">
      <c r="A1000" s="2" t="inlineStr">
        <is>
          <t>C6912</t>
        </is>
      </c>
      <c r="B1000" s="2" t="inlineStr">
        <is>
          <t>Benjamin Warren</t>
        </is>
      </c>
      <c r="C1000" s="2" t="inlineStr">
        <is>
          <t>michelle57@yahoo.com</t>
        </is>
      </c>
      <c r="D1000" s="2" t="inlineStr">
        <is>
          <t>(924)027-4629x087</t>
        </is>
      </c>
      <c r="E1000" s="2" t="inlineStr">
        <is>
          <t>562 Smith Fields Apt. 251, Port Patrickmouth, TN 81813</t>
        </is>
      </c>
      <c r="F1000" s="2" t="inlineStr">
        <is>
          <t>Lake Danielview</t>
        </is>
      </c>
      <c r="G1000" s="2" t="inlineStr">
        <is>
          <t>Armenia</t>
        </is>
      </c>
      <c r="H1000" s="2" t="inlineStr">
        <is>
          <t>recognize</t>
        </is>
      </c>
      <c r="I1000" t="inlineStr">
        <is>
          <t>spring</t>
        </is>
      </c>
    </row>
    <row r="1001">
      <c r="A1001" s="2" t="inlineStr">
        <is>
          <t>C2313</t>
        </is>
      </c>
      <c r="B1001" s="2" t="inlineStr">
        <is>
          <t>Katelyn Lee</t>
        </is>
      </c>
      <c r="C1001" s="2" t="inlineStr">
        <is>
          <t>hooverjeremy@bennett-black.com</t>
        </is>
      </c>
      <c r="D1001" s="2" t="inlineStr">
        <is>
          <t>691-027-3499x2354</t>
        </is>
      </c>
      <c r="E1001" s="2" t="inlineStr">
        <is>
          <t>45396 Angela Field Suite 545, West James, TX 08078</t>
        </is>
      </c>
      <c r="F1001" s="2" t="inlineStr">
        <is>
          <t>East Ethan</t>
        </is>
      </c>
      <c r="G1001" s="2" t="inlineStr">
        <is>
          <t>Bahamas</t>
        </is>
      </c>
      <c r="H1001" s="2" t="inlineStr">
        <is>
          <t>condition</t>
        </is>
      </c>
      <c r="I1001" t="inlineStr">
        <is>
          <t>information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9"/>
  <sheetViews>
    <sheetView zoomScale="115" zoomScaleNormal="115" workbookViewId="0">
      <selection activeCell="F2" sqref="F2"/>
    </sheetView>
  </sheetViews>
  <sheetFormatPr baseColWidth="8" defaultRowHeight="14.5"/>
  <cols>
    <col width="10.1796875" bestFit="1" customWidth="1" min="1" max="1"/>
    <col width="11.7265625" bestFit="1" customWidth="1" min="2" max="2"/>
    <col width="10.54296875" bestFit="1" customWidth="1" min="3" max="3"/>
    <col width="4.54296875" bestFit="1" customWidth="1" min="4" max="4"/>
    <col width="9.54296875" bestFit="1" customWidth="1" min="5" max="5"/>
    <col width="13.453125" bestFit="1" customWidth="1" min="6" max="6"/>
    <col width="8" bestFit="1" customWidth="1" min="7" max="7"/>
  </cols>
  <sheetData>
    <row r="1">
      <c r="A1" t="inlineStr">
        <is>
          <t>Product ID</t>
        </is>
      </c>
      <c r="B1" t="inlineStr">
        <is>
          <t>Coffee Type</t>
        </is>
      </c>
      <c r="C1" t="inlineStr">
        <is>
          <t>Roast Type</t>
        </is>
      </c>
      <c r="D1" t="inlineStr">
        <is>
          <t>Size</t>
        </is>
      </c>
      <c r="E1" t="inlineStr">
        <is>
          <t>Unit Price</t>
        </is>
      </c>
      <c r="F1" t="inlineStr">
        <is>
          <t>Price per 100g</t>
        </is>
      </c>
      <c r="G1" t="inlineStr">
        <is>
          <t>Profit</t>
        </is>
      </c>
    </row>
    <row r="2">
      <c r="A2" t="inlineStr">
        <is>
          <t>P5186</t>
        </is>
      </c>
      <c r="B2" t="inlineStr">
        <is>
          <t>quality</t>
        </is>
      </c>
      <c r="C2" t="inlineStr">
        <is>
          <t>beyond</t>
        </is>
      </c>
      <c r="D2" s="1" t="inlineStr">
        <is>
          <t>up</t>
        </is>
      </c>
      <c r="E2" t="n">
        <v>3478.82</v>
      </c>
      <c r="F2" t="n">
        <v>1408.57</v>
      </c>
      <c r="G2" t="inlineStr">
        <is>
          <t>add</t>
        </is>
      </c>
    </row>
    <row r="3">
      <c r="A3" t="inlineStr">
        <is>
          <t>P7105</t>
        </is>
      </c>
      <c r="B3" t="inlineStr">
        <is>
          <t>wife</t>
        </is>
      </c>
      <c r="C3" t="inlineStr">
        <is>
          <t>hour</t>
        </is>
      </c>
      <c r="D3" s="1" t="inlineStr">
        <is>
          <t>scientist</t>
        </is>
      </c>
      <c r="E3" t="n">
        <v>1087.61</v>
      </c>
      <c r="F3" t="n">
        <v>1987.41</v>
      </c>
      <c r="G3" t="inlineStr">
        <is>
          <t>suffer</t>
        </is>
      </c>
    </row>
    <row r="4">
      <c r="A4" t="inlineStr">
        <is>
          <t>P3423</t>
        </is>
      </c>
      <c r="B4" t="inlineStr">
        <is>
          <t>together</t>
        </is>
      </c>
      <c r="C4" t="inlineStr">
        <is>
          <t>could</t>
        </is>
      </c>
      <c r="D4" s="1" t="inlineStr">
        <is>
          <t>reality</t>
        </is>
      </c>
      <c r="E4" t="n">
        <v>950.52</v>
      </c>
      <c r="F4" t="n">
        <v>4687.27</v>
      </c>
      <c r="G4" t="inlineStr">
        <is>
          <t>return</t>
        </is>
      </c>
    </row>
    <row r="5">
      <c r="A5" t="inlineStr">
        <is>
          <t>P7064</t>
        </is>
      </c>
      <c r="B5" t="inlineStr">
        <is>
          <t>well</t>
        </is>
      </c>
      <c r="C5" t="inlineStr">
        <is>
          <t>agreement</t>
        </is>
      </c>
      <c r="D5" s="1" t="inlineStr">
        <is>
          <t>cut</t>
        </is>
      </c>
      <c r="E5" t="n">
        <v>2881.96</v>
      </c>
      <c r="F5" t="n">
        <v>1568.32</v>
      </c>
      <c r="G5" t="inlineStr">
        <is>
          <t>into</t>
        </is>
      </c>
    </row>
    <row r="6">
      <c r="A6" t="inlineStr">
        <is>
          <t>P7089</t>
        </is>
      </c>
      <c r="B6" t="inlineStr">
        <is>
          <t>role</t>
        </is>
      </c>
      <c r="C6" t="inlineStr">
        <is>
          <t>a</t>
        </is>
      </c>
      <c r="D6" s="1" t="inlineStr">
        <is>
          <t>individual</t>
        </is>
      </c>
      <c r="E6" t="n">
        <v>2796.08</v>
      </c>
      <c r="F6" t="n">
        <v>548.9</v>
      </c>
      <c r="G6" t="inlineStr">
        <is>
          <t>pressure</t>
        </is>
      </c>
    </row>
    <row r="7">
      <c r="A7" t="inlineStr">
        <is>
          <t>P3947</t>
        </is>
      </c>
      <c r="B7" t="inlineStr">
        <is>
          <t>else</t>
        </is>
      </c>
      <c r="C7" t="inlineStr">
        <is>
          <t>base</t>
        </is>
      </c>
      <c r="D7" s="1" t="inlineStr">
        <is>
          <t>work</t>
        </is>
      </c>
      <c r="E7" t="n">
        <v>2341.9</v>
      </c>
      <c r="F7" t="n">
        <v>237.47</v>
      </c>
      <c r="G7" t="inlineStr">
        <is>
          <t>guy</t>
        </is>
      </c>
    </row>
    <row r="8">
      <c r="A8" t="inlineStr">
        <is>
          <t>P8852</t>
        </is>
      </c>
      <c r="B8" t="inlineStr">
        <is>
          <t>piece</t>
        </is>
      </c>
      <c r="C8" t="inlineStr">
        <is>
          <t>give</t>
        </is>
      </c>
      <c r="D8" s="1" t="inlineStr">
        <is>
          <t>letter</t>
        </is>
      </c>
      <c r="E8" t="n">
        <v>368.52</v>
      </c>
      <c r="F8" t="n">
        <v>2094.09</v>
      </c>
      <c r="G8" t="inlineStr">
        <is>
          <t>particularly</t>
        </is>
      </c>
    </row>
    <row r="9">
      <c r="A9" t="inlineStr">
        <is>
          <t>P5347</t>
        </is>
      </c>
      <c r="B9" t="inlineStr">
        <is>
          <t>into</t>
        </is>
      </c>
      <c r="C9" t="inlineStr">
        <is>
          <t>early</t>
        </is>
      </c>
      <c r="D9" s="1" t="inlineStr">
        <is>
          <t>size</t>
        </is>
      </c>
      <c r="E9" t="n">
        <v>3382.86</v>
      </c>
      <c r="F9" t="n">
        <v>1676.72</v>
      </c>
      <c r="G9" t="inlineStr">
        <is>
          <t>forward</t>
        </is>
      </c>
    </row>
    <row r="10">
      <c r="A10" t="inlineStr">
        <is>
          <t>P3565</t>
        </is>
      </c>
      <c r="B10" t="inlineStr">
        <is>
          <t>short</t>
        </is>
      </c>
      <c r="C10" t="inlineStr">
        <is>
          <t>door</t>
        </is>
      </c>
      <c r="D10" s="1" t="inlineStr">
        <is>
          <t>look</t>
        </is>
      </c>
      <c r="E10" t="n">
        <v>1871.23</v>
      </c>
      <c r="F10" t="n">
        <v>4210.5</v>
      </c>
      <c r="G10" t="inlineStr">
        <is>
          <t>outside</t>
        </is>
      </c>
    </row>
    <row r="11">
      <c r="A11" t="inlineStr">
        <is>
          <t>P1430</t>
        </is>
      </c>
      <c r="B11" t="inlineStr">
        <is>
          <t>back</t>
        </is>
      </c>
      <c r="C11" t="inlineStr">
        <is>
          <t>example</t>
        </is>
      </c>
      <c r="D11" s="1" t="inlineStr">
        <is>
          <t>member</t>
        </is>
      </c>
      <c r="E11" t="n">
        <v>1391.68</v>
      </c>
      <c r="F11" t="n">
        <v>3356.2</v>
      </c>
      <c r="G11" t="inlineStr">
        <is>
          <t>behavior</t>
        </is>
      </c>
    </row>
    <row r="12">
      <c r="A12" t="inlineStr">
        <is>
          <t>P7609</t>
        </is>
      </c>
      <c r="B12" t="inlineStr">
        <is>
          <t>their</t>
        </is>
      </c>
      <c r="C12" t="inlineStr">
        <is>
          <t>those</t>
        </is>
      </c>
      <c r="D12" s="1" t="inlineStr">
        <is>
          <t>keep</t>
        </is>
      </c>
      <c r="E12" t="n">
        <v>3404.84</v>
      </c>
      <c r="F12" t="n">
        <v>3285.29</v>
      </c>
      <c r="G12" t="inlineStr">
        <is>
          <t>notice</t>
        </is>
      </c>
    </row>
    <row r="13">
      <c r="A13" t="inlineStr">
        <is>
          <t>P4231</t>
        </is>
      </c>
      <c r="B13" t="inlineStr">
        <is>
          <t>lose</t>
        </is>
      </c>
      <c r="C13" t="inlineStr">
        <is>
          <t>film</t>
        </is>
      </c>
      <c r="D13" s="1" t="inlineStr">
        <is>
          <t>budget</t>
        </is>
      </c>
      <c r="E13" t="n">
        <v>678.16</v>
      </c>
      <c r="F13" t="n">
        <v>1344.91</v>
      </c>
      <c r="G13" t="inlineStr">
        <is>
          <t>pressure</t>
        </is>
      </c>
    </row>
    <row r="14">
      <c r="A14" t="inlineStr">
        <is>
          <t>P1454</t>
        </is>
      </c>
      <c r="B14" t="inlineStr">
        <is>
          <t>himself</t>
        </is>
      </c>
      <c r="C14" t="inlineStr">
        <is>
          <t>establish</t>
        </is>
      </c>
      <c r="D14" s="1" t="inlineStr">
        <is>
          <t>project</t>
        </is>
      </c>
      <c r="E14" t="n">
        <v>2604.44</v>
      </c>
      <c r="F14" t="n">
        <v>1000.13</v>
      </c>
      <c r="G14" t="inlineStr">
        <is>
          <t>assume</t>
        </is>
      </c>
    </row>
    <row r="15">
      <c r="A15" t="inlineStr">
        <is>
          <t>P5396</t>
        </is>
      </c>
      <c r="B15" t="inlineStr">
        <is>
          <t>deep</t>
        </is>
      </c>
      <c r="C15" t="inlineStr">
        <is>
          <t>film</t>
        </is>
      </c>
      <c r="D15" s="1" t="inlineStr">
        <is>
          <t>we</t>
        </is>
      </c>
      <c r="E15" t="n">
        <v>738.88</v>
      </c>
      <c r="F15" t="n">
        <v>56.9</v>
      </c>
      <c r="G15" t="inlineStr">
        <is>
          <t>sing</t>
        </is>
      </c>
    </row>
    <row r="16">
      <c r="A16" t="inlineStr">
        <is>
          <t>P8361</t>
        </is>
      </c>
      <c r="B16" t="inlineStr">
        <is>
          <t>language</t>
        </is>
      </c>
      <c r="C16" t="inlineStr">
        <is>
          <t>sea</t>
        </is>
      </c>
      <c r="D16" s="1" t="inlineStr">
        <is>
          <t>before</t>
        </is>
      </c>
      <c r="E16" t="n">
        <v>4628.58</v>
      </c>
      <c r="F16" t="n">
        <v>2392.85</v>
      </c>
      <c r="G16" t="inlineStr">
        <is>
          <t>threat</t>
        </is>
      </c>
    </row>
    <row r="17">
      <c r="A17" t="inlineStr">
        <is>
          <t>P5164</t>
        </is>
      </c>
      <c r="B17" t="inlineStr">
        <is>
          <t>day</t>
        </is>
      </c>
      <c r="C17" t="inlineStr">
        <is>
          <t>reality</t>
        </is>
      </c>
      <c r="D17" s="1" t="inlineStr">
        <is>
          <t>of</t>
        </is>
      </c>
      <c r="E17" t="n">
        <v>3623.89</v>
      </c>
      <c r="F17" t="n">
        <v>3461.71</v>
      </c>
      <c r="G17" t="inlineStr">
        <is>
          <t>third</t>
        </is>
      </c>
    </row>
    <row r="18">
      <c r="A18" t="inlineStr">
        <is>
          <t>P8013</t>
        </is>
      </c>
      <c r="B18" t="inlineStr">
        <is>
          <t>at</t>
        </is>
      </c>
      <c r="C18" t="inlineStr">
        <is>
          <t>would</t>
        </is>
      </c>
      <c r="D18" s="1" t="inlineStr">
        <is>
          <t>democratic</t>
        </is>
      </c>
      <c r="E18" t="n">
        <v>1677.4</v>
      </c>
      <c r="F18" t="n">
        <v>1877.22</v>
      </c>
      <c r="G18" t="inlineStr">
        <is>
          <t>same</t>
        </is>
      </c>
    </row>
    <row r="19">
      <c r="A19" t="inlineStr">
        <is>
          <t>P2291</t>
        </is>
      </c>
      <c r="B19" t="inlineStr">
        <is>
          <t>stuff</t>
        </is>
      </c>
      <c r="C19" t="inlineStr">
        <is>
          <t>various</t>
        </is>
      </c>
      <c r="D19" s="1" t="inlineStr">
        <is>
          <t>station</t>
        </is>
      </c>
      <c r="E19" t="n">
        <v>4654.28</v>
      </c>
      <c r="F19" t="n">
        <v>4481.77</v>
      </c>
      <c r="G19" t="inlineStr">
        <is>
          <t>note</t>
        </is>
      </c>
    </row>
    <row r="20">
      <c r="A20" t="inlineStr">
        <is>
          <t>P7711</t>
        </is>
      </c>
      <c r="B20" t="inlineStr">
        <is>
          <t>there</t>
        </is>
      </c>
      <c r="C20" t="inlineStr">
        <is>
          <t>those</t>
        </is>
      </c>
      <c r="D20" s="1" t="inlineStr">
        <is>
          <t>time</t>
        </is>
      </c>
      <c r="E20" t="n">
        <v>3267.01</v>
      </c>
      <c r="F20" t="n">
        <v>4251.02</v>
      </c>
      <c r="G20" t="inlineStr">
        <is>
          <t>ten</t>
        </is>
      </c>
    </row>
    <row r="21">
      <c r="A21" t="inlineStr">
        <is>
          <t>P6784</t>
        </is>
      </c>
      <c r="B21" t="inlineStr">
        <is>
          <t>modern</t>
        </is>
      </c>
      <c r="C21" t="inlineStr">
        <is>
          <t>join</t>
        </is>
      </c>
      <c r="D21" s="1" t="inlineStr">
        <is>
          <t>form</t>
        </is>
      </c>
      <c r="E21" t="n">
        <v>2786.01</v>
      </c>
      <c r="F21" t="n">
        <v>2867.6</v>
      </c>
      <c r="G21" t="inlineStr">
        <is>
          <t>present</t>
        </is>
      </c>
    </row>
    <row r="22">
      <c r="A22" t="inlineStr">
        <is>
          <t>P7629</t>
        </is>
      </c>
      <c r="B22" t="inlineStr">
        <is>
          <t>relationship</t>
        </is>
      </c>
      <c r="C22" t="inlineStr">
        <is>
          <t>address</t>
        </is>
      </c>
      <c r="D22" s="1" t="inlineStr">
        <is>
          <t>single</t>
        </is>
      </c>
      <c r="E22" t="n">
        <v>327.91</v>
      </c>
      <c r="F22" t="n">
        <v>1506.92</v>
      </c>
      <c r="G22" t="inlineStr">
        <is>
          <t>mention</t>
        </is>
      </c>
    </row>
    <row r="23">
      <c r="A23" t="inlineStr">
        <is>
          <t>P7302</t>
        </is>
      </c>
      <c r="B23" t="inlineStr">
        <is>
          <t>thus</t>
        </is>
      </c>
      <c r="C23" t="inlineStr">
        <is>
          <t>bank</t>
        </is>
      </c>
      <c r="D23" s="1" t="inlineStr">
        <is>
          <t>society</t>
        </is>
      </c>
      <c r="E23" t="n">
        <v>2731</v>
      </c>
      <c r="F23" t="n">
        <v>3726.53</v>
      </c>
      <c r="G23" t="inlineStr">
        <is>
          <t>daughter</t>
        </is>
      </c>
    </row>
    <row r="24">
      <c r="A24" t="inlineStr">
        <is>
          <t>P4878</t>
        </is>
      </c>
      <c r="B24" t="inlineStr">
        <is>
          <t>grow</t>
        </is>
      </c>
      <c r="C24" t="inlineStr">
        <is>
          <t>letter</t>
        </is>
      </c>
      <c r="D24" s="1" t="inlineStr">
        <is>
          <t>contain</t>
        </is>
      </c>
      <c r="E24" t="n">
        <v>2609.97</v>
      </c>
      <c r="F24" t="n">
        <v>4717.52</v>
      </c>
      <c r="G24" t="inlineStr">
        <is>
          <t>staff</t>
        </is>
      </c>
    </row>
    <row r="25">
      <c r="A25" t="inlineStr">
        <is>
          <t>P1597</t>
        </is>
      </c>
      <c r="B25" t="inlineStr">
        <is>
          <t>short</t>
        </is>
      </c>
      <c r="C25" t="inlineStr">
        <is>
          <t>sing</t>
        </is>
      </c>
      <c r="D25" s="1" t="inlineStr">
        <is>
          <t>care</t>
        </is>
      </c>
      <c r="E25" t="n">
        <v>778.33</v>
      </c>
      <c r="F25" t="n">
        <v>353.93</v>
      </c>
      <c r="G25" t="inlineStr">
        <is>
          <t>little</t>
        </is>
      </c>
    </row>
    <row r="26">
      <c r="A26" t="inlineStr">
        <is>
          <t>P1385</t>
        </is>
      </c>
      <c r="B26" t="inlineStr">
        <is>
          <t>even</t>
        </is>
      </c>
      <c r="C26" t="inlineStr">
        <is>
          <t>truth</t>
        </is>
      </c>
      <c r="D26" s="1" t="inlineStr">
        <is>
          <t>expect</t>
        </is>
      </c>
      <c r="E26" t="n">
        <v>4648.17</v>
      </c>
      <c r="F26" t="n">
        <v>663.34</v>
      </c>
      <c r="G26" t="inlineStr">
        <is>
          <t>soon</t>
        </is>
      </c>
    </row>
    <row r="27">
      <c r="A27" t="inlineStr">
        <is>
          <t>P1804</t>
        </is>
      </c>
      <c r="B27" t="inlineStr">
        <is>
          <t>treatment</t>
        </is>
      </c>
      <c r="C27" t="inlineStr">
        <is>
          <t>success</t>
        </is>
      </c>
      <c r="D27" s="1" t="inlineStr">
        <is>
          <t>history</t>
        </is>
      </c>
      <c r="E27" t="n">
        <v>33.75</v>
      </c>
      <c r="F27" t="n">
        <v>2097.03</v>
      </c>
      <c r="G27" t="inlineStr">
        <is>
          <t>leave</t>
        </is>
      </c>
    </row>
    <row r="28">
      <c r="A28" t="inlineStr">
        <is>
          <t>P2891</t>
        </is>
      </c>
      <c r="B28" t="inlineStr">
        <is>
          <t>knowledge</t>
        </is>
      </c>
      <c r="C28" t="inlineStr">
        <is>
          <t>floor</t>
        </is>
      </c>
      <c r="D28" s="1" t="inlineStr">
        <is>
          <t>quickly</t>
        </is>
      </c>
      <c r="E28" t="n">
        <v>1378.13</v>
      </c>
      <c r="F28" t="n">
        <v>3647.51</v>
      </c>
      <c r="G28" t="inlineStr">
        <is>
          <t>behind</t>
        </is>
      </c>
    </row>
    <row r="29">
      <c r="A29" t="inlineStr">
        <is>
          <t>P3398</t>
        </is>
      </c>
      <c r="B29" t="inlineStr">
        <is>
          <t>institution</t>
        </is>
      </c>
      <c r="C29" t="inlineStr">
        <is>
          <t>election</t>
        </is>
      </c>
      <c r="D29" s="1" t="inlineStr">
        <is>
          <t>collection</t>
        </is>
      </c>
      <c r="E29" t="n">
        <v>4978.33</v>
      </c>
      <c r="F29" t="n">
        <v>3454.05</v>
      </c>
      <c r="G29" t="inlineStr">
        <is>
          <t>Democrat</t>
        </is>
      </c>
    </row>
    <row r="30">
      <c r="A30" t="inlineStr">
        <is>
          <t>P6516</t>
        </is>
      </c>
      <c r="B30" t="inlineStr">
        <is>
          <t>painting</t>
        </is>
      </c>
      <c r="C30" t="inlineStr">
        <is>
          <t>experience</t>
        </is>
      </c>
      <c r="D30" s="1" t="inlineStr">
        <is>
          <t>indeed</t>
        </is>
      </c>
      <c r="E30" t="n">
        <v>663.1900000000001</v>
      </c>
      <c r="F30" t="n">
        <v>3736.71</v>
      </c>
      <c r="G30" t="inlineStr">
        <is>
          <t>school</t>
        </is>
      </c>
    </row>
    <row r="31">
      <c r="A31" t="inlineStr">
        <is>
          <t>P9449</t>
        </is>
      </c>
      <c r="B31" t="inlineStr">
        <is>
          <t>past</t>
        </is>
      </c>
      <c r="C31" t="inlineStr">
        <is>
          <t>high</t>
        </is>
      </c>
      <c r="D31" s="1" t="inlineStr">
        <is>
          <t>prevent</t>
        </is>
      </c>
      <c r="E31" t="n">
        <v>3876.94</v>
      </c>
      <c r="F31" t="n">
        <v>4144.81</v>
      </c>
      <c r="G31" t="inlineStr">
        <is>
          <t>administration</t>
        </is>
      </c>
    </row>
    <row r="32">
      <c r="A32" t="inlineStr">
        <is>
          <t>P2261</t>
        </is>
      </c>
      <c r="B32" t="inlineStr">
        <is>
          <t>east</t>
        </is>
      </c>
      <c r="C32" t="inlineStr">
        <is>
          <t>toward</t>
        </is>
      </c>
      <c r="D32" s="1" t="inlineStr">
        <is>
          <t>today</t>
        </is>
      </c>
      <c r="E32" t="n">
        <v>4789.65</v>
      </c>
      <c r="F32" t="n">
        <v>868.24</v>
      </c>
      <c r="G32" t="inlineStr">
        <is>
          <t>nice</t>
        </is>
      </c>
    </row>
    <row r="33">
      <c r="A33" t="inlineStr">
        <is>
          <t>P1298</t>
        </is>
      </c>
      <c r="B33" t="inlineStr">
        <is>
          <t>enjoy</t>
        </is>
      </c>
      <c r="C33" t="inlineStr">
        <is>
          <t>check</t>
        </is>
      </c>
      <c r="D33" s="1" t="inlineStr">
        <is>
          <t>move</t>
        </is>
      </c>
      <c r="E33" t="n">
        <v>61.17</v>
      </c>
      <c r="F33" t="n">
        <v>4584.24</v>
      </c>
      <c r="G33" t="inlineStr">
        <is>
          <t>what</t>
        </is>
      </c>
    </row>
    <row r="34">
      <c r="A34" t="inlineStr">
        <is>
          <t>P5069</t>
        </is>
      </c>
      <c r="B34" t="inlineStr">
        <is>
          <t>skin</t>
        </is>
      </c>
      <c r="C34" t="inlineStr">
        <is>
          <t>local</t>
        </is>
      </c>
      <c r="D34" s="1" t="inlineStr">
        <is>
          <t>drug</t>
        </is>
      </c>
      <c r="E34" t="n">
        <v>2019.1</v>
      </c>
      <c r="F34" t="n">
        <v>647.03</v>
      </c>
      <c r="G34" t="inlineStr">
        <is>
          <t>grow</t>
        </is>
      </c>
    </row>
    <row r="35">
      <c r="A35" t="inlineStr">
        <is>
          <t>P2910</t>
        </is>
      </c>
      <c r="B35" t="inlineStr">
        <is>
          <t>participant</t>
        </is>
      </c>
      <c r="C35" t="inlineStr">
        <is>
          <t>agent</t>
        </is>
      </c>
      <c r="D35" s="1" t="inlineStr">
        <is>
          <t>sign</t>
        </is>
      </c>
      <c r="E35" t="n">
        <v>3010.97</v>
      </c>
      <c r="F35" t="n">
        <v>3285.41</v>
      </c>
      <c r="G35" t="inlineStr">
        <is>
          <t>investment</t>
        </is>
      </c>
    </row>
    <row r="36">
      <c r="A36" t="inlineStr">
        <is>
          <t>P7619</t>
        </is>
      </c>
      <c r="B36" t="inlineStr">
        <is>
          <t>view</t>
        </is>
      </c>
      <c r="C36" t="inlineStr">
        <is>
          <t>condition</t>
        </is>
      </c>
      <c r="D36" s="1" t="inlineStr">
        <is>
          <t>low</t>
        </is>
      </c>
      <c r="E36" t="n">
        <v>4160.15</v>
      </c>
      <c r="F36" t="n">
        <v>3364.01</v>
      </c>
      <c r="G36" t="inlineStr">
        <is>
          <t>street</t>
        </is>
      </c>
    </row>
    <row r="37">
      <c r="A37" t="inlineStr">
        <is>
          <t>P9190</t>
        </is>
      </c>
      <c r="B37" t="inlineStr">
        <is>
          <t>star</t>
        </is>
      </c>
      <c r="C37" t="inlineStr">
        <is>
          <t>not</t>
        </is>
      </c>
      <c r="D37" s="1" t="inlineStr">
        <is>
          <t>herself</t>
        </is>
      </c>
      <c r="E37" t="n">
        <v>445.59</v>
      </c>
      <c r="F37" t="n">
        <v>2171.31</v>
      </c>
      <c r="G37" t="inlineStr">
        <is>
          <t>avoid</t>
        </is>
      </c>
    </row>
    <row r="38">
      <c r="A38" t="inlineStr">
        <is>
          <t>P8618</t>
        </is>
      </c>
      <c r="B38" t="inlineStr">
        <is>
          <t>firm</t>
        </is>
      </c>
      <c r="C38" t="inlineStr">
        <is>
          <t>writer</t>
        </is>
      </c>
      <c r="D38" s="1" t="inlineStr">
        <is>
          <t>increase</t>
        </is>
      </c>
      <c r="E38" t="n">
        <v>4570.79</v>
      </c>
      <c r="F38" t="n">
        <v>3962</v>
      </c>
      <c r="G38" t="inlineStr">
        <is>
          <t>risk</t>
        </is>
      </c>
    </row>
    <row r="39">
      <c r="A39" t="inlineStr">
        <is>
          <t>P8661</t>
        </is>
      </c>
      <c r="B39" t="inlineStr">
        <is>
          <t>yes</t>
        </is>
      </c>
      <c r="C39" t="inlineStr">
        <is>
          <t>interest</t>
        </is>
      </c>
      <c r="D39" s="1" t="inlineStr">
        <is>
          <t>social</t>
        </is>
      </c>
      <c r="E39" t="n">
        <v>2450.55</v>
      </c>
      <c r="F39" t="n">
        <v>2854.58</v>
      </c>
      <c r="G39" t="inlineStr">
        <is>
          <t>who</t>
        </is>
      </c>
    </row>
    <row r="40">
      <c r="A40" t="inlineStr">
        <is>
          <t>P7497</t>
        </is>
      </c>
      <c r="B40" t="inlineStr">
        <is>
          <t>financial</t>
        </is>
      </c>
      <c r="C40" t="inlineStr">
        <is>
          <t>check</t>
        </is>
      </c>
      <c r="D40" s="1" t="inlineStr">
        <is>
          <t>so</t>
        </is>
      </c>
      <c r="E40" t="n">
        <v>2789.03</v>
      </c>
      <c r="F40" t="n">
        <v>273.22</v>
      </c>
      <c r="G40" t="inlineStr">
        <is>
          <t>sea</t>
        </is>
      </c>
    </row>
    <row r="41">
      <c r="A41" t="inlineStr">
        <is>
          <t>P5013</t>
        </is>
      </c>
      <c r="B41" t="inlineStr">
        <is>
          <t>idea</t>
        </is>
      </c>
      <c r="C41" t="inlineStr">
        <is>
          <t>few</t>
        </is>
      </c>
      <c r="D41" s="1" t="inlineStr">
        <is>
          <t>forget</t>
        </is>
      </c>
      <c r="E41" t="n">
        <v>2928.33</v>
      </c>
      <c r="F41" t="n">
        <v>728.23</v>
      </c>
      <c r="G41" t="inlineStr">
        <is>
          <t>play</t>
        </is>
      </c>
    </row>
    <row r="42">
      <c r="A42" t="inlineStr">
        <is>
          <t>P2020</t>
        </is>
      </c>
      <c r="B42" t="inlineStr">
        <is>
          <t>town</t>
        </is>
      </c>
      <c r="C42" t="inlineStr">
        <is>
          <t>natural</t>
        </is>
      </c>
      <c r="D42" s="1" t="inlineStr">
        <is>
          <t>actually</t>
        </is>
      </c>
      <c r="E42" t="n">
        <v>4650.29</v>
      </c>
      <c r="F42" t="n">
        <v>2295.96</v>
      </c>
      <c r="G42" t="inlineStr">
        <is>
          <t>respond</t>
        </is>
      </c>
    </row>
    <row r="43">
      <c r="A43" t="inlineStr">
        <is>
          <t>P8875</t>
        </is>
      </c>
      <c r="B43" t="inlineStr">
        <is>
          <t>suffer</t>
        </is>
      </c>
      <c r="C43" t="inlineStr">
        <is>
          <t>market</t>
        </is>
      </c>
      <c r="D43" s="1" t="inlineStr">
        <is>
          <t>tell</t>
        </is>
      </c>
      <c r="E43" t="n">
        <v>1330.2</v>
      </c>
      <c r="F43" t="n">
        <v>2231.44</v>
      </c>
      <c r="G43" t="inlineStr">
        <is>
          <t>mouth</t>
        </is>
      </c>
    </row>
    <row r="44">
      <c r="A44" t="inlineStr">
        <is>
          <t>P1626</t>
        </is>
      </c>
      <c r="B44" t="inlineStr">
        <is>
          <t>should</t>
        </is>
      </c>
      <c r="C44" t="inlineStr">
        <is>
          <t>north</t>
        </is>
      </c>
      <c r="D44" s="1" t="inlineStr">
        <is>
          <t>everybody</t>
        </is>
      </c>
      <c r="E44" t="n">
        <v>4154.75</v>
      </c>
      <c r="F44" t="n">
        <v>4920.73</v>
      </c>
      <c r="G44" t="inlineStr">
        <is>
          <t>decide</t>
        </is>
      </c>
    </row>
    <row r="45">
      <c r="A45" t="inlineStr">
        <is>
          <t>P7209</t>
        </is>
      </c>
      <c r="B45" t="inlineStr">
        <is>
          <t>weight</t>
        </is>
      </c>
      <c r="C45" t="inlineStr">
        <is>
          <t>but</t>
        </is>
      </c>
      <c r="D45" s="1" t="inlineStr">
        <is>
          <t>no</t>
        </is>
      </c>
      <c r="E45" t="n">
        <v>1645.42</v>
      </c>
      <c r="F45" t="n">
        <v>4814.82</v>
      </c>
      <c r="G45" t="inlineStr">
        <is>
          <t>relationship</t>
        </is>
      </c>
    </row>
    <row r="46">
      <c r="A46" t="inlineStr">
        <is>
          <t>P7488</t>
        </is>
      </c>
      <c r="B46" t="inlineStr">
        <is>
          <t>factor</t>
        </is>
      </c>
      <c r="C46" t="inlineStr">
        <is>
          <t>collection</t>
        </is>
      </c>
      <c r="D46" s="1" t="inlineStr">
        <is>
          <t>eye</t>
        </is>
      </c>
      <c r="E46" t="n">
        <v>1396.26</v>
      </c>
      <c r="F46" t="n">
        <v>32.27</v>
      </c>
      <c r="G46" t="inlineStr">
        <is>
          <t>seven</t>
        </is>
      </c>
    </row>
    <row r="47">
      <c r="A47" t="inlineStr">
        <is>
          <t>P1494</t>
        </is>
      </c>
      <c r="B47" t="inlineStr">
        <is>
          <t>doctor</t>
        </is>
      </c>
      <c r="C47" t="inlineStr">
        <is>
          <t>travel</t>
        </is>
      </c>
      <c r="D47" s="1" t="inlineStr">
        <is>
          <t>reason</t>
        </is>
      </c>
      <c r="E47" t="n">
        <v>2014.93</v>
      </c>
      <c r="F47" t="n">
        <v>505.78</v>
      </c>
      <c r="G47" t="inlineStr">
        <is>
          <t>other</t>
        </is>
      </c>
    </row>
    <row r="48">
      <c r="A48" t="inlineStr">
        <is>
          <t>P8869</t>
        </is>
      </c>
      <c r="B48" t="inlineStr">
        <is>
          <t>explain</t>
        </is>
      </c>
      <c r="C48" t="inlineStr">
        <is>
          <t>able</t>
        </is>
      </c>
      <c r="D48" s="1" t="inlineStr">
        <is>
          <t>prevent</t>
        </is>
      </c>
      <c r="E48" t="n">
        <v>4097.83</v>
      </c>
      <c r="F48" t="n">
        <v>2311.33</v>
      </c>
      <c r="G48" t="inlineStr">
        <is>
          <t>fill</t>
        </is>
      </c>
    </row>
    <row r="49">
      <c r="A49" t="inlineStr">
        <is>
          <t>P2769</t>
        </is>
      </c>
      <c r="B49" t="inlineStr">
        <is>
          <t>game</t>
        </is>
      </c>
      <c r="C49" t="inlineStr">
        <is>
          <t>find</t>
        </is>
      </c>
      <c r="D49" s="1" t="inlineStr">
        <is>
          <t>place</t>
        </is>
      </c>
      <c r="E49" t="n">
        <v>4544.22</v>
      </c>
      <c r="F49" t="n">
        <v>3029.69</v>
      </c>
      <c r="G49" t="inlineStr">
        <is>
          <t>join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DEVI SUHITHA CHUNDRU</dc:creator>
  <dcterms:created xmlns:dcterms="http://purl.org/dc/terms/" xmlns:xsi="http://www.w3.org/2001/XMLSchema-instance" xsi:type="dcterms:W3CDTF">2022-11-26T09:51:45Z</dcterms:created>
  <dcterms:modified xmlns:dcterms="http://purl.org/dc/terms/" xmlns:xsi="http://www.w3.org/2001/XMLSchema-instance" xsi:type="dcterms:W3CDTF">2024-11-20T01:33:31Z</dcterms:modified>
  <cp:lastModifiedBy>Devi Suhitha Chundru</cp:lastModifiedBy>
</cp:coreProperties>
</file>